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L10" i="2" l="1"/>
  <c r="K10" i="2"/>
  <c r="L7" i="2"/>
  <c r="K7" i="2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D1711" i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P33" i="1"/>
  <c r="O33" i="1" s="1"/>
  <c r="N33" i="1"/>
  <c r="N32" i="1"/>
  <c r="O32" i="1" s="1"/>
  <c r="N31" i="1"/>
  <c r="R31" i="1" s="1"/>
  <c r="N29" i="1"/>
  <c r="Q29" i="1" s="1"/>
  <c r="N28" i="1"/>
  <c r="P28" i="1" s="1"/>
  <c r="N27" i="1"/>
  <c r="Q27" i="1" s="1"/>
  <c r="Q28" i="1" s="1"/>
  <c r="K9" i="2"/>
  <c r="O29" i="1" l="1"/>
  <c r="P27" i="1"/>
  <c r="P30" i="1" s="1"/>
  <c r="P38" i="1"/>
  <c r="P29" i="1"/>
  <c r="O27" i="1"/>
  <c r="O30" i="1" s="1"/>
  <c r="M54" i="1" s="1"/>
  <c r="O54" i="1" s="1"/>
  <c r="P32" i="1"/>
  <c r="Q32" i="1"/>
  <c r="Q33" i="1" s="1"/>
  <c r="P35" i="1"/>
  <c r="P37" i="1" s="1"/>
  <c r="O31" i="1"/>
  <c r="P31" i="1"/>
  <c r="O28" i="1"/>
  <c r="Q31" i="1"/>
  <c r="O55" i="1" l="1"/>
  <c r="P41" i="1"/>
  <c r="P40" i="1"/>
  <c r="N55" i="1"/>
  <c r="N54" i="1"/>
  <c r="P42" i="1"/>
  <c r="P43" i="1"/>
  <c r="R29" i="1" l="1"/>
  <c r="R30" i="1" s="1"/>
  <c r="N30" i="1" l="1"/>
  <c r="P36" i="1" s="1"/>
  <c r="Q30" i="1"/>
  <c r="P39" i="1" s="1"/>
  <c r="L5" i="2"/>
  <c r="K5" i="2"/>
</calcChain>
</file>

<file path=xl/sharedStrings.xml><?xml version="1.0" encoding="utf-8"?>
<sst xmlns="http://schemas.openxmlformats.org/spreadsheetml/2006/main" count="1264" uniqueCount="428">
  <si>
    <t>b2</t>
  </si>
  <si>
    <t>h72</t>
  </si>
  <si>
    <t>c2</t>
  </si>
  <si>
    <t>b74</t>
  </si>
  <si>
    <t>h144</t>
  </si>
  <si>
    <t>c74</t>
  </si>
  <si>
    <t>b146</t>
  </si>
  <si>
    <t>h216</t>
  </si>
  <si>
    <t>c146</t>
  </si>
  <si>
    <t>b218</t>
  </si>
  <si>
    <t>h288</t>
  </si>
  <si>
    <t>c218</t>
  </si>
  <si>
    <t>b290</t>
  </si>
  <si>
    <t>h360</t>
  </si>
  <si>
    <t>c290</t>
  </si>
  <si>
    <t>b362</t>
  </si>
  <si>
    <t>h432</t>
  </si>
  <si>
    <t>c362</t>
  </si>
  <si>
    <t>b434</t>
  </si>
  <si>
    <t>h504</t>
  </si>
  <si>
    <t>c434</t>
  </si>
  <si>
    <t>b506</t>
  </si>
  <si>
    <t>h576</t>
  </si>
  <si>
    <t>c506</t>
  </si>
  <si>
    <t>b578</t>
  </si>
  <si>
    <t>h648</t>
  </si>
  <si>
    <t>c578</t>
  </si>
  <si>
    <t>b650</t>
  </si>
  <si>
    <t>h720</t>
  </si>
  <si>
    <t>c650</t>
  </si>
  <si>
    <t>b722</t>
  </si>
  <si>
    <t>h792</t>
  </si>
  <si>
    <t>c722</t>
  </si>
  <si>
    <t>b794</t>
  </si>
  <si>
    <t>h864</t>
  </si>
  <si>
    <t>c794</t>
  </si>
  <si>
    <t>b866</t>
  </si>
  <si>
    <t>h936</t>
  </si>
  <si>
    <t>c866</t>
  </si>
  <si>
    <t>b938</t>
  </si>
  <si>
    <t>h1008</t>
  </si>
  <si>
    <t>c938</t>
  </si>
  <si>
    <t>b1010</t>
  </si>
  <si>
    <t>h1080</t>
  </si>
  <si>
    <t>c1010</t>
  </si>
  <si>
    <t>b1082</t>
  </si>
  <si>
    <t>h1152</t>
  </si>
  <si>
    <t>c1082</t>
  </si>
  <si>
    <t>b1154</t>
  </si>
  <si>
    <t>h1224</t>
  </si>
  <si>
    <t>c1154</t>
  </si>
  <si>
    <t>b1226</t>
  </si>
  <si>
    <t>h1296</t>
  </si>
  <si>
    <t>c1226</t>
  </si>
  <si>
    <t>b1298</t>
  </si>
  <si>
    <t>h1368</t>
  </si>
  <si>
    <t>c1298</t>
  </si>
  <si>
    <t>b1370</t>
  </si>
  <si>
    <t>h1440</t>
  </si>
  <si>
    <t>c1370</t>
  </si>
  <si>
    <t>b1442</t>
  </si>
  <si>
    <t>h1512</t>
  </si>
  <si>
    <t>c1442</t>
  </si>
  <si>
    <t>b1514</t>
  </si>
  <si>
    <t>h1584</t>
  </si>
  <si>
    <t>c1514</t>
  </si>
  <si>
    <t>b1586</t>
  </si>
  <si>
    <t>h1656</t>
  </si>
  <si>
    <t>c1586</t>
  </si>
  <si>
    <t>b1658</t>
  </si>
  <si>
    <t>h1728</t>
  </si>
  <si>
    <t>c1658</t>
  </si>
  <si>
    <t>b1730</t>
  </si>
  <si>
    <t>h1800</t>
  </si>
  <si>
    <t>c1730</t>
  </si>
  <si>
    <t>b1802</t>
  </si>
  <si>
    <t>h1872</t>
  </si>
  <si>
    <t>c1802</t>
  </si>
  <si>
    <t>b1874</t>
  </si>
  <si>
    <t>h1944</t>
  </si>
  <si>
    <t>c1874</t>
  </si>
  <si>
    <t>b1946</t>
  </si>
  <si>
    <t>h2016</t>
  </si>
  <si>
    <t>c1946</t>
  </si>
  <si>
    <t>b2018</t>
  </si>
  <si>
    <t>h2088</t>
  </si>
  <si>
    <t>c2018</t>
  </si>
  <si>
    <t>b2090</t>
  </si>
  <si>
    <t>h2160</t>
  </si>
  <si>
    <t>c2090</t>
  </si>
  <si>
    <t>b2162</t>
  </si>
  <si>
    <t>h2232</t>
  </si>
  <si>
    <t>c2162</t>
  </si>
  <si>
    <t>b2234</t>
  </si>
  <si>
    <t>h2304</t>
  </si>
  <si>
    <t>c2234</t>
  </si>
  <si>
    <t>b2306</t>
  </si>
  <si>
    <t>h2376</t>
  </si>
  <si>
    <t>c2306</t>
  </si>
  <si>
    <t>b2378</t>
  </si>
  <si>
    <t>h2448</t>
  </si>
  <si>
    <t>c2378</t>
  </si>
  <si>
    <t>b2450</t>
  </si>
  <si>
    <t>h2520</t>
  </si>
  <si>
    <t>c2450</t>
  </si>
  <si>
    <t>b2522</t>
  </si>
  <si>
    <t>h2592</t>
  </si>
  <si>
    <t>c2522</t>
  </si>
  <si>
    <t>b2594</t>
  </si>
  <si>
    <t>h2664</t>
  </si>
  <si>
    <t>c2594</t>
  </si>
  <si>
    <t>b2666</t>
  </si>
  <si>
    <t>h2736</t>
  </si>
  <si>
    <t>c2666</t>
  </si>
  <si>
    <t>b2738</t>
  </si>
  <si>
    <t>h2808</t>
  </si>
  <si>
    <t>c2738</t>
  </si>
  <si>
    <t>b2810</t>
  </si>
  <si>
    <t>h2880</t>
  </si>
  <si>
    <t>c2810</t>
  </si>
  <si>
    <t>b2882</t>
  </si>
  <si>
    <t>h2952</t>
  </si>
  <si>
    <t>c2882</t>
  </si>
  <si>
    <t>b2954</t>
  </si>
  <si>
    <t>h3024</t>
  </si>
  <si>
    <t>c2954</t>
  </si>
  <si>
    <t>b3026</t>
  </si>
  <si>
    <t>h3096</t>
  </si>
  <si>
    <t>c3026</t>
  </si>
  <si>
    <t>b3098</t>
  </si>
  <si>
    <t>h3168</t>
  </si>
  <si>
    <t>c3098</t>
  </si>
  <si>
    <t>b3170</t>
  </si>
  <si>
    <t>h3240</t>
  </si>
  <si>
    <t>c3170</t>
  </si>
  <si>
    <t>b3242</t>
  </si>
  <si>
    <t>h3312</t>
  </si>
  <si>
    <t>c3242</t>
  </si>
  <si>
    <t>b3314</t>
  </si>
  <si>
    <t>h3384</t>
  </si>
  <si>
    <t>c3314</t>
  </si>
  <si>
    <t>b3386</t>
  </si>
  <si>
    <t>h3456</t>
  </si>
  <si>
    <t>c3386</t>
  </si>
  <si>
    <t>b3458</t>
  </si>
  <si>
    <t>h3528</t>
  </si>
  <si>
    <t>c3458</t>
  </si>
  <si>
    <t>b3530</t>
  </si>
  <si>
    <t>h3600</t>
  </si>
  <si>
    <t>c3530</t>
  </si>
  <si>
    <t>b3602</t>
  </si>
  <si>
    <t>h3672</t>
  </si>
  <si>
    <t>c3602</t>
  </si>
  <si>
    <t>b3674</t>
  </si>
  <si>
    <t>h3744</t>
  </si>
  <si>
    <t>c3674</t>
  </si>
  <si>
    <t>b3746</t>
  </si>
  <si>
    <t>h3816</t>
  </si>
  <si>
    <t>c3746</t>
  </si>
  <si>
    <t>b3818</t>
  </si>
  <si>
    <t>h3888</t>
  </si>
  <si>
    <t>c3818</t>
  </si>
  <si>
    <t>b3890</t>
  </si>
  <si>
    <t>h3960</t>
  </si>
  <si>
    <t>c3890</t>
  </si>
  <si>
    <t>b3962</t>
  </si>
  <si>
    <t>h4032</t>
  </si>
  <si>
    <t>c3962</t>
  </si>
  <si>
    <t>b4034</t>
  </si>
  <si>
    <t>h4104</t>
  </si>
  <si>
    <t>c4034</t>
  </si>
  <si>
    <t>b4106</t>
  </si>
  <si>
    <t>h4176</t>
  </si>
  <si>
    <t>c4106</t>
  </si>
  <si>
    <t>b4178</t>
  </si>
  <si>
    <t>h4248</t>
  </si>
  <si>
    <t>c4178</t>
  </si>
  <si>
    <t>b4250</t>
  </si>
  <si>
    <t>h4320</t>
  </si>
  <si>
    <t>c4250</t>
  </si>
  <si>
    <t>b4322</t>
  </si>
  <si>
    <t>h4392</t>
  </si>
  <si>
    <t>c4322</t>
  </si>
  <si>
    <t>b4394</t>
  </si>
  <si>
    <t>h4464</t>
  </si>
  <si>
    <t>c4394</t>
  </si>
  <si>
    <t>b4466</t>
  </si>
  <si>
    <t>h4536</t>
  </si>
  <si>
    <t>c4466</t>
  </si>
  <si>
    <t>b4538</t>
  </si>
  <si>
    <t>h4608</t>
  </si>
  <si>
    <t>c4538</t>
  </si>
  <si>
    <t>b4610</t>
  </si>
  <si>
    <t>h4680</t>
  </si>
  <si>
    <t>c4610</t>
  </si>
  <si>
    <t>b4682</t>
  </si>
  <si>
    <t>h4752</t>
  </si>
  <si>
    <t>c4682</t>
  </si>
  <si>
    <t>b4754</t>
  </si>
  <si>
    <t>h4824</t>
  </si>
  <si>
    <t>c4754</t>
  </si>
  <si>
    <t>b4826</t>
  </si>
  <si>
    <t>h4896</t>
  </si>
  <si>
    <t>c4826</t>
  </si>
  <si>
    <t>b4898</t>
  </si>
  <si>
    <t>h4968</t>
  </si>
  <si>
    <t>c4898</t>
  </si>
  <si>
    <t>b4970</t>
  </si>
  <si>
    <t>h5040</t>
  </si>
  <si>
    <t>c4970</t>
  </si>
  <si>
    <t>b5042</t>
  </si>
  <si>
    <t>h5112</t>
  </si>
  <si>
    <t>c5042</t>
  </si>
  <si>
    <t>b5114</t>
  </si>
  <si>
    <t>h5184</t>
  </si>
  <si>
    <t>c5114</t>
  </si>
  <si>
    <t>b5186</t>
  </si>
  <si>
    <t>h5256</t>
  </si>
  <si>
    <t>c5186</t>
  </si>
  <si>
    <t>b5258</t>
  </si>
  <si>
    <t>h5328</t>
  </si>
  <si>
    <t>c5258</t>
  </si>
  <si>
    <t>b5330</t>
  </si>
  <si>
    <t>h5400</t>
  </si>
  <si>
    <t>c5330</t>
  </si>
  <si>
    <t>b5402</t>
  </si>
  <si>
    <t>h5472</t>
  </si>
  <si>
    <t>c5402</t>
  </si>
  <si>
    <t>b5474</t>
  </si>
  <si>
    <t>h5544</t>
  </si>
  <si>
    <t>c5474</t>
  </si>
  <si>
    <t>b5546</t>
  </si>
  <si>
    <t>h5616</t>
  </si>
  <si>
    <t>c5546</t>
  </si>
  <si>
    <t>b5618</t>
  </si>
  <si>
    <t>h5688</t>
  </si>
  <si>
    <t>c5618</t>
  </si>
  <si>
    <t>b5690</t>
  </si>
  <si>
    <t>h5760</t>
  </si>
  <si>
    <t>c5690</t>
  </si>
  <si>
    <t>b5762</t>
  </si>
  <si>
    <t>h5832</t>
  </si>
  <si>
    <t>c5762</t>
  </si>
  <si>
    <t>b5834</t>
  </si>
  <si>
    <t>h5904</t>
  </si>
  <si>
    <t>c5834</t>
  </si>
  <si>
    <t>Temp in
Degrees
Fahrenheit</t>
  </si>
  <si>
    <t>Gauge
Pressure</t>
  </si>
  <si>
    <t>Absolute
Pressure</t>
  </si>
  <si>
    <t>Specific
Volume
Liquid</t>
  </si>
  <si>
    <t>Specific
Volume
Vapor</t>
  </si>
  <si>
    <t>Density
Liquid</t>
  </si>
  <si>
    <t>Density
Vapor</t>
  </si>
  <si>
    <t>Enthalpy  BTU/LB  Hf</t>
  </si>
  <si>
    <t>Enthalpy BTU/LB  Hg</t>
  </si>
  <si>
    <t>Entropy Btu/Lb-R  Sg</t>
  </si>
  <si>
    <t>Ammonia Pressure-Enthalpy Calculator</t>
  </si>
  <si>
    <t>Enter Evaporator Temperature (°F)</t>
  </si>
  <si>
    <t>°F</t>
  </si>
  <si>
    <t>Enter Condensing Temperature (°F)</t>
  </si>
  <si>
    <t>Enter Recirc. Pump Pressure (psig)</t>
  </si>
  <si>
    <t>psig</t>
  </si>
  <si>
    <t>Enter Compressor Suction Temp.(°F)</t>
  </si>
  <si>
    <t>Point</t>
  </si>
  <si>
    <t>psia</t>
  </si>
  <si>
    <t>Enthalpy</t>
  </si>
  <si>
    <t>Entropy</t>
  </si>
  <si>
    <t>A</t>
  </si>
  <si>
    <t>B</t>
  </si>
  <si>
    <t>C</t>
  </si>
  <si>
    <t>D</t>
  </si>
  <si>
    <t>E</t>
  </si>
  <si>
    <t>F</t>
  </si>
  <si>
    <t>G</t>
  </si>
  <si>
    <t>Refrigerating Effect</t>
  </si>
  <si>
    <t>Btu/Lb</t>
  </si>
  <si>
    <t>Theoretical Discharge Temp</t>
  </si>
  <si>
    <t>Mass Flow Rate</t>
  </si>
  <si>
    <t>Lbs/min</t>
  </si>
  <si>
    <t>Constant Volume Suction</t>
  </si>
  <si>
    <t>CuFt/Lb</t>
  </si>
  <si>
    <t>Theoretical Horsepower/Ton</t>
  </si>
  <si>
    <t>BHP</t>
  </si>
  <si>
    <t>Compressor CFM/Ton</t>
  </si>
  <si>
    <t>CFM/Ton</t>
  </si>
  <si>
    <t>Compression Ratio</t>
  </si>
  <si>
    <t>: 1</t>
  </si>
  <si>
    <t>Latent Heat Of Vaporization</t>
  </si>
  <si>
    <t>Non-Refrigerating Effect</t>
  </si>
  <si>
    <t>b195</t>
  </si>
  <si>
    <t>h1951</t>
  </si>
  <si>
    <t>b197</t>
  </si>
  <si>
    <t>h212</t>
  </si>
  <si>
    <t>b215</t>
  </si>
  <si>
    <t>h230</t>
  </si>
  <si>
    <t>b237</t>
  </si>
  <si>
    <t>h282</t>
  </si>
  <si>
    <t>b285</t>
  </si>
  <si>
    <t>h300</t>
  </si>
  <si>
    <t>b306</t>
  </si>
  <si>
    <t>h345</t>
  </si>
  <si>
    <t>b348</t>
  </si>
  <si>
    <t>h362</t>
  </si>
  <si>
    <t>b368</t>
  </si>
  <si>
    <t>h409</t>
  </si>
  <si>
    <t>b413</t>
  </si>
  <si>
    <t>h427</t>
  </si>
  <si>
    <t>b431</t>
  </si>
  <si>
    <t>h445</t>
  </si>
  <si>
    <t>b451</t>
  </si>
  <si>
    <t>h492</t>
  </si>
  <si>
    <t>b498</t>
  </si>
  <si>
    <t>h543</t>
  </si>
  <si>
    <t>b549</t>
  </si>
  <si>
    <t>h590</t>
  </si>
  <si>
    <t>b596</t>
  </si>
  <si>
    <t>h637</t>
  </si>
  <si>
    <t>b643</t>
  </si>
  <si>
    <t>h688</t>
  </si>
  <si>
    <t>b694</t>
  </si>
  <si>
    <t>h735</t>
  </si>
  <si>
    <t>b741</t>
  </si>
  <si>
    <t>h782</t>
  </si>
  <si>
    <t>b788</t>
  </si>
  <si>
    <t>h829</t>
  </si>
  <si>
    <t>b835</t>
  </si>
  <si>
    <t>h876</t>
  </si>
  <si>
    <t>b882</t>
  </si>
  <si>
    <t>h927</t>
  </si>
  <si>
    <t>7..4831</t>
  </si>
  <si>
    <t>b933</t>
  </si>
  <si>
    <t>h974</t>
  </si>
  <si>
    <t>b980</t>
  </si>
  <si>
    <t>h1021</t>
  </si>
  <si>
    <t>b1027</t>
  </si>
  <si>
    <t>h1068</t>
  </si>
  <si>
    <t>b1074</t>
  </si>
  <si>
    <t>h1119</t>
  </si>
  <si>
    <t>b1125</t>
  </si>
  <si>
    <t>h1166</t>
  </si>
  <si>
    <t>b1172</t>
  </si>
  <si>
    <t>h1213</t>
  </si>
  <si>
    <t>b1219</t>
  </si>
  <si>
    <t>h1260</t>
  </si>
  <si>
    <t>b1266</t>
  </si>
  <si>
    <t>h1307</t>
  </si>
  <si>
    <t>b1313</t>
  </si>
  <si>
    <t>h1354</t>
  </si>
  <si>
    <t>b1357</t>
  </si>
  <si>
    <t>h1367</t>
  </si>
  <si>
    <t>b1373</t>
  </si>
  <si>
    <t>h1414</t>
  </si>
  <si>
    <t>b1420</t>
  </si>
  <si>
    <t>h1461</t>
  </si>
  <si>
    <t>b1467</t>
  </si>
  <si>
    <t>h1509</t>
  </si>
  <si>
    <t>b1515</t>
  </si>
  <si>
    <t>h1557</t>
  </si>
  <si>
    <t>b1563</t>
  </si>
  <si>
    <t>h1605</t>
  </si>
  <si>
    <t>b1611</t>
  </si>
  <si>
    <t>h1652</t>
  </si>
  <si>
    <t>h1704</t>
  </si>
  <si>
    <t>b1710</t>
  </si>
  <si>
    <t>h1771</t>
  </si>
  <si>
    <t>b1777</t>
  </si>
  <si>
    <t>h1812</t>
  </si>
  <si>
    <t>b1818</t>
  </si>
  <si>
    <t>h1861</t>
  </si>
  <si>
    <t>b1867</t>
  </si>
  <si>
    <t>h1906</t>
  </si>
  <si>
    <t>b1912</t>
  </si>
  <si>
    <t>b1952</t>
  </si>
  <si>
    <t>h1952</t>
  </si>
  <si>
    <t>Range</t>
  </si>
  <si>
    <t>Temp</t>
  </si>
  <si>
    <t>U</t>
  </si>
  <si>
    <t>Volume</t>
  </si>
  <si>
    <t>H</t>
  </si>
  <si>
    <t>P=10 psia  [-9.57 in hg.]  (-41.31 F)</t>
  </si>
  <si>
    <t>Pressure</t>
  </si>
  <si>
    <t>Density</t>
  </si>
  <si>
    <t>Spec. Vol.</t>
  </si>
  <si>
    <t>[Btu/R-lb]</t>
  </si>
  <si>
    <t>[F]</t>
  </si>
  <si>
    <t>[psia]</t>
  </si>
  <si>
    <t>[lb/ft^3]</t>
  </si>
  <si>
    <t>[ft^3/lb]</t>
  </si>
  <si>
    <t>[Btu/lb]</t>
  </si>
  <si>
    <t>P=13.89 psia  [-1.65 in hg.]  (-30.0 F)</t>
  </si>
  <si>
    <t>P=15 psia [0.3 psig] (-27.25 F)</t>
  </si>
  <si>
    <t>P=18.279 psia  [3.58 psig]  (-20.0 F)</t>
  </si>
  <si>
    <t>P=20 psia [5.3 psig] (-16.61 F)</t>
  </si>
  <si>
    <t>P=23.724 psia  [9.02 psig]  (-10.0 F)</t>
  </si>
  <si>
    <t>P=25 psia [10.3 psig] (-7.9 F)</t>
  </si>
  <si>
    <t>P=30 psia [15.3 psig] (-0.5 F)</t>
  </si>
  <si>
    <t>P=30.397 psia  [15.70 psig]  (0.0 F)</t>
  </si>
  <si>
    <t>P=34.253 psia  [19.55 psig]  (5.0 F)</t>
  </si>
  <si>
    <t>P=35 psia [20.3 psig] (5.9 F)</t>
  </si>
  <si>
    <t>P=38.488 psia  [23.79 psig]  (10.0 F)</t>
  </si>
  <si>
    <t>P=40 psia [25.3 psig] (11.7 F)</t>
  </si>
  <si>
    <t>P=43.126 psia  [28.43 psig]  (15.0 F)</t>
  </si>
  <si>
    <t>P=45 psia  [30.3 psig] (16.9 F)</t>
  </si>
  <si>
    <t>P=48.194 psia  [33.49 psig]  (20.0 F)</t>
  </si>
  <si>
    <t>P=50 psia  [35.3 psig] (21.7 F)</t>
  </si>
  <si>
    <t>P=53.72 psia  [39.02 psig]  (25.0 F)</t>
  </si>
  <si>
    <t>P=59.731 psia  [45.03 psig]  (30.0 F)</t>
  </si>
  <si>
    <t>P=60 psia  [45.3 psig] (30.2 F)</t>
  </si>
  <si>
    <t>P=66.255 psia  [51.56 psig]  (35.0 F)</t>
  </si>
  <si>
    <t>P=70 psia  [55.3 psig] (37.7 F)</t>
  </si>
  <si>
    <t>P=80 psia  [65.3 psig] (44.4 F)</t>
  </si>
  <si>
    <t>P=90 psia  [75.3 psig] (50.5 F)</t>
  </si>
  <si>
    <t>P=100 psia  [85.3 psig] (56.0 F)</t>
  </si>
  <si>
    <t>P=125 psia [110.3 psig] (68.3 F)</t>
  </si>
  <si>
    <t>P=150 psia [135.3 psig] (78.8 F)</t>
  </si>
  <si>
    <t>P=166.51 psia [151.81 psig] (85.0 F)</t>
  </si>
  <si>
    <t>P=175 psia [160.3 psig]  (88.0 F)</t>
  </si>
  <si>
    <t>P=195.9 psia [181.2 psig] (95 F)</t>
  </si>
  <si>
    <t>s</t>
  </si>
  <si>
    <t>T</t>
  </si>
  <si>
    <t>P</t>
  </si>
  <si>
    <t>r</t>
  </si>
  <si>
    <t>v</t>
  </si>
  <si>
    <t>h</t>
  </si>
  <si>
    <t>P=200 psia [185.7 psig] (96.3 F)</t>
  </si>
  <si>
    <t>P=225 psia [210.3 psig] (103.8 F)</t>
  </si>
  <si>
    <t>P=250 psia [235.3 psig] (110.8 F)</t>
  </si>
  <si>
    <t>P=275 psia [260.3 psig] (117.2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</si>
</sst>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_)"/>
    <numFmt numFmtId="166" formatCode="0.0000_)"/>
    <numFmt numFmtId="167" formatCode="0.00000_)"/>
    <numFmt numFmtId="168" formatCode="0.00_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48"/>
      <name val="Arial"/>
      <family val="2"/>
    </font>
    <font>
      <b/>
      <sz val="12"/>
      <name val="Arial MT"/>
      <family val="2"/>
    </font>
    <font>
      <sz val="10"/>
      <name val="Arial MT"/>
      <family val="2"/>
    </font>
    <font>
      <sz val="10"/>
      <name val="Symbol"/>
      <family val="1"/>
      <charset val="2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mediumGray">
        <fgColor indexed="8"/>
        <bgColor indexed="40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wrapText="1"/>
    </xf>
    <xf numFmtId="2" fontId="1" fillId="0" borderId="8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 wrapText="1"/>
    </xf>
    <xf numFmtId="2" fontId="1" fillId="0" borderId="9" xfId="0" applyNumberFormat="1" applyFont="1" applyBorder="1" applyAlignment="1">
      <alignment horizontal="center" wrapText="1"/>
    </xf>
    <xf numFmtId="164" fontId="1" fillId="0" borderId="10" xfId="0" applyNumberFormat="1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2" fontId="0" fillId="0" borderId="1" xfId="0" applyNumberFormat="1" applyBorder="1"/>
    <xf numFmtId="2" fontId="0" fillId="0" borderId="13" xfId="0" applyNumberFormat="1" applyBorder="1"/>
    <xf numFmtId="164" fontId="0" fillId="0" borderId="13" xfId="0" applyNumberFormat="1" applyBorder="1"/>
    <xf numFmtId="164" fontId="0" fillId="0" borderId="0" xfId="0" applyNumberFormat="1" applyBorder="1"/>
    <xf numFmtId="164" fontId="0" fillId="0" borderId="4" xfId="0" applyNumberFormat="1" applyBorder="1"/>
    <xf numFmtId="0" fontId="0" fillId="0" borderId="13" xfId="0" applyBorder="1"/>
    <xf numFmtId="0" fontId="2" fillId="0" borderId="13" xfId="0" applyFont="1" applyBorder="1"/>
    <xf numFmtId="0" fontId="0" fillId="0" borderId="14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0" fillId="4" borderId="1" xfId="0" applyFill="1" applyBorder="1"/>
    <xf numFmtId="0" fontId="0" fillId="4" borderId="13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0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7" xfId="0" applyFill="1" applyBorder="1"/>
    <xf numFmtId="0" fontId="0" fillId="4" borderId="6" xfId="0" applyFill="1" applyBorder="1"/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/>
    <xf numFmtId="0" fontId="1" fillId="2" borderId="18" xfId="0" applyFont="1" applyFill="1" applyBorder="1" applyAlignment="1">
      <alignment horizontal="center"/>
    </xf>
    <xf numFmtId="1" fontId="1" fillId="2" borderId="19" xfId="0" applyNumberFormat="1" applyFont="1" applyFill="1" applyBorder="1" applyAlignment="1">
      <alignment horizontal="center"/>
    </xf>
    <xf numFmtId="2" fontId="1" fillId="2" borderId="19" xfId="0" applyNumberFormat="1" applyFont="1" applyFill="1" applyBorder="1" applyAlignment="1">
      <alignment horizontal="center"/>
    </xf>
    <xf numFmtId="0" fontId="3" fillId="5" borderId="20" xfId="0" applyFont="1" applyFill="1" applyBorder="1"/>
    <xf numFmtId="0" fontId="1" fillId="2" borderId="21" xfId="0" applyFont="1" applyFill="1" applyBorder="1" applyAlignment="1">
      <alignment horizontal="center"/>
    </xf>
    <xf numFmtId="1" fontId="1" fillId="2" borderId="22" xfId="0" applyNumberFormat="1" applyFont="1" applyFill="1" applyBorder="1" applyAlignment="1">
      <alignment horizontal="center"/>
    </xf>
    <xf numFmtId="2" fontId="1" fillId="2" borderId="22" xfId="0" applyNumberFormat="1" applyFont="1" applyFill="1" applyBorder="1" applyAlignment="1">
      <alignment horizontal="center"/>
    </xf>
    <xf numFmtId="0" fontId="3" fillId="5" borderId="23" xfId="0" applyFont="1" applyFill="1" applyBorder="1"/>
    <xf numFmtId="0" fontId="1" fillId="6" borderId="21" xfId="0" applyFont="1" applyFill="1" applyBorder="1" applyAlignment="1">
      <alignment horizontal="center"/>
    </xf>
    <xf numFmtId="1" fontId="1" fillId="6" borderId="22" xfId="0" applyNumberFormat="1" applyFont="1" applyFill="1" applyBorder="1" applyAlignment="1">
      <alignment horizontal="center"/>
    </xf>
    <xf numFmtId="2" fontId="1" fillId="6" borderId="22" xfId="0" applyNumberFormat="1" applyFont="1" applyFill="1" applyBorder="1" applyAlignment="1">
      <alignment horizontal="center"/>
    </xf>
    <xf numFmtId="164" fontId="1" fillId="6" borderId="23" xfId="0" applyNumberFormat="1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64" fontId="1" fillId="7" borderId="23" xfId="0" applyNumberFormat="1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1" fontId="1" fillId="3" borderId="22" xfId="0" applyNumberFormat="1" applyFont="1" applyFill="1" applyBorder="1" applyAlignment="1">
      <alignment horizontal="center"/>
    </xf>
    <xf numFmtId="2" fontId="1" fillId="3" borderId="22" xfId="0" applyNumberFormat="1" applyFont="1" applyFill="1" applyBorder="1" applyAlignment="1">
      <alignment horizontal="center"/>
    </xf>
    <xf numFmtId="164" fontId="1" fillId="3" borderId="23" xfId="0" applyNumberFormat="1" applyFont="1" applyFill="1" applyBorder="1" applyAlignment="1">
      <alignment horizontal="center"/>
    </xf>
    <xf numFmtId="0" fontId="0" fillId="5" borderId="23" xfId="0" applyFill="1" applyBorder="1"/>
    <xf numFmtId="0" fontId="1" fillId="2" borderId="24" xfId="0" applyFont="1" applyFill="1" applyBorder="1" applyAlignment="1">
      <alignment horizontal="center"/>
    </xf>
    <xf numFmtId="1" fontId="1" fillId="2" borderId="25" xfId="0" applyNumberFormat="1" applyFont="1" applyFill="1" applyBorder="1" applyAlignment="1">
      <alignment horizontal="center"/>
    </xf>
    <xf numFmtId="2" fontId="1" fillId="2" borderId="25" xfId="0" applyNumberFormat="1" applyFont="1" applyFill="1" applyBorder="1" applyAlignment="1">
      <alignment horizontal="center"/>
    </xf>
    <xf numFmtId="0" fontId="0" fillId="5" borderId="26" xfId="0" applyFill="1" applyBorder="1"/>
    <xf numFmtId="2" fontId="1" fillId="9" borderId="27" xfId="0" applyNumberFormat="1" applyFont="1" applyFill="1" applyBorder="1" applyAlignment="1">
      <alignment horizontal="right"/>
    </xf>
    <xf numFmtId="0" fontId="1" fillId="9" borderId="28" xfId="0" applyFont="1" applyFill="1" applyBorder="1" applyAlignment="1">
      <alignment horizontal="left"/>
    </xf>
    <xf numFmtId="2" fontId="1" fillId="9" borderId="15" xfId="0" applyNumberFormat="1" applyFont="1" applyFill="1" applyBorder="1" applyAlignment="1">
      <alignment horizontal="right"/>
    </xf>
    <xf numFmtId="0" fontId="1" fillId="9" borderId="29" xfId="0" applyFont="1" applyFill="1" applyBorder="1" applyAlignment="1">
      <alignment horizontal="left"/>
    </xf>
    <xf numFmtId="164" fontId="1" fillId="9" borderId="15" xfId="0" applyNumberFormat="1" applyFont="1" applyFill="1" applyBorder="1" applyAlignment="1">
      <alignment horizontal="right"/>
    </xf>
    <xf numFmtId="2" fontId="1" fillId="9" borderId="32" xfId="0" applyNumberFormat="1" applyFont="1" applyFill="1" applyBorder="1" applyAlignment="1">
      <alignment horizontal="right"/>
    </xf>
    <xf numFmtId="0" fontId="1" fillId="9" borderId="4" xfId="0" applyFont="1" applyFill="1" applyBorder="1" applyAlignment="1">
      <alignment horizontal="left"/>
    </xf>
    <xf numFmtId="2" fontId="1" fillId="9" borderId="33" xfId="0" applyNumberFormat="1" applyFont="1" applyFill="1" applyBorder="1" applyAlignment="1">
      <alignment horizontal="right"/>
    </xf>
    <xf numFmtId="0" fontId="1" fillId="9" borderId="34" xfId="0" applyFont="1" applyFill="1" applyBorder="1" applyAlignment="1">
      <alignment horizontal="left"/>
    </xf>
    <xf numFmtId="0" fontId="0" fillId="0" borderId="17" xfId="0" applyBorder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4" fillId="0" borderId="0" xfId="0" applyFont="1"/>
    <xf numFmtId="0" fontId="5" fillId="0" borderId="0" xfId="0" applyFont="1" applyFill="1" applyBorder="1" applyAlignment="1">
      <alignment horizontal="center"/>
    </xf>
    <xf numFmtId="165" fontId="5" fillId="0" borderId="0" xfId="0" applyNumberFormat="1" applyFont="1" applyFill="1" applyBorder="1" applyProtection="1"/>
    <xf numFmtId="0" fontId="5" fillId="0" borderId="0" xfId="0" applyFont="1" applyFill="1" applyBorder="1"/>
    <xf numFmtId="166" fontId="5" fillId="0" borderId="0" xfId="0" applyNumberFormat="1" applyFont="1" applyFill="1" applyBorder="1" applyProtection="1"/>
    <xf numFmtId="167" fontId="5" fillId="0" borderId="0" xfId="0" applyNumberFormat="1" applyFont="1" applyFill="1" applyBorder="1" applyProtection="1"/>
    <xf numFmtId="0" fontId="0" fillId="0" borderId="0" xfId="0" applyFill="1" applyBorder="1"/>
    <xf numFmtId="166" fontId="0" fillId="0" borderId="0" xfId="0" applyNumberFormat="1" applyProtection="1"/>
    <xf numFmtId="164" fontId="5" fillId="0" borderId="0" xfId="0" applyNumberFormat="1" applyFont="1" applyFill="1" applyBorder="1" applyProtection="1"/>
    <xf numFmtId="0" fontId="0" fillId="0" borderId="0" xfId="0" applyFill="1" applyBorder="1" applyAlignment="1">
      <alignment horizontal="center" wrapText="1"/>
    </xf>
    <xf numFmtId="168" fontId="0" fillId="0" borderId="0" xfId="0" applyNumberFormat="1" applyProtection="1"/>
    <xf numFmtId="0" fontId="0" fillId="0" borderId="0" xfId="0" applyFill="1" applyBorder="1" applyAlignment="1">
      <alignment horizontal="right" wrapText="1"/>
    </xf>
    <xf numFmtId="0" fontId="0" fillId="0" borderId="0" xfId="0" applyFill="1" applyBorder="1" applyAlignment="1">
      <alignment horizontal="right"/>
    </xf>
    <xf numFmtId="165" fontId="0" fillId="0" borderId="0" xfId="0" applyNumberFormat="1" applyProtection="1"/>
    <xf numFmtId="0" fontId="4" fillId="0" borderId="0" xfId="0" applyFont="1" applyFill="1" applyBorder="1"/>
    <xf numFmtId="166" fontId="0" fillId="0" borderId="0" xfId="0" applyNumberFormat="1" applyFill="1" applyBorder="1" applyProtection="1"/>
    <xf numFmtId="165" fontId="0" fillId="0" borderId="0" xfId="0" applyNumberFormat="1" applyFill="1" applyBorder="1" applyProtection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6" fillId="0" borderId="0" xfId="0" applyFont="1" applyFill="1" applyBorder="1" applyAlignment="1">
      <alignment horizontal="center"/>
    </xf>
    <xf numFmtId="165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0" fontId="0" fillId="0" borderId="0" xfId="0" applyFill="1" applyBorder="1" applyAlignment="1">
      <alignment wrapText="1"/>
    </xf>
    <xf numFmtId="0" fontId="1" fillId="8" borderId="21" xfId="0" applyFont="1" applyFill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0" fontId="1" fillId="8" borderId="30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0" fillId="8" borderId="19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7</xdr:row>
      <xdr:rowOff>123825</xdr:rowOff>
    </xdr:from>
    <xdr:to>
      <xdr:col>18</xdr:col>
      <xdr:colOff>381000</xdr:colOff>
      <xdr:row>23</xdr:row>
      <xdr:rowOff>152400</xdr:rowOff>
    </xdr:to>
    <xdr:grpSp>
      <xdr:nvGrpSpPr>
        <xdr:cNvPr id="2" name="Group 24"/>
        <xdr:cNvGrpSpPr>
          <a:grpSpLocks/>
        </xdr:cNvGrpSpPr>
      </xdr:nvGrpSpPr>
      <xdr:grpSpPr bwMode="auto">
        <a:xfrm>
          <a:off x="7383340" y="1962883"/>
          <a:ext cx="3944083" cy="3091229"/>
          <a:chOff x="135" y="120"/>
          <a:chExt cx="415" cy="277"/>
        </a:xfrm>
      </xdr:grpSpPr>
      <xdr:sp macro="" textlink="">
        <xdr:nvSpPr>
          <xdr:cNvPr id="3" name="Text Box 2"/>
          <xdr:cNvSpPr txBox="1">
            <a:spLocks noChangeArrowheads="1"/>
          </xdr:cNvSpPr>
        </xdr:nvSpPr>
        <xdr:spPr bwMode="auto">
          <a:xfrm>
            <a:off x="533" y="141"/>
            <a:ext cx="17" cy="38"/>
          </a:xfrm>
          <a:prstGeom prst="rect">
            <a:avLst/>
          </a:prstGeom>
          <a:noFill/>
          <a:ln>
            <a:noFill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lnSpc>
                <a:spcPts val="900"/>
              </a:lnSpc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D</a:t>
            </a:r>
          </a:p>
          <a:p>
            <a:pPr algn="l" rtl="0">
              <a:lnSpc>
                <a:spcPts val="900"/>
              </a:lnSpc>
              <a:defRPr sz="1000"/>
            </a:pPr>
            <a:endParaRPr lang="en-US" sz="1000" b="1" i="0" u="none" strike="noStrike" baseline="0">
              <a:solidFill>
                <a:srgbClr val="FF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4" name="Line 3"/>
          <xdr:cNvSpPr>
            <a:spLocks noChangeShapeType="1"/>
          </xdr:cNvSpPr>
        </xdr:nvSpPr>
        <xdr:spPr bwMode="auto">
          <a:xfrm>
            <a:off x="205" y="140"/>
            <a:ext cx="0" cy="223"/>
          </a:xfrm>
          <a:prstGeom prst="line">
            <a:avLst/>
          </a:prstGeom>
          <a:noFill/>
          <a:ln w="19050">
            <a:solidFill>
              <a:srgbClr val="FF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62" y="363"/>
            <a:ext cx="310" cy="0"/>
          </a:xfrm>
          <a:prstGeom prst="line">
            <a:avLst/>
          </a:prstGeom>
          <a:noFill/>
          <a:ln w="2857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205" y="143"/>
            <a:ext cx="326" cy="0"/>
          </a:xfrm>
          <a:prstGeom prst="line">
            <a:avLst/>
          </a:prstGeom>
          <a:noFill/>
          <a:ln w="2857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Freeform 6"/>
          <xdr:cNvSpPr>
            <a:spLocks/>
          </xdr:cNvSpPr>
        </xdr:nvSpPr>
        <xdr:spPr bwMode="auto">
          <a:xfrm>
            <a:off x="471" y="140"/>
            <a:ext cx="64" cy="220"/>
          </a:xfrm>
          <a:custGeom>
            <a:avLst/>
            <a:gdLst>
              <a:gd name="T0" fmla="*/ 0 w 144"/>
              <a:gd name="T1" fmla="*/ 220 h 333"/>
              <a:gd name="T2" fmla="*/ 8 w 144"/>
              <a:gd name="T3" fmla="*/ 178 h 333"/>
              <a:gd name="T4" fmla="*/ 35 w 144"/>
              <a:gd name="T5" fmla="*/ 89 h 333"/>
              <a:gd name="T6" fmla="*/ 64 w 144"/>
              <a:gd name="T7" fmla="*/ 0 h 333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44" h="333">
                <a:moveTo>
                  <a:pt x="0" y="333"/>
                </a:moveTo>
                <a:cubicBezTo>
                  <a:pt x="2" y="318"/>
                  <a:pt x="5" y="303"/>
                  <a:pt x="18" y="270"/>
                </a:cubicBezTo>
                <a:cubicBezTo>
                  <a:pt x="31" y="237"/>
                  <a:pt x="57" y="180"/>
                  <a:pt x="78" y="135"/>
                </a:cubicBezTo>
                <a:cubicBezTo>
                  <a:pt x="99" y="90"/>
                  <a:pt x="121" y="45"/>
                  <a:pt x="144" y="0"/>
                </a:cubicBezTo>
              </a:path>
            </a:pathLst>
          </a:custGeom>
          <a:noFill/>
          <a:ln w="28575" cmpd="sng">
            <a:solidFill>
              <a:srgbClr val="FF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" name="Freeform 7"/>
          <xdr:cNvSpPr>
            <a:spLocks/>
          </xdr:cNvSpPr>
        </xdr:nvSpPr>
        <xdr:spPr bwMode="auto">
          <a:xfrm>
            <a:off x="164" y="138"/>
            <a:ext cx="39" cy="222"/>
          </a:xfrm>
          <a:custGeom>
            <a:avLst/>
            <a:gdLst>
              <a:gd name="T0" fmla="*/ 0 w 90"/>
              <a:gd name="T1" fmla="*/ 222 h 336"/>
              <a:gd name="T2" fmla="*/ 13 w 90"/>
              <a:gd name="T3" fmla="*/ 135 h 336"/>
              <a:gd name="T4" fmla="*/ 39 w 90"/>
              <a:gd name="T5" fmla="*/ 0 h 33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0" h="336">
                <a:moveTo>
                  <a:pt x="0" y="336"/>
                </a:moveTo>
                <a:cubicBezTo>
                  <a:pt x="7" y="298"/>
                  <a:pt x="15" y="260"/>
                  <a:pt x="30" y="204"/>
                </a:cubicBezTo>
                <a:cubicBezTo>
                  <a:pt x="45" y="148"/>
                  <a:pt x="67" y="74"/>
                  <a:pt x="90" y="0"/>
                </a:cubicBezTo>
              </a:path>
            </a:pathLst>
          </a:custGeom>
          <a:noFill/>
          <a:ln w="28575" cmpd="sng">
            <a:solidFill>
              <a:srgbClr val="FF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" name="Text Box 8"/>
          <xdr:cNvSpPr txBox="1">
            <a:spLocks noChangeArrowheads="1"/>
          </xdr:cNvSpPr>
        </xdr:nvSpPr>
        <xdr:spPr bwMode="auto">
          <a:xfrm>
            <a:off x="177" y="120"/>
            <a:ext cx="17" cy="38"/>
          </a:xfrm>
          <a:prstGeom prst="rect">
            <a:avLst/>
          </a:prstGeom>
          <a:noFill/>
          <a:ln>
            <a:noFill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lnSpc>
                <a:spcPts val="900"/>
              </a:lnSpc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A</a:t>
            </a:r>
          </a:p>
          <a:p>
            <a:pPr algn="l" rtl="0">
              <a:lnSpc>
                <a:spcPts val="900"/>
              </a:lnSpc>
              <a:defRPr sz="1000"/>
            </a:pPr>
            <a:endParaRPr lang="en-US" sz="1000" b="1" i="0" u="none" strike="noStrike" baseline="0">
              <a:solidFill>
                <a:srgbClr val="FF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" name="Text Box 9"/>
          <xdr:cNvSpPr txBox="1">
            <a:spLocks noChangeArrowheads="1"/>
          </xdr:cNvSpPr>
        </xdr:nvSpPr>
        <xdr:spPr bwMode="auto">
          <a:xfrm>
            <a:off x="189" y="359"/>
            <a:ext cx="17" cy="38"/>
          </a:xfrm>
          <a:prstGeom prst="rect">
            <a:avLst/>
          </a:prstGeom>
          <a:noFill/>
          <a:ln>
            <a:noFill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lnSpc>
                <a:spcPts val="900"/>
              </a:lnSpc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B</a:t>
            </a:r>
          </a:p>
          <a:p>
            <a:pPr algn="l" rtl="0">
              <a:lnSpc>
                <a:spcPts val="900"/>
              </a:lnSpc>
              <a:defRPr sz="1000"/>
            </a:pPr>
            <a:endParaRPr lang="en-US" sz="1000" b="1" i="0" u="none" strike="noStrike" baseline="0">
              <a:solidFill>
                <a:srgbClr val="FF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" name="Text Box 10"/>
          <xdr:cNvSpPr txBox="1">
            <a:spLocks noChangeArrowheads="1"/>
          </xdr:cNvSpPr>
        </xdr:nvSpPr>
        <xdr:spPr bwMode="auto">
          <a:xfrm>
            <a:off x="465" y="359"/>
            <a:ext cx="17" cy="38"/>
          </a:xfrm>
          <a:prstGeom prst="rect">
            <a:avLst/>
          </a:prstGeom>
          <a:noFill/>
          <a:ln>
            <a:noFill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lnSpc>
                <a:spcPts val="900"/>
              </a:lnSpc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C</a:t>
            </a:r>
          </a:p>
          <a:p>
            <a:pPr algn="l" rtl="0">
              <a:lnSpc>
                <a:spcPts val="900"/>
              </a:lnSpc>
              <a:defRPr sz="1000"/>
            </a:pPr>
            <a:endParaRPr lang="en-US" sz="1000" b="1" i="0" u="none" strike="noStrike" baseline="0">
              <a:solidFill>
                <a:srgbClr val="FF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" name="Text Box 11"/>
          <xdr:cNvSpPr txBox="1">
            <a:spLocks noChangeArrowheads="1"/>
          </xdr:cNvSpPr>
        </xdr:nvSpPr>
        <xdr:spPr bwMode="auto">
          <a:xfrm>
            <a:off x="457" y="120"/>
            <a:ext cx="15" cy="38"/>
          </a:xfrm>
          <a:prstGeom prst="rect">
            <a:avLst/>
          </a:prstGeom>
          <a:noFill/>
          <a:ln>
            <a:noFill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lnSpc>
                <a:spcPts val="900"/>
              </a:lnSpc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E</a:t>
            </a:r>
          </a:p>
          <a:p>
            <a:pPr algn="l" rtl="0">
              <a:lnSpc>
                <a:spcPts val="900"/>
              </a:lnSpc>
              <a:defRPr sz="1000"/>
            </a:pPr>
            <a:endParaRPr lang="en-US" sz="1000" b="1" i="0" u="none" strike="noStrike" baseline="0">
              <a:solidFill>
                <a:srgbClr val="FF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" name="Text Box 12"/>
          <xdr:cNvSpPr txBox="1">
            <a:spLocks noChangeArrowheads="1"/>
          </xdr:cNvSpPr>
        </xdr:nvSpPr>
        <xdr:spPr bwMode="auto">
          <a:xfrm>
            <a:off x="140" y="358"/>
            <a:ext cx="15" cy="38"/>
          </a:xfrm>
          <a:prstGeom prst="rect">
            <a:avLst/>
          </a:prstGeom>
          <a:noFill/>
          <a:ln>
            <a:noFill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lnSpc>
                <a:spcPts val="900"/>
              </a:lnSpc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F</a:t>
            </a:r>
          </a:p>
          <a:p>
            <a:pPr algn="l" rtl="0">
              <a:lnSpc>
                <a:spcPts val="900"/>
              </a:lnSpc>
              <a:defRPr sz="1000"/>
            </a:pPr>
            <a:endParaRPr lang="en-US" sz="1000" b="1" i="0" u="none" strike="noStrike" baseline="0">
              <a:solidFill>
                <a:srgbClr val="FF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" name="Freeform 13"/>
          <xdr:cNvSpPr>
            <a:spLocks/>
          </xdr:cNvSpPr>
        </xdr:nvSpPr>
        <xdr:spPr bwMode="auto">
          <a:xfrm>
            <a:off x="457" y="141"/>
            <a:ext cx="14" cy="219"/>
          </a:xfrm>
          <a:custGeom>
            <a:avLst/>
            <a:gdLst>
              <a:gd name="T0" fmla="*/ 0 w 30"/>
              <a:gd name="T1" fmla="*/ 219 h 330"/>
              <a:gd name="T2" fmla="*/ 8 w 30"/>
              <a:gd name="T3" fmla="*/ 90 h 330"/>
              <a:gd name="T4" fmla="*/ 14 w 30"/>
              <a:gd name="T5" fmla="*/ 0 h 33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30" h="330">
                <a:moveTo>
                  <a:pt x="0" y="330"/>
                </a:moveTo>
                <a:cubicBezTo>
                  <a:pt x="6" y="260"/>
                  <a:pt x="13" y="190"/>
                  <a:pt x="18" y="135"/>
                </a:cubicBezTo>
                <a:cubicBezTo>
                  <a:pt x="23" y="80"/>
                  <a:pt x="28" y="22"/>
                  <a:pt x="30" y="0"/>
                </a:cubicBezTo>
              </a:path>
            </a:pathLst>
          </a:custGeom>
          <a:noFill/>
          <a:ln w="9525">
            <a:solidFill>
              <a:srgbClr val="FF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" name="Line 14"/>
          <xdr:cNvSpPr>
            <a:spLocks noChangeShapeType="1"/>
          </xdr:cNvSpPr>
        </xdr:nvSpPr>
        <xdr:spPr bwMode="auto">
          <a:xfrm flipV="1">
            <a:off x="162" y="253"/>
            <a:ext cx="0" cy="110"/>
          </a:xfrm>
          <a:prstGeom prst="line">
            <a:avLst/>
          </a:prstGeom>
          <a:noFill/>
          <a:ln w="2857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Text Box 15"/>
          <xdr:cNvSpPr txBox="1">
            <a:spLocks noChangeArrowheads="1"/>
          </xdr:cNvSpPr>
        </xdr:nvSpPr>
        <xdr:spPr bwMode="auto">
          <a:xfrm>
            <a:off x="135" y="243"/>
            <a:ext cx="17" cy="38"/>
          </a:xfrm>
          <a:prstGeom prst="rect">
            <a:avLst/>
          </a:prstGeom>
          <a:noFill/>
          <a:ln>
            <a:noFill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lnSpc>
                <a:spcPts val="900"/>
              </a:lnSpc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G</a:t>
            </a:r>
          </a:p>
          <a:p>
            <a:pPr algn="l" rtl="0">
              <a:lnSpc>
                <a:spcPts val="900"/>
              </a:lnSpc>
              <a:defRPr sz="1000"/>
            </a:pPr>
            <a:endParaRPr lang="en-US" sz="1000" b="1" i="0" u="none" strike="noStrike" baseline="0">
              <a:solidFill>
                <a:srgbClr val="FF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" name="Text Box 16"/>
          <xdr:cNvSpPr txBox="1">
            <a:spLocks noChangeArrowheads="1"/>
          </xdr:cNvSpPr>
        </xdr:nvSpPr>
        <xdr:spPr bwMode="auto">
          <a:xfrm>
            <a:off x="287" y="346"/>
            <a:ext cx="78" cy="19"/>
          </a:xfrm>
          <a:prstGeom prst="rect">
            <a:avLst/>
          </a:prstGeom>
          <a:noFill/>
          <a:ln>
            <a:noFill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Evaporating</a:t>
            </a:r>
          </a:p>
        </xdr:txBody>
      </xdr:sp>
      <xdr:sp macro="" textlink="">
        <xdr:nvSpPr>
          <xdr:cNvPr id="18" name="Text Box 17"/>
          <xdr:cNvSpPr txBox="1">
            <a:spLocks noChangeArrowheads="1"/>
          </xdr:cNvSpPr>
        </xdr:nvSpPr>
        <xdr:spPr bwMode="auto">
          <a:xfrm>
            <a:off x="299" y="143"/>
            <a:ext cx="77" cy="19"/>
          </a:xfrm>
          <a:prstGeom prst="rect">
            <a:avLst/>
          </a:prstGeom>
          <a:noFill/>
          <a:ln>
            <a:noFill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Condensing</a:t>
            </a:r>
          </a:p>
        </xdr:txBody>
      </xdr:sp>
      <xdr:sp macro="" textlink="">
        <xdr:nvSpPr>
          <xdr:cNvPr id="19" name="Text Box 18"/>
          <xdr:cNvSpPr txBox="1">
            <a:spLocks noChangeArrowheads="1"/>
          </xdr:cNvSpPr>
        </xdr:nvSpPr>
        <xdr:spPr bwMode="auto">
          <a:xfrm>
            <a:off x="209" y="208"/>
            <a:ext cx="19" cy="106"/>
          </a:xfrm>
          <a:prstGeom prst="rect">
            <a:avLst/>
          </a:prstGeom>
          <a:noFill/>
          <a:ln>
            <a:noFill/>
          </a:ln>
        </xdr:spPr>
        <xdr:txBody>
          <a:bodyPr vert="vert" wrap="none" lIns="18288" tIns="22860" rIns="0" bIns="0" anchor="b" upright="1">
            <a:spAutoFit/>
          </a:bodyPr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Metering Device</a:t>
            </a:r>
          </a:p>
        </xdr:txBody>
      </xdr:sp>
      <xdr:sp macro="" textlink="">
        <xdr:nvSpPr>
          <xdr:cNvPr id="20" name="Text Box 19"/>
          <xdr:cNvSpPr txBox="1">
            <a:spLocks noChangeArrowheads="1"/>
          </xdr:cNvSpPr>
        </xdr:nvSpPr>
        <xdr:spPr bwMode="auto">
          <a:xfrm>
            <a:off x="520" y="210"/>
            <a:ext cx="19" cy="85"/>
          </a:xfrm>
          <a:prstGeom prst="rect">
            <a:avLst/>
          </a:prstGeom>
          <a:noFill/>
          <a:ln>
            <a:noFill/>
          </a:ln>
        </xdr:spPr>
        <xdr:txBody>
          <a:bodyPr vert="vert270" wrap="none" lIns="18288" tIns="22860" rIns="0" bIns="0" anchor="t" upright="1">
            <a:spAutoFit/>
          </a:bodyPr>
          <a:lstStyle/>
          <a:p>
            <a:pPr algn="r" rtl="0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Compressing</a:t>
            </a:r>
          </a:p>
        </xdr:txBody>
      </xdr:sp>
      <xdr:sp macro="" textlink="">
        <xdr:nvSpPr>
          <xdr:cNvPr id="21" name="Text Box 20"/>
          <xdr:cNvSpPr txBox="1">
            <a:spLocks noChangeArrowheads="1"/>
          </xdr:cNvSpPr>
        </xdr:nvSpPr>
        <xdr:spPr bwMode="auto">
          <a:xfrm>
            <a:off x="140" y="290"/>
            <a:ext cx="19" cy="39"/>
          </a:xfrm>
          <a:prstGeom prst="rect">
            <a:avLst/>
          </a:prstGeom>
          <a:noFill/>
          <a:ln>
            <a:noFill/>
          </a:ln>
        </xdr:spPr>
        <xdr:txBody>
          <a:bodyPr vert="vert270" wrap="none" lIns="18288" tIns="22860" rIns="0" bIns="0" anchor="t" upright="1">
            <a:spAutoFit/>
          </a:bodyPr>
          <a:lstStyle/>
          <a:p>
            <a:pPr algn="r" rtl="0">
              <a:defRPr sz="1000"/>
            </a:pPr>
            <a:r>
              <a:rPr lang="en-US" sz="1000" b="1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Pump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wnloads\P_E_Calc.xls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7">
          <cell r="Q7">
            <v>20</v>
          </cell>
        </row>
        <row r="29">
          <cell r="O29">
            <v>38.380000000000003</v>
          </cell>
        </row>
        <row r="30">
          <cell r="R30">
            <v>1.3339000000000001</v>
          </cell>
        </row>
        <row r="54">
          <cell r="M54">
            <v>195.35</v>
          </cell>
        </row>
      </sheetData>
      <sheetData sheetId="1">
        <row r="5">
          <cell r="K5">
            <v>240</v>
          </cell>
          <cell r="L5">
            <v>728.23</v>
          </cell>
        </row>
        <row r="9">
          <cell r="K9">
            <v>1.3339000000000001</v>
          </cell>
        </row>
      </sheetData>
      <sheetData sheetId="2">
        <row r="1">
          <cell r="A1">
            <v>7.6</v>
          </cell>
          <cell r="C1" t="str">
            <v>b2</v>
          </cell>
          <cell r="D1" t="str">
            <v>h72</v>
          </cell>
          <cell r="F1">
            <v>7.6</v>
          </cell>
          <cell r="H1" t="str">
            <v>c2</v>
          </cell>
          <cell r="I1" t="str">
            <v>h72</v>
          </cell>
        </row>
        <row r="2">
          <cell r="A2">
            <v>8.9</v>
          </cell>
          <cell r="C2" t="str">
            <v>b74</v>
          </cell>
          <cell r="D2" t="str">
            <v>h144</v>
          </cell>
          <cell r="F2">
            <v>8.9</v>
          </cell>
          <cell r="H2" t="str">
            <v>c74</v>
          </cell>
          <cell r="I2" t="str">
            <v>h144</v>
          </cell>
        </row>
        <row r="3">
          <cell r="A3">
            <v>10.4</v>
          </cell>
          <cell r="C3" t="str">
            <v>b146</v>
          </cell>
          <cell r="D3" t="str">
            <v>h216</v>
          </cell>
          <cell r="F3">
            <v>10.4</v>
          </cell>
          <cell r="H3" t="str">
            <v>c146</v>
          </cell>
          <cell r="I3" t="str">
            <v>h216</v>
          </cell>
        </row>
        <row r="4">
          <cell r="A4">
            <v>12</v>
          </cell>
          <cell r="C4" t="str">
            <v>b218</v>
          </cell>
          <cell r="D4" t="str">
            <v>h288</v>
          </cell>
          <cell r="F4">
            <v>12</v>
          </cell>
          <cell r="H4" t="str">
            <v>c218</v>
          </cell>
          <cell r="I4" t="str">
            <v>h288</v>
          </cell>
        </row>
        <row r="5">
          <cell r="A5">
            <v>13.9</v>
          </cell>
          <cell r="C5" t="str">
            <v>b290</v>
          </cell>
          <cell r="D5" t="str">
            <v>h360</v>
          </cell>
          <cell r="F5">
            <v>13.9</v>
          </cell>
          <cell r="H5" t="str">
            <v>c290</v>
          </cell>
          <cell r="I5" t="str">
            <v>h360</v>
          </cell>
        </row>
        <row r="6">
          <cell r="A6">
            <v>14.7</v>
          </cell>
          <cell r="C6" t="str">
            <v>b362</v>
          </cell>
          <cell r="D6" t="str">
            <v>h432</v>
          </cell>
          <cell r="F6">
            <v>14.7</v>
          </cell>
          <cell r="H6" t="str">
            <v>c362</v>
          </cell>
          <cell r="I6" t="str">
            <v>h432</v>
          </cell>
        </row>
        <row r="7">
          <cell r="A7">
            <v>15.5</v>
          </cell>
          <cell r="C7" t="str">
            <v>b434</v>
          </cell>
          <cell r="D7" t="str">
            <v>h504</v>
          </cell>
          <cell r="F7">
            <v>15.5</v>
          </cell>
          <cell r="H7" t="str">
            <v>c434</v>
          </cell>
          <cell r="I7" t="str">
            <v>h504</v>
          </cell>
        </row>
        <row r="8">
          <cell r="A8">
            <v>16.399999999999999</v>
          </cell>
          <cell r="C8" t="str">
            <v>b506</v>
          </cell>
          <cell r="D8" t="str">
            <v>h576</v>
          </cell>
          <cell r="F8">
            <v>16.399999999999999</v>
          </cell>
          <cell r="H8" t="str">
            <v>c506</v>
          </cell>
          <cell r="I8" t="str">
            <v>h576</v>
          </cell>
        </row>
        <row r="9">
          <cell r="A9">
            <v>17.3</v>
          </cell>
          <cell r="C9" t="str">
            <v>b578</v>
          </cell>
          <cell r="D9" t="str">
            <v>h648</v>
          </cell>
          <cell r="F9">
            <v>17.3</v>
          </cell>
          <cell r="H9" t="str">
            <v>c578</v>
          </cell>
          <cell r="I9" t="str">
            <v>h648</v>
          </cell>
        </row>
        <row r="10">
          <cell r="A10">
            <v>18.2</v>
          </cell>
          <cell r="C10" t="str">
            <v>b650</v>
          </cell>
          <cell r="D10" t="str">
            <v>h720</v>
          </cell>
          <cell r="F10">
            <v>18.2</v>
          </cell>
          <cell r="H10" t="str">
            <v>c650</v>
          </cell>
          <cell r="I10" t="str">
            <v>h720</v>
          </cell>
        </row>
        <row r="11">
          <cell r="A11">
            <v>19.2</v>
          </cell>
          <cell r="C11" t="str">
            <v>b722</v>
          </cell>
          <cell r="D11" t="str">
            <v>h792</v>
          </cell>
          <cell r="F11">
            <v>19.2</v>
          </cell>
          <cell r="H11" t="str">
            <v>c722</v>
          </cell>
          <cell r="I11" t="str">
            <v>h792</v>
          </cell>
        </row>
        <row r="12">
          <cell r="A12">
            <v>20.3</v>
          </cell>
          <cell r="C12" t="str">
            <v>b794</v>
          </cell>
          <cell r="D12" t="str">
            <v>h864</v>
          </cell>
          <cell r="F12">
            <v>20.3</v>
          </cell>
          <cell r="H12" t="str">
            <v>c794</v>
          </cell>
          <cell r="I12" t="str">
            <v>h864</v>
          </cell>
        </row>
        <row r="13">
          <cell r="A13">
            <v>21.4</v>
          </cell>
          <cell r="C13" t="str">
            <v>b866</v>
          </cell>
          <cell r="D13" t="str">
            <v>h936</v>
          </cell>
          <cell r="F13">
            <v>21.4</v>
          </cell>
          <cell r="H13" t="str">
            <v>c866</v>
          </cell>
          <cell r="I13" t="str">
            <v>h936</v>
          </cell>
        </row>
        <row r="14">
          <cell r="A14">
            <v>22.5</v>
          </cell>
          <cell r="C14" t="str">
            <v>b938</v>
          </cell>
          <cell r="D14" t="str">
            <v>h1008</v>
          </cell>
          <cell r="F14">
            <v>22.5</v>
          </cell>
          <cell r="H14" t="str">
            <v>c938</v>
          </cell>
          <cell r="I14" t="str">
            <v>h1008</v>
          </cell>
        </row>
        <row r="15">
          <cell r="A15">
            <v>23.7</v>
          </cell>
          <cell r="C15" t="str">
            <v>b1010</v>
          </cell>
          <cell r="D15" t="str">
            <v>h1080</v>
          </cell>
          <cell r="F15">
            <v>23.7</v>
          </cell>
          <cell r="H15" t="str">
            <v>c1010</v>
          </cell>
          <cell r="I15" t="str">
            <v>h1080</v>
          </cell>
        </row>
        <row r="16">
          <cell r="A16">
            <v>24.9</v>
          </cell>
          <cell r="C16" t="str">
            <v>b1082</v>
          </cell>
          <cell r="D16" t="str">
            <v>h1152</v>
          </cell>
          <cell r="F16">
            <v>24.9</v>
          </cell>
          <cell r="H16" t="str">
            <v>c1082</v>
          </cell>
          <cell r="I16" t="str">
            <v>h1152</v>
          </cell>
        </row>
        <row r="17">
          <cell r="A17">
            <v>26.2</v>
          </cell>
          <cell r="C17" t="str">
            <v>b1154</v>
          </cell>
          <cell r="D17" t="str">
            <v>h1224</v>
          </cell>
          <cell r="F17">
            <v>26.2</v>
          </cell>
          <cell r="H17" t="str">
            <v>c1154</v>
          </cell>
          <cell r="I17" t="str">
            <v>h1224</v>
          </cell>
        </row>
        <row r="18">
          <cell r="A18">
            <v>27.5</v>
          </cell>
          <cell r="C18" t="str">
            <v>b1226</v>
          </cell>
          <cell r="D18" t="str">
            <v>h1296</v>
          </cell>
          <cell r="F18">
            <v>27.5</v>
          </cell>
          <cell r="H18" t="str">
            <v>c1226</v>
          </cell>
          <cell r="I18" t="str">
            <v>h1296</v>
          </cell>
        </row>
        <row r="19">
          <cell r="A19">
            <v>28.9</v>
          </cell>
          <cell r="C19" t="str">
            <v>b1298</v>
          </cell>
          <cell r="D19" t="str">
            <v>h1368</v>
          </cell>
          <cell r="F19">
            <v>28.9</v>
          </cell>
          <cell r="H19" t="str">
            <v>c1298</v>
          </cell>
          <cell r="I19" t="str">
            <v>h1368</v>
          </cell>
        </row>
        <row r="20">
          <cell r="A20">
            <v>30.3</v>
          </cell>
          <cell r="C20" t="str">
            <v>b1370</v>
          </cell>
          <cell r="D20" t="str">
            <v>h1440</v>
          </cell>
          <cell r="F20">
            <v>30.3</v>
          </cell>
          <cell r="H20" t="str">
            <v>c1370</v>
          </cell>
          <cell r="I20" t="str">
            <v>h1440</v>
          </cell>
        </row>
        <row r="21">
          <cell r="A21">
            <v>31.8</v>
          </cell>
          <cell r="C21" t="str">
            <v>b1442</v>
          </cell>
          <cell r="D21" t="str">
            <v>h1512</v>
          </cell>
          <cell r="F21">
            <v>31.8</v>
          </cell>
          <cell r="H21" t="str">
            <v>c1442</v>
          </cell>
          <cell r="I21" t="str">
            <v>h1512</v>
          </cell>
        </row>
        <row r="22">
          <cell r="A22">
            <v>33.4</v>
          </cell>
          <cell r="C22" t="str">
            <v>b1514</v>
          </cell>
          <cell r="D22" t="str">
            <v>h1584</v>
          </cell>
          <cell r="F22">
            <v>33.4</v>
          </cell>
          <cell r="H22" t="str">
            <v>c1514</v>
          </cell>
          <cell r="I22" t="str">
            <v>h1584</v>
          </cell>
        </row>
        <row r="23">
          <cell r="A23">
            <v>35</v>
          </cell>
          <cell r="C23" t="str">
            <v>b1586</v>
          </cell>
          <cell r="D23" t="str">
            <v>h1656</v>
          </cell>
          <cell r="F23">
            <v>35</v>
          </cell>
          <cell r="H23" t="str">
            <v>c1586</v>
          </cell>
          <cell r="I23" t="str">
            <v>h1656</v>
          </cell>
        </row>
        <row r="24">
          <cell r="A24">
            <v>36.700000000000003</v>
          </cell>
          <cell r="C24" t="str">
            <v>b1658</v>
          </cell>
          <cell r="D24" t="str">
            <v>h1728</v>
          </cell>
          <cell r="F24">
            <v>36.700000000000003</v>
          </cell>
          <cell r="H24" t="str">
            <v>c1658</v>
          </cell>
          <cell r="I24" t="str">
            <v>h1728</v>
          </cell>
        </row>
        <row r="25">
          <cell r="A25">
            <v>38.4</v>
          </cell>
          <cell r="C25" t="str">
            <v>b1730</v>
          </cell>
          <cell r="D25" t="str">
            <v>h1800</v>
          </cell>
          <cell r="F25">
            <v>38.4</v>
          </cell>
          <cell r="H25" t="str">
            <v>c1730</v>
          </cell>
          <cell r="I25" t="str">
            <v>h1800</v>
          </cell>
        </row>
        <row r="26">
          <cell r="A26">
            <v>40.200000000000003</v>
          </cell>
          <cell r="C26" t="str">
            <v>b1802</v>
          </cell>
          <cell r="D26" t="str">
            <v>h1872</v>
          </cell>
          <cell r="F26">
            <v>40.200000000000003</v>
          </cell>
          <cell r="H26" t="str">
            <v>c1802</v>
          </cell>
          <cell r="I26" t="str">
            <v>h1872</v>
          </cell>
        </row>
        <row r="27">
          <cell r="A27">
            <v>42.1</v>
          </cell>
          <cell r="C27" t="str">
            <v>b1874</v>
          </cell>
          <cell r="D27" t="str">
            <v>h1944</v>
          </cell>
          <cell r="F27">
            <v>42.1</v>
          </cell>
          <cell r="H27" t="str">
            <v>c1874</v>
          </cell>
          <cell r="I27" t="str">
            <v>h1944</v>
          </cell>
        </row>
        <row r="28">
          <cell r="A28">
            <v>44</v>
          </cell>
          <cell r="C28" t="str">
            <v>b1946</v>
          </cell>
          <cell r="D28" t="str">
            <v>h2016</v>
          </cell>
          <cell r="F28">
            <v>44</v>
          </cell>
          <cell r="H28" t="str">
            <v>c1946</v>
          </cell>
          <cell r="I28" t="str">
            <v>h2016</v>
          </cell>
        </row>
        <row r="29">
          <cell r="A29">
            <v>46</v>
          </cell>
          <cell r="C29" t="str">
            <v>b2018</v>
          </cell>
          <cell r="D29" t="str">
            <v>h2088</v>
          </cell>
          <cell r="F29">
            <v>46</v>
          </cell>
          <cell r="H29" t="str">
            <v>c2018</v>
          </cell>
          <cell r="I29" t="str">
            <v>h2088</v>
          </cell>
        </row>
        <row r="30">
          <cell r="A30">
            <v>48.1</v>
          </cell>
          <cell r="C30" t="str">
            <v>b2090</v>
          </cell>
          <cell r="D30" t="str">
            <v>h2160</v>
          </cell>
          <cell r="F30">
            <v>48.1</v>
          </cell>
          <cell r="H30" t="str">
            <v>c2090</v>
          </cell>
          <cell r="I30" t="str">
            <v>h2160</v>
          </cell>
        </row>
        <row r="31">
          <cell r="A31">
            <v>50.2</v>
          </cell>
          <cell r="C31" t="str">
            <v>b2162</v>
          </cell>
          <cell r="D31" t="str">
            <v>h2232</v>
          </cell>
          <cell r="F31">
            <v>50.2</v>
          </cell>
          <cell r="H31" t="str">
            <v>c2162</v>
          </cell>
          <cell r="I31" t="str">
            <v>h2232</v>
          </cell>
        </row>
        <row r="32">
          <cell r="A32">
            <v>52.4</v>
          </cell>
          <cell r="C32" t="str">
            <v>b2234</v>
          </cell>
          <cell r="D32" t="str">
            <v>h2304</v>
          </cell>
          <cell r="F32">
            <v>52.4</v>
          </cell>
          <cell r="H32" t="str">
            <v>c2234</v>
          </cell>
          <cell r="I32" t="str">
            <v>h2304</v>
          </cell>
        </row>
        <row r="33">
          <cell r="A33">
            <v>54.7</v>
          </cell>
          <cell r="C33" t="str">
            <v>b2306</v>
          </cell>
          <cell r="D33" t="str">
            <v>h2376</v>
          </cell>
          <cell r="F33">
            <v>54.7</v>
          </cell>
          <cell r="H33" t="str">
            <v>c2306</v>
          </cell>
          <cell r="I33" t="str">
            <v>h2376</v>
          </cell>
        </row>
        <row r="34">
          <cell r="A34">
            <v>57.1</v>
          </cell>
          <cell r="C34" t="str">
            <v>b2378</v>
          </cell>
          <cell r="D34" t="str">
            <v>h2448</v>
          </cell>
          <cell r="F34">
            <v>57.1</v>
          </cell>
          <cell r="H34" t="str">
            <v>c2378</v>
          </cell>
          <cell r="I34" t="str">
            <v>h2448</v>
          </cell>
        </row>
        <row r="35">
          <cell r="A35">
            <v>59.6</v>
          </cell>
          <cell r="C35" t="str">
            <v>b2450</v>
          </cell>
          <cell r="D35" t="str">
            <v>h2520</v>
          </cell>
          <cell r="F35">
            <v>59.6</v>
          </cell>
          <cell r="H35" t="str">
            <v>c2450</v>
          </cell>
          <cell r="I35" t="str">
            <v>h2520</v>
          </cell>
        </row>
        <row r="36">
          <cell r="A36">
            <v>62.1</v>
          </cell>
          <cell r="C36" t="str">
            <v>b2522</v>
          </cell>
          <cell r="D36" t="str">
            <v>h2592</v>
          </cell>
          <cell r="F36">
            <v>62.1</v>
          </cell>
          <cell r="H36" t="str">
            <v>c2522</v>
          </cell>
          <cell r="I36" t="str">
            <v>h2592</v>
          </cell>
        </row>
        <row r="37">
          <cell r="A37">
            <v>64.7</v>
          </cell>
          <cell r="C37" t="str">
            <v>b2594</v>
          </cell>
          <cell r="D37" t="str">
            <v>h2664</v>
          </cell>
          <cell r="F37">
            <v>64.7</v>
          </cell>
          <cell r="H37" t="str">
            <v>c2594</v>
          </cell>
          <cell r="I37" t="str">
            <v>h2664</v>
          </cell>
        </row>
        <row r="38">
          <cell r="A38">
            <v>67.400000000000006</v>
          </cell>
          <cell r="C38" t="str">
            <v>b2666</v>
          </cell>
          <cell r="D38" t="str">
            <v>h2736</v>
          </cell>
          <cell r="F38">
            <v>67.400000000000006</v>
          </cell>
          <cell r="H38" t="str">
            <v>c2666</v>
          </cell>
          <cell r="I38" t="str">
            <v>h2736</v>
          </cell>
        </row>
        <row r="39">
          <cell r="A39">
            <v>70.2</v>
          </cell>
          <cell r="C39" t="str">
            <v>b2738</v>
          </cell>
          <cell r="D39" t="str">
            <v>h2808</v>
          </cell>
          <cell r="F39">
            <v>70.2</v>
          </cell>
          <cell r="H39" t="str">
            <v>c2738</v>
          </cell>
          <cell r="I39" t="str">
            <v>h2808</v>
          </cell>
        </row>
        <row r="40">
          <cell r="A40">
            <v>73.099999999999994</v>
          </cell>
          <cell r="C40" t="str">
            <v>b2810</v>
          </cell>
          <cell r="D40" t="str">
            <v>h2880</v>
          </cell>
          <cell r="F40">
            <v>73.099999999999994</v>
          </cell>
          <cell r="H40" t="str">
            <v>c2810</v>
          </cell>
          <cell r="I40" t="str">
            <v>h2880</v>
          </cell>
        </row>
        <row r="41">
          <cell r="A41">
            <v>81.7</v>
          </cell>
          <cell r="C41" t="str">
            <v>b2882</v>
          </cell>
          <cell r="D41" t="str">
            <v>h2952</v>
          </cell>
          <cell r="F41">
            <v>81.7</v>
          </cell>
          <cell r="H41" t="str">
            <v>c2882</v>
          </cell>
          <cell r="I41" t="str">
            <v>h2952</v>
          </cell>
        </row>
        <row r="42">
          <cell r="A42">
            <v>89</v>
          </cell>
          <cell r="C42" t="str">
            <v>b2954</v>
          </cell>
          <cell r="D42" t="str">
            <v>h3024</v>
          </cell>
          <cell r="F42">
            <v>89</v>
          </cell>
          <cell r="H42" t="str">
            <v>c2954</v>
          </cell>
          <cell r="I42" t="str">
            <v>h3024</v>
          </cell>
        </row>
        <row r="43">
          <cell r="A43">
            <v>97.8</v>
          </cell>
          <cell r="C43" t="str">
            <v>b3026</v>
          </cell>
          <cell r="D43" t="str">
            <v>h3096</v>
          </cell>
          <cell r="F43">
            <v>97.8</v>
          </cell>
          <cell r="H43" t="str">
            <v>c3026</v>
          </cell>
          <cell r="I43" t="str">
            <v>h3096</v>
          </cell>
        </row>
        <row r="44">
          <cell r="A44">
            <v>107.3</v>
          </cell>
          <cell r="C44" t="str">
            <v>b3098</v>
          </cell>
          <cell r="D44" t="str">
            <v>h3168</v>
          </cell>
          <cell r="F44">
            <v>107.3</v>
          </cell>
          <cell r="H44" t="str">
            <v>c3098</v>
          </cell>
          <cell r="I44" t="str">
            <v>h3168</v>
          </cell>
        </row>
        <row r="45">
          <cell r="A45">
            <v>117.5</v>
          </cell>
          <cell r="C45" t="str">
            <v>b3170</v>
          </cell>
          <cell r="D45" t="str">
            <v>h3240</v>
          </cell>
          <cell r="F45">
            <v>117.5</v>
          </cell>
          <cell r="H45" t="str">
            <v>c3170</v>
          </cell>
          <cell r="I45" t="str">
            <v>h3240</v>
          </cell>
        </row>
        <row r="46">
          <cell r="A46">
            <v>128.5</v>
          </cell>
          <cell r="C46" t="str">
            <v>b3242</v>
          </cell>
          <cell r="D46" t="str">
            <v>h3312</v>
          </cell>
          <cell r="F46">
            <v>128.5</v>
          </cell>
          <cell r="H46" t="str">
            <v>c3242</v>
          </cell>
          <cell r="I46" t="str">
            <v>h3312</v>
          </cell>
        </row>
        <row r="47">
          <cell r="A47">
            <v>130</v>
          </cell>
          <cell r="C47" t="str">
            <v>b3314</v>
          </cell>
          <cell r="D47" t="str">
            <v>h3384</v>
          </cell>
          <cell r="F47">
            <v>130</v>
          </cell>
          <cell r="H47" t="str">
            <v>c3314</v>
          </cell>
          <cell r="I47" t="str">
            <v>h3384</v>
          </cell>
        </row>
        <row r="48">
          <cell r="A48">
            <v>135</v>
          </cell>
          <cell r="C48" t="str">
            <v>b3386</v>
          </cell>
          <cell r="D48" t="str">
            <v>h3456</v>
          </cell>
          <cell r="F48">
            <v>135</v>
          </cell>
          <cell r="H48" t="str">
            <v>c3386</v>
          </cell>
          <cell r="I48" t="str">
            <v>h3456</v>
          </cell>
        </row>
        <row r="49">
          <cell r="A49">
            <v>140</v>
          </cell>
          <cell r="C49" t="str">
            <v>b3458</v>
          </cell>
          <cell r="D49" t="str">
            <v>h3528</v>
          </cell>
          <cell r="F49">
            <v>140</v>
          </cell>
          <cell r="H49" t="str">
            <v>c3458</v>
          </cell>
          <cell r="I49" t="str">
            <v>h3528</v>
          </cell>
        </row>
        <row r="50">
          <cell r="A50">
            <v>145</v>
          </cell>
          <cell r="C50" t="str">
            <v>b3530</v>
          </cell>
          <cell r="D50" t="str">
            <v>h3600</v>
          </cell>
          <cell r="F50">
            <v>145</v>
          </cell>
          <cell r="H50" t="str">
            <v>c3530</v>
          </cell>
          <cell r="I50" t="str">
            <v>h3600</v>
          </cell>
        </row>
        <row r="51">
          <cell r="A51">
            <v>150</v>
          </cell>
          <cell r="C51" t="str">
            <v>b3602</v>
          </cell>
          <cell r="D51" t="str">
            <v>h3672</v>
          </cell>
          <cell r="F51">
            <v>150</v>
          </cell>
          <cell r="H51" t="str">
            <v>c3602</v>
          </cell>
          <cell r="I51" t="str">
            <v>h3672</v>
          </cell>
        </row>
        <row r="52">
          <cell r="A52">
            <v>155</v>
          </cell>
          <cell r="C52" t="str">
            <v>b3674</v>
          </cell>
          <cell r="D52" t="str">
            <v>h3744</v>
          </cell>
          <cell r="F52">
            <v>155</v>
          </cell>
          <cell r="H52" t="str">
            <v>c3674</v>
          </cell>
          <cell r="I52" t="str">
            <v>h3744</v>
          </cell>
        </row>
        <row r="53">
          <cell r="A53">
            <v>160</v>
          </cell>
          <cell r="C53" t="str">
            <v>b3746</v>
          </cell>
          <cell r="D53" t="str">
            <v>h3816</v>
          </cell>
          <cell r="F53">
            <v>160</v>
          </cell>
          <cell r="H53" t="str">
            <v>c3746</v>
          </cell>
          <cell r="I53" t="str">
            <v>h3816</v>
          </cell>
        </row>
        <row r="54">
          <cell r="A54">
            <v>165</v>
          </cell>
          <cell r="C54" t="str">
            <v>b3818</v>
          </cell>
          <cell r="D54" t="str">
            <v>h3888</v>
          </cell>
          <cell r="F54">
            <v>165</v>
          </cell>
          <cell r="H54" t="str">
            <v>c3818</v>
          </cell>
          <cell r="I54" t="str">
            <v>h3888</v>
          </cell>
        </row>
        <row r="55">
          <cell r="A55">
            <v>170</v>
          </cell>
          <cell r="C55" t="str">
            <v>b3890</v>
          </cell>
          <cell r="D55" t="str">
            <v>h3960</v>
          </cell>
          <cell r="F55">
            <v>170</v>
          </cell>
          <cell r="H55" t="str">
            <v>c3890</v>
          </cell>
          <cell r="I55" t="str">
            <v>h3960</v>
          </cell>
        </row>
        <row r="56">
          <cell r="A56">
            <v>175</v>
          </cell>
          <cell r="C56" t="str">
            <v>b3962</v>
          </cell>
          <cell r="D56" t="str">
            <v>h4032</v>
          </cell>
          <cell r="F56">
            <v>175</v>
          </cell>
          <cell r="H56" t="str">
            <v>c3962</v>
          </cell>
          <cell r="I56" t="str">
            <v>h4032</v>
          </cell>
        </row>
        <row r="57">
          <cell r="A57">
            <v>180</v>
          </cell>
          <cell r="C57" t="str">
            <v>b4034</v>
          </cell>
          <cell r="D57" t="str">
            <v>h4104</v>
          </cell>
          <cell r="F57">
            <v>180</v>
          </cell>
          <cell r="H57" t="str">
            <v>c4034</v>
          </cell>
          <cell r="I57" t="str">
            <v>h4104</v>
          </cell>
        </row>
        <row r="58">
          <cell r="A58">
            <v>185</v>
          </cell>
          <cell r="C58" t="str">
            <v>b4106</v>
          </cell>
          <cell r="D58" t="str">
            <v>h4176</v>
          </cell>
          <cell r="F58">
            <v>185</v>
          </cell>
          <cell r="H58" t="str">
            <v>c4106</v>
          </cell>
          <cell r="I58" t="str">
            <v>h4176</v>
          </cell>
        </row>
        <row r="59">
          <cell r="A59">
            <v>190</v>
          </cell>
          <cell r="C59" t="str">
            <v>b4178</v>
          </cell>
          <cell r="D59" t="str">
            <v>h4248</v>
          </cell>
          <cell r="F59">
            <v>190</v>
          </cell>
          <cell r="H59" t="str">
            <v>c4178</v>
          </cell>
          <cell r="I59" t="str">
            <v>h4248</v>
          </cell>
        </row>
        <row r="60">
          <cell r="A60">
            <v>195</v>
          </cell>
          <cell r="C60" t="str">
            <v>b4250</v>
          </cell>
          <cell r="D60" t="str">
            <v>h4320</v>
          </cell>
          <cell r="F60">
            <v>195</v>
          </cell>
          <cell r="H60" t="str">
            <v>c4250</v>
          </cell>
          <cell r="I60" t="str">
            <v>h4320</v>
          </cell>
        </row>
        <row r="61">
          <cell r="A61">
            <v>200</v>
          </cell>
          <cell r="C61" t="str">
            <v>b4322</v>
          </cell>
          <cell r="D61" t="str">
            <v>h4392</v>
          </cell>
          <cell r="F61">
            <v>200</v>
          </cell>
          <cell r="H61" t="str">
            <v>c4322</v>
          </cell>
          <cell r="I61" t="str">
            <v>h4392</v>
          </cell>
        </row>
        <row r="62">
          <cell r="A62">
            <v>205</v>
          </cell>
          <cell r="C62" t="str">
            <v>b4394</v>
          </cell>
          <cell r="D62" t="str">
            <v>h4464</v>
          </cell>
          <cell r="F62">
            <v>205</v>
          </cell>
          <cell r="H62" t="str">
            <v>c4394</v>
          </cell>
          <cell r="I62" t="str">
            <v>h4464</v>
          </cell>
        </row>
        <row r="63">
          <cell r="A63">
            <v>210</v>
          </cell>
          <cell r="C63" t="str">
            <v>b4466</v>
          </cell>
          <cell r="D63" t="str">
            <v>h4536</v>
          </cell>
          <cell r="F63">
            <v>210</v>
          </cell>
          <cell r="H63" t="str">
            <v>c4466</v>
          </cell>
          <cell r="I63" t="str">
            <v>h4536</v>
          </cell>
        </row>
        <row r="64">
          <cell r="A64">
            <v>215</v>
          </cell>
          <cell r="C64" t="str">
            <v>b4538</v>
          </cell>
          <cell r="D64" t="str">
            <v>h4608</v>
          </cell>
          <cell r="F64">
            <v>215</v>
          </cell>
          <cell r="H64" t="str">
            <v>c4538</v>
          </cell>
          <cell r="I64" t="str">
            <v>h4608</v>
          </cell>
        </row>
        <row r="65">
          <cell r="A65">
            <v>220</v>
          </cell>
          <cell r="C65" t="str">
            <v>b4610</v>
          </cell>
          <cell r="D65" t="str">
            <v>h4680</v>
          </cell>
          <cell r="F65">
            <v>220</v>
          </cell>
          <cell r="H65" t="str">
            <v>c4610</v>
          </cell>
          <cell r="I65" t="str">
            <v>h4680</v>
          </cell>
        </row>
        <row r="66">
          <cell r="A66">
            <v>225</v>
          </cell>
          <cell r="C66" t="str">
            <v>b4682</v>
          </cell>
          <cell r="D66" t="str">
            <v>h4752</v>
          </cell>
          <cell r="F66">
            <v>225</v>
          </cell>
          <cell r="H66" t="str">
            <v>c4682</v>
          </cell>
          <cell r="I66" t="str">
            <v>h4752</v>
          </cell>
        </row>
        <row r="67">
          <cell r="A67">
            <v>230</v>
          </cell>
          <cell r="C67" t="str">
            <v>b4754</v>
          </cell>
          <cell r="D67" t="str">
            <v>h4824</v>
          </cell>
          <cell r="F67">
            <v>230</v>
          </cell>
          <cell r="H67" t="str">
            <v>c4754</v>
          </cell>
          <cell r="I67" t="str">
            <v>h4824</v>
          </cell>
        </row>
        <row r="68">
          <cell r="A68">
            <v>235</v>
          </cell>
          <cell r="C68" t="str">
            <v>b4826</v>
          </cell>
          <cell r="D68" t="str">
            <v>h4896</v>
          </cell>
          <cell r="F68">
            <v>235</v>
          </cell>
          <cell r="H68" t="str">
            <v>c4826</v>
          </cell>
          <cell r="I68" t="str">
            <v>h4896</v>
          </cell>
        </row>
        <row r="69">
          <cell r="A69">
            <v>240</v>
          </cell>
          <cell r="C69" t="str">
            <v>b4898</v>
          </cell>
          <cell r="D69" t="str">
            <v>h4968</v>
          </cell>
          <cell r="F69">
            <v>240</v>
          </cell>
          <cell r="H69" t="str">
            <v>c4898</v>
          </cell>
          <cell r="I69" t="str">
            <v>h4968</v>
          </cell>
        </row>
        <row r="70">
          <cell r="A70">
            <v>245</v>
          </cell>
          <cell r="C70" t="str">
            <v>b4970</v>
          </cell>
          <cell r="D70" t="str">
            <v>h5040</v>
          </cell>
          <cell r="F70">
            <v>245</v>
          </cell>
          <cell r="H70" t="str">
            <v>c4970</v>
          </cell>
          <cell r="I70" t="str">
            <v>h5040</v>
          </cell>
        </row>
        <row r="71">
          <cell r="A71">
            <v>250</v>
          </cell>
          <cell r="C71" t="str">
            <v>b5042</v>
          </cell>
          <cell r="D71" t="str">
            <v>h5112</v>
          </cell>
          <cell r="F71">
            <v>250</v>
          </cell>
          <cell r="H71" t="str">
            <v>c5042</v>
          </cell>
          <cell r="I71" t="str">
            <v>h5112</v>
          </cell>
        </row>
        <row r="72">
          <cell r="A72">
            <v>255</v>
          </cell>
          <cell r="C72" t="str">
            <v>b5114</v>
          </cell>
          <cell r="D72" t="str">
            <v>h5184</v>
          </cell>
          <cell r="F72">
            <v>255</v>
          </cell>
          <cell r="H72" t="str">
            <v>c5114</v>
          </cell>
          <cell r="I72" t="str">
            <v>h5184</v>
          </cell>
        </row>
        <row r="73">
          <cell r="A73">
            <v>260</v>
          </cell>
          <cell r="C73" t="str">
            <v>b5186</v>
          </cell>
          <cell r="D73" t="str">
            <v>h5256</v>
          </cell>
          <cell r="F73">
            <v>260</v>
          </cell>
          <cell r="H73" t="str">
            <v>c5186</v>
          </cell>
          <cell r="I73" t="str">
            <v>h5256</v>
          </cell>
        </row>
        <row r="74">
          <cell r="A74">
            <v>265</v>
          </cell>
          <cell r="C74" t="str">
            <v>b5258</v>
          </cell>
          <cell r="D74" t="str">
            <v>h5328</v>
          </cell>
          <cell r="F74">
            <v>265</v>
          </cell>
          <cell r="H74" t="str">
            <v>c5258</v>
          </cell>
          <cell r="I74" t="str">
            <v>h5328</v>
          </cell>
        </row>
        <row r="75">
          <cell r="A75">
            <v>270</v>
          </cell>
          <cell r="C75" t="str">
            <v>b5330</v>
          </cell>
          <cell r="D75" t="str">
            <v>h5400</v>
          </cell>
          <cell r="F75">
            <v>270</v>
          </cell>
          <cell r="H75" t="str">
            <v>c5330</v>
          </cell>
          <cell r="I75" t="str">
            <v>h5400</v>
          </cell>
        </row>
        <row r="76">
          <cell r="A76">
            <v>275</v>
          </cell>
          <cell r="C76" t="str">
            <v>b5402</v>
          </cell>
          <cell r="D76" t="str">
            <v>h5472</v>
          </cell>
          <cell r="F76">
            <v>275</v>
          </cell>
          <cell r="H76" t="str">
            <v>c5402</v>
          </cell>
          <cell r="I76" t="str">
            <v>h5472</v>
          </cell>
        </row>
        <row r="77">
          <cell r="A77">
            <v>280</v>
          </cell>
          <cell r="C77" t="str">
            <v>b5474</v>
          </cell>
          <cell r="D77" t="str">
            <v>h5544</v>
          </cell>
          <cell r="F77">
            <v>280</v>
          </cell>
          <cell r="H77" t="str">
            <v>c5474</v>
          </cell>
          <cell r="I77" t="str">
            <v>h5544</v>
          </cell>
        </row>
        <row r="78">
          <cell r="A78">
            <v>285</v>
          </cell>
          <cell r="C78" t="str">
            <v>b5546</v>
          </cell>
          <cell r="D78" t="str">
            <v>h5616</v>
          </cell>
          <cell r="F78">
            <v>285</v>
          </cell>
          <cell r="H78" t="str">
            <v>c5546</v>
          </cell>
          <cell r="I78" t="str">
            <v>h5616</v>
          </cell>
        </row>
        <row r="79">
          <cell r="A79">
            <v>290</v>
          </cell>
          <cell r="C79" t="str">
            <v>b5618</v>
          </cell>
          <cell r="D79" t="str">
            <v>h5688</v>
          </cell>
          <cell r="F79">
            <v>290</v>
          </cell>
          <cell r="H79" t="str">
            <v>c5618</v>
          </cell>
          <cell r="I79" t="str">
            <v>h5688</v>
          </cell>
        </row>
        <row r="80">
          <cell r="A80">
            <v>295</v>
          </cell>
          <cell r="C80" t="str">
            <v>b5690</v>
          </cell>
          <cell r="D80" t="str">
            <v>h5760</v>
          </cell>
          <cell r="F80">
            <v>295</v>
          </cell>
          <cell r="H80" t="str">
            <v>c5690</v>
          </cell>
          <cell r="I80" t="str">
            <v>h5760</v>
          </cell>
        </row>
        <row r="81">
          <cell r="A81">
            <v>300</v>
          </cell>
          <cell r="C81" t="str">
            <v>b5762</v>
          </cell>
          <cell r="D81" t="str">
            <v>h5832</v>
          </cell>
          <cell r="F81">
            <v>300</v>
          </cell>
          <cell r="H81" t="str">
            <v>c5762</v>
          </cell>
          <cell r="I81" t="str">
            <v>h5832</v>
          </cell>
        </row>
        <row r="82">
          <cell r="A82">
            <v>305</v>
          </cell>
          <cell r="C82" t="str">
            <v>b5834</v>
          </cell>
          <cell r="D82" t="str">
            <v>h5904</v>
          </cell>
          <cell r="F82">
            <v>305</v>
          </cell>
          <cell r="H82" t="str">
            <v>c5834</v>
          </cell>
          <cell r="I82" t="str">
            <v>h5904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52"/>
  <sheetViews>
    <sheetView tabSelected="1" topLeftCell="A7" zoomScale="130" zoomScaleNormal="130" workbookViewId="0">
      <selection activeCell="K12" sqref="K12"/>
    </sheetView>
  </sheetViews>
  <sheetFormatPr defaultRowHeight="15" x14ac:dyDescent="0.25"/>
  <cols>
    <col min="1" max="10" width="9.140625" customWidth="1"/>
    <col min="257" max="266" width="9.140625" customWidth="1"/>
    <col min="513" max="522" width="9.140625" customWidth="1"/>
    <col min="769" max="778" width="9.140625" customWidth="1"/>
    <col min="1025" max="1034" width="9.140625" customWidth="1"/>
    <col min="1281" max="1290" width="9.140625" customWidth="1"/>
    <col min="1537" max="1546" width="9.140625" customWidth="1"/>
    <col min="1793" max="1802" width="9.140625" customWidth="1"/>
    <col min="2049" max="2058" width="9.140625" customWidth="1"/>
    <col min="2305" max="2314" width="9.140625" customWidth="1"/>
    <col min="2561" max="2570" width="9.140625" customWidth="1"/>
    <col min="2817" max="2826" width="9.140625" customWidth="1"/>
    <col min="3073" max="3082" width="9.140625" customWidth="1"/>
    <col min="3329" max="3338" width="9.140625" customWidth="1"/>
    <col min="3585" max="3594" width="9.140625" customWidth="1"/>
    <col min="3841" max="3850" width="9.140625" customWidth="1"/>
    <col min="4097" max="4106" width="9.140625" customWidth="1"/>
    <col min="4353" max="4362" width="9.140625" customWidth="1"/>
    <col min="4609" max="4618" width="9.140625" customWidth="1"/>
    <col min="4865" max="4874" width="9.140625" customWidth="1"/>
    <col min="5121" max="5130" width="9.140625" customWidth="1"/>
    <col min="5377" max="5386" width="9.140625" customWidth="1"/>
    <col min="5633" max="5642" width="9.140625" customWidth="1"/>
    <col min="5889" max="5898" width="9.140625" customWidth="1"/>
    <col min="6145" max="6154" width="9.140625" customWidth="1"/>
    <col min="6401" max="6410" width="9.140625" customWidth="1"/>
    <col min="6657" max="6666" width="9.140625" customWidth="1"/>
    <col min="6913" max="6922" width="9.140625" customWidth="1"/>
    <col min="7169" max="7178" width="9.140625" customWidth="1"/>
    <col min="7425" max="7434" width="9.140625" customWidth="1"/>
    <col min="7681" max="7690" width="9.140625" customWidth="1"/>
    <col min="7937" max="7946" width="9.140625" customWidth="1"/>
    <col min="8193" max="8202" width="9.140625" customWidth="1"/>
    <col min="8449" max="8458" width="9.140625" customWidth="1"/>
    <col min="8705" max="8714" width="9.140625" customWidth="1"/>
    <col min="8961" max="8970" width="9.140625" customWidth="1"/>
    <col min="9217" max="9226" width="9.140625" customWidth="1"/>
    <col min="9473" max="9482" width="9.140625" customWidth="1"/>
    <col min="9729" max="9738" width="9.140625" customWidth="1"/>
    <col min="9985" max="9994" width="9.140625" customWidth="1"/>
    <col min="10241" max="10250" width="9.140625" customWidth="1"/>
    <col min="10497" max="10506" width="9.140625" customWidth="1"/>
    <col min="10753" max="10762" width="9.140625" customWidth="1"/>
    <col min="11009" max="11018" width="9.140625" customWidth="1"/>
    <col min="11265" max="11274" width="9.140625" customWidth="1"/>
    <col min="11521" max="11530" width="9.140625" customWidth="1"/>
    <col min="11777" max="11786" width="9.140625" customWidth="1"/>
    <col min="12033" max="12042" width="9.140625" customWidth="1"/>
    <col min="12289" max="12298" width="9.140625" customWidth="1"/>
    <col min="12545" max="12554" width="9.140625" customWidth="1"/>
    <col min="12801" max="12810" width="9.140625" customWidth="1"/>
    <col min="13057" max="13066" width="9.140625" customWidth="1"/>
    <col min="13313" max="13322" width="9.140625" customWidth="1"/>
    <col min="13569" max="13578" width="9.140625" customWidth="1"/>
    <col min="13825" max="13834" width="9.140625" customWidth="1"/>
    <col min="14081" max="14090" width="9.140625" customWidth="1"/>
    <col min="14337" max="14346" width="9.140625" customWidth="1"/>
    <col min="14593" max="14602" width="9.140625" customWidth="1"/>
    <col min="14849" max="14858" width="9.140625" customWidth="1"/>
    <col min="15105" max="15114" width="9.140625" customWidth="1"/>
    <col min="15361" max="15370" width="9.140625" customWidth="1"/>
    <col min="15617" max="15626" width="9.140625" customWidth="1"/>
    <col min="15873" max="15882" width="9.140625" customWidth="1"/>
    <col min="16129" max="16138" width="9.140625" customWidth="1"/>
  </cols>
  <sheetData>
    <row r="1" spans="1:20" ht="53.25" thickTop="1" thickBot="1" x14ac:dyDescent="0.3">
      <c r="A1" s="7" t="s">
        <v>246</v>
      </c>
      <c r="B1" s="8" t="s">
        <v>247</v>
      </c>
      <c r="C1" s="8" t="s">
        <v>248</v>
      </c>
      <c r="D1" s="9" t="s">
        <v>249</v>
      </c>
      <c r="E1" s="9" t="s">
        <v>250</v>
      </c>
      <c r="F1" s="10" t="s">
        <v>251</v>
      </c>
      <c r="G1" s="11" t="s">
        <v>252</v>
      </c>
      <c r="H1" s="12" t="s">
        <v>253</v>
      </c>
      <c r="I1" s="13" t="s">
        <v>254</v>
      </c>
      <c r="J1" s="13" t="s">
        <v>255</v>
      </c>
    </row>
    <row r="2" spans="1:20" ht="16.5" thickBot="1" x14ac:dyDescent="0.3">
      <c r="A2" s="14"/>
      <c r="B2" s="15"/>
      <c r="C2" s="16"/>
      <c r="D2" s="17"/>
      <c r="E2" s="17"/>
      <c r="F2" s="16"/>
      <c r="G2" s="18"/>
      <c r="H2" s="18"/>
      <c r="I2" s="19"/>
      <c r="J2" s="18"/>
      <c r="L2" s="1"/>
      <c r="M2" s="20"/>
      <c r="N2" s="21" t="s">
        <v>256</v>
      </c>
      <c r="O2" s="20"/>
      <c r="P2" s="20"/>
      <c r="Q2" s="20"/>
      <c r="R2" s="20"/>
      <c r="S2" s="20"/>
      <c r="T2" s="2"/>
    </row>
    <row r="3" spans="1:20" x14ac:dyDescent="0.25">
      <c r="A3" s="22">
        <v>-65</v>
      </c>
      <c r="B3" s="23">
        <v>-20.399999999999999</v>
      </c>
      <c r="C3" s="24">
        <v>4.6900000000000004</v>
      </c>
      <c r="D3" s="25">
        <v>2.2700000000000001E-2</v>
      </c>
      <c r="E3" s="25">
        <v>52.561900000000001</v>
      </c>
      <c r="F3" s="24">
        <v>44.15</v>
      </c>
      <c r="G3" s="25">
        <v>1.9E-2</v>
      </c>
      <c r="H3" s="26">
        <v>-26.106999999999999</v>
      </c>
      <c r="I3" s="27">
        <v>587.32000000000005</v>
      </c>
      <c r="J3" s="28">
        <v>1.4904999999999999</v>
      </c>
      <c r="L3" s="3"/>
      <c r="M3" s="29"/>
      <c r="N3" s="29"/>
      <c r="O3" s="29"/>
      <c r="P3" s="29"/>
      <c r="Q3" s="29"/>
      <c r="R3" s="29"/>
      <c r="S3" s="29"/>
      <c r="T3" s="4"/>
    </row>
    <row r="4" spans="1:20" x14ac:dyDescent="0.25">
      <c r="A4" s="22">
        <v>-64</v>
      </c>
      <c r="B4" s="23">
        <v>-20</v>
      </c>
      <c r="C4" s="24">
        <v>4.84</v>
      </c>
      <c r="D4" s="25">
        <v>2.2700000000000001E-2</v>
      </c>
      <c r="E4" s="25">
        <v>50.881500000000003</v>
      </c>
      <c r="F4" s="24">
        <v>44.11</v>
      </c>
      <c r="G4" s="25">
        <v>1.9699999999999999E-2</v>
      </c>
      <c r="H4" s="26">
        <v>-25.123000000000001</v>
      </c>
      <c r="I4" s="27">
        <v>587.73</v>
      </c>
      <c r="J4" s="27">
        <v>1.4876</v>
      </c>
      <c r="L4" s="3"/>
      <c r="M4" s="30" t="s">
        <v>257</v>
      </c>
      <c r="N4" s="29"/>
      <c r="O4" s="29"/>
      <c r="P4" s="29"/>
      <c r="Q4" s="31">
        <v>10</v>
      </c>
      <c r="R4" s="32" t="s">
        <v>258</v>
      </c>
      <c r="S4" s="29"/>
      <c r="T4" s="4"/>
    </row>
    <row r="5" spans="1:20" x14ac:dyDescent="0.25">
      <c r="A5" s="22">
        <v>-63</v>
      </c>
      <c r="B5" s="23">
        <v>-19.7</v>
      </c>
      <c r="C5" s="24">
        <v>5.0199999999999996</v>
      </c>
      <c r="D5" s="25">
        <v>2.2700000000000001E-2</v>
      </c>
      <c r="E5" s="25">
        <v>49.322899999999997</v>
      </c>
      <c r="F5" s="24">
        <v>44.07</v>
      </c>
      <c r="G5" s="25">
        <v>2.0299999999999999E-2</v>
      </c>
      <c r="H5" s="26">
        <v>-24.041</v>
      </c>
      <c r="I5" s="27">
        <v>588.14</v>
      </c>
      <c r="J5" s="27">
        <v>1.4846999999999999</v>
      </c>
      <c r="L5" s="3"/>
      <c r="M5" s="30" t="s">
        <v>259</v>
      </c>
      <c r="N5" s="29"/>
      <c r="O5" s="29"/>
      <c r="P5" s="29"/>
      <c r="Q5" s="33">
        <v>95</v>
      </c>
      <c r="R5" s="34" t="s">
        <v>258</v>
      </c>
      <c r="S5" s="29"/>
      <c r="T5" s="4"/>
    </row>
    <row r="6" spans="1:20" x14ac:dyDescent="0.25">
      <c r="A6" s="22">
        <v>-62</v>
      </c>
      <c r="B6" s="23">
        <v>-19.399999999999999</v>
      </c>
      <c r="C6" s="24">
        <v>5.18</v>
      </c>
      <c r="D6" s="25">
        <v>2.2700000000000001E-2</v>
      </c>
      <c r="E6" s="25">
        <v>47.764400000000002</v>
      </c>
      <c r="F6" s="24">
        <v>44.03</v>
      </c>
      <c r="G6" s="25">
        <v>2.0899999999999998E-2</v>
      </c>
      <c r="H6" s="26">
        <v>-22.957999999999998</v>
      </c>
      <c r="I6" s="27">
        <v>588.54</v>
      </c>
      <c r="J6" s="27">
        <v>1.4818</v>
      </c>
      <c r="L6" s="3"/>
      <c r="M6" s="30" t="s">
        <v>260</v>
      </c>
      <c r="N6" s="29"/>
      <c r="O6" s="29"/>
      <c r="P6" s="29"/>
      <c r="Q6" s="31">
        <v>25</v>
      </c>
      <c r="R6" s="32" t="s">
        <v>261</v>
      </c>
      <c r="S6" s="29"/>
      <c r="T6" s="4"/>
    </row>
    <row r="7" spans="1:20" x14ac:dyDescent="0.25">
      <c r="A7" s="22">
        <v>-61</v>
      </c>
      <c r="B7" s="23">
        <v>-19</v>
      </c>
      <c r="C7" s="24">
        <v>5.37</v>
      </c>
      <c r="D7" s="25">
        <v>2.2700000000000001E-2</v>
      </c>
      <c r="E7" s="25">
        <v>46.317500000000003</v>
      </c>
      <c r="F7" s="24">
        <v>43.99</v>
      </c>
      <c r="G7" s="25">
        <v>2.1600000000000001E-2</v>
      </c>
      <c r="H7" s="26">
        <v>-21.884</v>
      </c>
      <c r="I7" s="27">
        <v>588.95000000000005</v>
      </c>
      <c r="J7" s="27">
        <v>1.4790000000000001</v>
      </c>
      <c r="L7" s="3"/>
      <c r="M7" s="30" t="s">
        <v>262</v>
      </c>
      <c r="Q7" s="33">
        <v>20</v>
      </c>
      <c r="R7" s="34" t="s">
        <v>258</v>
      </c>
      <c r="S7" s="29"/>
      <c r="T7" s="4"/>
    </row>
    <row r="8" spans="1:20" ht="15.75" thickBot="1" x14ac:dyDescent="0.3">
      <c r="A8" s="22">
        <v>-60</v>
      </c>
      <c r="B8" s="23">
        <v>-18.600000000000001</v>
      </c>
      <c r="C8" s="24">
        <v>5.53</v>
      </c>
      <c r="D8" s="25">
        <v>2.2800000000000001E-2</v>
      </c>
      <c r="E8" s="25">
        <v>44.870899999999999</v>
      </c>
      <c r="F8" s="24">
        <v>43.95</v>
      </c>
      <c r="G8" s="25">
        <v>2.23E-2</v>
      </c>
      <c r="H8" s="26">
        <v>-20.809000000000001</v>
      </c>
      <c r="I8" s="27">
        <v>589.35</v>
      </c>
      <c r="J8" s="27">
        <v>1.4762</v>
      </c>
      <c r="L8" s="3"/>
      <c r="M8" s="29"/>
      <c r="N8" s="29"/>
      <c r="O8" s="29"/>
      <c r="P8" s="29"/>
      <c r="Q8" s="29"/>
      <c r="R8" s="29"/>
      <c r="S8" s="29"/>
      <c r="T8" s="4"/>
    </row>
    <row r="9" spans="1:20" x14ac:dyDescent="0.25">
      <c r="A9" s="22">
        <v>-59</v>
      </c>
      <c r="B9" s="23">
        <v>-18.2</v>
      </c>
      <c r="C9" s="24">
        <v>5.72</v>
      </c>
      <c r="D9" s="25">
        <v>2.2800000000000001E-2</v>
      </c>
      <c r="E9" s="25">
        <v>43.502299999999998</v>
      </c>
      <c r="F9" s="24">
        <v>43.9</v>
      </c>
      <c r="G9" s="25">
        <v>2.3E-2</v>
      </c>
      <c r="H9" s="26">
        <v>-19.856000000000002</v>
      </c>
      <c r="I9" s="27">
        <v>589.75</v>
      </c>
      <c r="J9" s="27">
        <v>1.4734</v>
      </c>
      <c r="L9" s="3"/>
      <c r="M9" s="35"/>
      <c r="N9" s="36"/>
      <c r="O9" s="36"/>
      <c r="P9" s="36"/>
      <c r="Q9" s="36"/>
      <c r="R9" s="36"/>
      <c r="S9" s="37"/>
      <c r="T9" s="4"/>
    </row>
    <row r="10" spans="1:20" x14ac:dyDescent="0.25">
      <c r="A10" s="22">
        <v>-58</v>
      </c>
      <c r="B10" s="23">
        <v>-17.8</v>
      </c>
      <c r="C10" s="24">
        <v>5.91</v>
      </c>
      <c r="D10" s="25">
        <v>2.2800000000000001E-2</v>
      </c>
      <c r="E10" s="25">
        <v>42.183</v>
      </c>
      <c r="F10" s="24">
        <v>43.86</v>
      </c>
      <c r="G10" s="25">
        <v>2.3699999999999999E-2</v>
      </c>
      <c r="H10" s="26">
        <v>-18.887</v>
      </c>
      <c r="I10" s="27">
        <v>590.15</v>
      </c>
      <c r="J10" s="27">
        <v>1.4705999999999999</v>
      </c>
      <c r="L10" s="3"/>
      <c r="M10" s="38"/>
      <c r="N10" s="39"/>
      <c r="O10" s="39"/>
      <c r="P10" s="39"/>
      <c r="Q10" s="39"/>
      <c r="R10" s="39"/>
      <c r="S10" s="40"/>
      <c r="T10" s="4"/>
    </row>
    <row r="11" spans="1:20" x14ac:dyDescent="0.25">
      <c r="A11" s="22">
        <v>-57</v>
      </c>
      <c r="B11" s="23">
        <v>-17.399999999999999</v>
      </c>
      <c r="C11" s="24">
        <v>6.11</v>
      </c>
      <c r="D11" s="25">
        <v>2.2800000000000001E-2</v>
      </c>
      <c r="E11" s="25">
        <v>40.910800000000002</v>
      </c>
      <c r="F11" s="24">
        <v>43.82</v>
      </c>
      <c r="G11" s="25">
        <v>2.4400000000000002E-2</v>
      </c>
      <c r="H11" s="26">
        <v>-17.835000000000001</v>
      </c>
      <c r="I11" s="27">
        <v>590.54999999999995</v>
      </c>
      <c r="J11" s="27">
        <v>1.4678</v>
      </c>
      <c r="L11" s="3"/>
      <c r="M11" s="38"/>
      <c r="N11" s="39"/>
      <c r="O11" s="39"/>
      <c r="P11" s="39"/>
      <c r="Q11" s="39"/>
      <c r="R11" s="39"/>
      <c r="S11" s="40"/>
      <c r="T11" s="4"/>
    </row>
    <row r="12" spans="1:20" x14ac:dyDescent="0.25">
      <c r="A12" s="22">
        <v>-56</v>
      </c>
      <c r="B12" s="23">
        <v>-17</v>
      </c>
      <c r="C12" s="24">
        <v>6.31</v>
      </c>
      <c r="D12" s="25">
        <v>2.2800000000000001E-2</v>
      </c>
      <c r="E12" s="25">
        <v>39.683999999999997</v>
      </c>
      <c r="F12" s="24">
        <v>43.78</v>
      </c>
      <c r="G12" s="25">
        <v>2.52E-2</v>
      </c>
      <c r="H12" s="26">
        <v>-16.795999999999999</v>
      </c>
      <c r="I12" s="27">
        <v>590.95000000000005</v>
      </c>
      <c r="J12" s="27">
        <v>1.4650000000000001</v>
      </c>
      <c r="L12" s="3"/>
      <c r="M12" s="38"/>
      <c r="N12" s="39"/>
      <c r="O12" s="39"/>
      <c r="P12" s="39"/>
      <c r="Q12" s="39"/>
      <c r="R12" s="39"/>
      <c r="S12" s="40"/>
      <c r="T12" s="4"/>
    </row>
    <row r="13" spans="1:20" x14ac:dyDescent="0.25">
      <c r="A13" s="22">
        <v>-55</v>
      </c>
      <c r="B13" s="23">
        <v>-16.600000000000001</v>
      </c>
      <c r="C13" s="24">
        <v>6.52</v>
      </c>
      <c r="D13" s="25">
        <v>2.29E-2</v>
      </c>
      <c r="E13" s="25">
        <v>38.500599999999999</v>
      </c>
      <c r="F13" s="24">
        <v>43.74</v>
      </c>
      <c r="G13" s="25">
        <v>2.5999999999999999E-2</v>
      </c>
      <c r="H13" s="26">
        <v>-15.694000000000001</v>
      </c>
      <c r="I13" s="27">
        <v>591.34</v>
      </c>
      <c r="J13" s="27">
        <v>1.4622999999999999</v>
      </c>
      <c r="L13" s="3"/>
      <c r="M13" s="38"/>
      <c r="N13" s="39"/>
      <c r="O13" s="39"/>
      <c r="P13" s="39"/>
      <c r="Q13" s="39"/>
      <c r="R13" s="39"/>
      <c r="S13" s="40"/>
      <c r="T13" s="4"/>
    </row>
    <row r="14" spans="1:20" x14ac:dyDescent="0.25">
      <c r="A14" s="22">
        <v>-54</v>
      </c>
      <c r="B14" s="23">
        <v>-16.2</v>
      </c>
      <c r="C14" s="24">
        <v>6.73</v>
      </c>
      <c r="D14" s="25">
        <v>2.29E-2</v>
      </c>
      <c r="E14" s="25">
        <v>37.358899999999998</v>
      </c>
      <c r="F14" s="24">
        <v>43.69</v>
      </c>
      <c r="G14" s="25">
        <v>2.6800000000000001E-2</v>
      </c>
      <c r="H14" s="26">
        <v>-14.683</v>
      </c>
      <c r="I14" s="27">
        <v>591.74</v>
      </c>
      <c r="J14" s="27">
        <v>1.4596</v>
      </c>
      <c r="L14" s="3"/>
      <c r="M14" s="38"/>
      <c r="N14" s="39"/>
      <c r="O14" s="39"/>
      <c r="P14" s="39"/>
      <c r="Q14" s="39"/>
      <c r="R14" s="39"/>
      <c r="S14" s="40"/>
      <c r="T14" s="4"/>
    </row>
    <row r="15" spans="1:20" x14ac:dyDescent="0.25">
      <c r="A15" s="22">
        <v>-53</v>
      </c>
      <c r="B15" s="23">
        <v>-15.7</v>
      </c>
      <c r="C15" s="24">
        <v>6.95</v>
      </c>
      <c r="D15" s="25">
        <v>2.29E-2</v>
      </c>
      <c r="E15" s="25">
        <v>36.257199999999997</v>
      </c>
      <c r="F15" s="24">
        <v>43.65</v>
      </c>
      <c r="G15" s="25">
        <v>2.76E-2</v>
      </c>
      <c r="H15" s="26">
        <v>-13.568</v>
      </c>
      <c r="I15" s="27">
        <v>592.13</v>
      </c>
      <c r="J15" s="27">
        <v>1.4569000000000001</v>
      </c>
      <c r="L15" s="3"/>
      <c r="M15" s="38"/>
      <c r="N15" s="39"/>
      <c r="O15" s="39"/>
      <c r="P15" s="39"/>
      <c r="Q15" s="39"/>
      <c r="R15" s="39"/>
      <c r="S15" s="40"/>
      <c r="T15" s="4"/>
    </row>
    <row r="16" spans="1:20" x14ac:dyDescent="0.25">
      <c r="A16" s="22">
        <v>-52</v>
      </c>
      <c r="B16" s="23">
        <v>-15.3</v>
      </c>
      <c r="C16" s="24">
        <v>7.18</v>
      </c>
      <c r="D16" s="25">
        <v>2.29E-2</v>
      </c>
      <c r="E16" s="25">
        <v>35.193899999999999</v>
      </c>
      <c r="F16" s="24">
        <v>43.61</v>
      </c>
      <c r="G16" s="25">
        <v>2.8400000000000002E-2</v>
      </c>
      <c r="H16" s="26">
        <v>-12.52</v>
      </c>
      <c r="I16" s="27">
        <v>592.52</v>
      </c>
      <c r="J16" s="27">
        <v>1.4541999999999999</v>
      </c>
      <c r="L16" s="3"/>
      <c r="M16" s="38"/>
      <c r="N16" s="39"/>
      <c r="O16" s="39"/>
      <c r="P16" s="39"/>
      <c r="Q16" s="39"/>
      <c r="R16" s="39"/>
      <c r="S16" s="40"/>
      <c r="T16" s="4"/>
    </row>
    <row r="17" spans="1:20" x14ac:dyDescent="0.25">
      <c r="A17" s="22">
        <v>-51</v>
      </c>
      <c r="B17" s="23">
        <v>-14.8</v>
      </c>
      <c r="C17" s="24">
        <v>7.41</v>
      </c>
      <c r="D17" s="25">
        <v>2.3E-2</v>
      </c>
      <c r="E17" s="25">
        <v>34.167499999999997</v>
      </c>
      <c r="F17" s="24">
        <v>43.57</v>
      </c>
      <c r="G17" s="25">
        <v>2.93E-2</v>
      </c>
      <c r="H17" s="26">
        <v>-11.603</v>
      </c>
      <c r="I17" s="27">
        <v>592.91999999999996</v>
      </c>
      <c r="J17" s="27">
        <v>1.4515</v>
      </c>
      <c r="L17" s="3"/>
      <c r="M17" s="38"/>
      <c r="N17" s="39"/>
      <c r="O17" s="39"/>
      <c r="P17" s="39"/>
      <c r="Q17" s="39"/>
      <c r="R17" s="39"/>
      <c r="S17" s="40"/>
      <c r="T17" s="4"/>
    </row>
    <row r="18" spans="1:20" x14ac:dyDescent="0.25">
      <c r="A18" s="22">
        <v>-50</v>
      </c>
      <c r="B18" s="23">
        <v>-14.3</v>
      </c>
      <c r="C18" s="24">
        <v>7.64</v>
      </c>
      <c r="D18" s="25">
        <v>2.3E-2</v>
      </c>
      <c r="E18" s="25">
        <v>33.176499999999997</v>
      </c>
      <c r="F18" s="24">
        <v>43.53</v>
      </c>
      <c r="G18" s="25">
        <v>3.0099999999999998E-2</v>
      </c>
      <c r="H18" s="26">
        <v>-10.430999999999999</v>
      </c>
      <c r="I18" s="27">
        <v>593.30999999999995</v>
      </c>
      <c r="J18" s="27">
        <v>1.4489000000000001</v>
      </c>
      <c r="L18" s="3"/>
      <c r="M18" s="38"/>
      <c r="N18" s="39"/>
      <c r="O18" s="39"/>
      <c r="P18" s="39"/>
      <c r="Q18" s="39"/>
      <c r="R18" s="39"/>
      <c r="S18" s="40"/>
      <c r="T18" s="4"/>
    </row>
    <row r="19" spans="1:20" x14ac:dyDescent="0.25">
      <c r="A19" s="22">
        <v>-49</v>
      </c>
      <c r="B19" s="23">
        <v>-13.8</v>
      </c>
      <c r="C19" s="24">
        <v>7.89</v>
      </c>
      <c r="D19" s="25">
        <v>2.3E-2</v>
      </c>
      <c r="E19" s="25">
        <v>32.2196</v>
      </c>
      <c r="F19" s="24">
        <v>43.48</v>
      </c>
      <c r="G19" s="25">
        <v>3.1E-2</v>
      </c>
      <c r="H19" s="26">
        <v>-9.3569999999999993</v>
      </c>
      <c r="I19" s="27">
        <v>593.69000000000005</v>
      </c>
      <c r="J19" s="27">
        <v>1.4461999999999999</v>
      </c>
      <c r="L19" s="3"/>
      <c r="M19" s="38"/>
      <c r="N19" s="39"/>
      <c r="O19" s="39"/>
      <c r="P19" s="39"/>
      <c r="Q19" s="39"/>
      <c r="R19" s="39"/>
      <c r="S19" s="40"/>
      <c r="T19" s="4"/>
    </row>
    <row r="20" spans="1:20" x14ac:dyDescent="0.25">
      <c r="A20" s="22">
        <v>-48</v>
      </c>
      <c r="B20" s="23">
        <v>-13.3</v>
      </c>
      <c r="C20" s="24">
        <v>8.14</v>
      </c>
      <c r="D20" s="25">
        <v>2.3E-2</v>
      </c>
      <c r="E20" s="25">
        <v>31.295300000000001</v>
      </c>
      <c r="F20" s="24">
        <v>43.44</v>
      </c>
      <c r="G20" s="25">
        <v>3.2000000000000001E-2</v>
      </c>
      <c r="H20" s="26">
        <v>-8.3559999999999999</v>
      </c>
      <c r="I20" s="27">
        <v>594.08000000000004</v>
      </c>
      <c r="J20" s="27">
        <v>1.4436</v>
      </c>
      <c r="L20" s="3"/>
      <c r="M20" s="38"/>
      <c r="N20" s="39"/>
      <c r="O20" s="39"/>
      <c r="P20" s="39"/>
      <c r="Q20" s="39"/>
      <c r="R20" s="39"/>
      <c r="S20" s="40"/>
      <c r="T20" s="4"/>
    </row>
    <row r="21" spans="1:20" x14ac:dyDescent="0.25">
      <c r="A21" s="22">
        <v>-47</v>
      </c>
      <c r="B21" s="23">
        <v>-12.8</v>
      </c>
      <c r="C21" s="24">
        <v>8.39</v>
      </c>
      <c r="D21" s="25">
        <v>2.3E-2</v>
      </c>
      <c r="E21" s="25">
        <v>30.4025</v>
      </c>
      <c r="F21" s="24">
        <v>43.4</v>
      </c>
      <c r="G21" s="25">
        <v>3.2899999999999999E-2</v>
      </c>
      <c r="H21" s="26">
        <v>-7.3380000000000001</v>
      </c>
      <c r="I21" s="27">
        <v>594.47</v>
      </c>
      <c r="J21" s="27">
        <v>1.4410000000000001</v>
      </c>
      <c r="L21" s="3"/>
      <c r="M21" s="38"/>
      <c r="N21" s="39"/>
      <c r="O21" s="39"/>
      <c r="P21" s="39"/>
      <c r="Q21" s="39"/>
      <c r="R21" s="39"/>
      <c r="S21" s="40"/>
      <c r="T21" s="4"/>
    </row>
    <row r="22" spans="1:20" x14ac:dyDescent="0.25">
      <c r="A22" s="22">
        <v>-46</v>
      </c>
      <c r="B22" s="23">
        <v>-12.2</v>
      </c>
      <c r="C22" s="24">
        <v>8.66</v>
      </c>
      <c r="D22" s="25">
        <v>2.3E-2</v>
      </c>
      <c r="E22" s="25">
        <v>39.239800000000002</v>
      </c>
      <c r="F22" s="24">
        <v>43.46</v>
      </c>
      <c r="G22" s="25">
        <v>3.39E-2</v>
      </c>
      <c r="H22" s="26">
        <v>-6.2549999999999999</v>
      </c>
      <c r="I22" s="27">
        <v>594.85</v>
      </c>
      <c r="J22" s="27">
        <v>1.4383999999999999</v>
      </c>
      <c r="L22" s="3"/>
      <c r="M22" s="38"/>
      <c r="N22" s="39"/>
      <c r="O22" s="39"/>
      <c r="P22" s="39"/>
      <c r="Q22" s="39"/>
      <c r="R22" s="39"/>
      <c r="S22" s="40"/>
      <c r="T22" s="4"/>
    </row>
    <row r="23" spans="1:20" ht="15.75" thickBot="1" x14ac:dyDescent="0.3">
      <c r="A23" s="22">
        <v>-45</v>
      </c>
      <c r="B23" s="23">
        <v>-11.7</v>
      </c>
      <c r="C23" s="24">
        <v>8.92</v>
      </c>
      <c r="D23" s="25">
        <v>2.3099999999999999E-2</v>
      </c>
      <c r="E23" s="25">
        <v>28.706199999999999</v>
      </c>
      <c r="F23" s="24">
        <v>43.32</v>
      </c>
      <c r="G23" s="25">
        <v>3.4799999999999998E-2</v>
      </c>
      <c r="H23" s="26">
        <v>-5.274</v>
      </c>
      <c r="I23" s="27">
        <v>595.24</v>
      </c>
      <c r="J23" s="27">
        <v>1.4358</v>
      </c>
      <c r="L23" s="3"/>
      <c r="M23" s="41"/>
      <c r="N23" s="42"/>
      <c r="O23" s="42"/>
      <c r="P23" s="42"/>
      <c r="Q23" s="42"/>
      <c r="R23" s="42"/>
      <c r="S23" s="43"/>
      <c r="T23" s="4"/>
    </row>
    <row r="24" spans="1:20" x14ac:dyDescent="0.25">
      <c r="A24" s="22">
        <v>-44</v>
      </c>
      <c r="B24" s="23">
        <v>-11.1</v>
      </c>
      <c r="C24" s="24">
        <v>9.1999999999999993</v>
      </c>
      <c r="D24" s="25">
        <v>2.3099999999999999E-2</v>
      </c>
      <c r="E24" s="25">
        <v>27.900400000000001</v>
      </c>
      <c r="F24" s="24">
        <v>43.27</v>
      </c>
      <c r="G24" s="25">
        <v>3.5799999999999998E-2</v>
      </c>
      <c r="H24" s="26">
        <v>-4.29</v>
      </c>
      <c r="I24" s="27">
        <v>595.62</v>
      </c>
      <c r="J24" s="27">
        <v>1.4333</v>
      </c>
      <c r="L24" s="3"/>
      <c r="M24" s="29"/>
      <c r="N24" s="29"/>
      <c r="O24" s="29"/>
      <c r="P24" s="29"/>
      <c r="Q24" s="29"/>
      <c r="R24" s="29"/>
      <c r="S24" s="29"/>
      <c r="T24" s="4"/>
    </row>
    <row r="25" spans="1:20" ht="15.75" thickBot="1" x14ac:dyDescent="0.3">
      <c r="A25" s="22">
        <v>-43</v>
      </c>
      <c r="B25" s="23">
        <v>-10.6</v>
      </c>
      <c r="C25" s="24">
        <v>9.48</v>
      </c>
      <c r="D25" s="25">
        <v>2.3099999999999999E-2</v>
      </c>
      <c r="E25" s="25">
        <v>27.121600000000001</v>
      </c>
      <c r="F25" s="24">
        <v>43.23</v>
      </c>
      <c r="G25" s="25">
        <v>3.6900000000000002E-2</v>
      </c>
      <c r="H25" s="26">
        <v>-3.0329999999999999</v>
      </c>
      <c r="I25" s="27">
        <v>596</v>
      </c>
      <c r="J25" s="27">
        <v>1.4307000000000001</v>
      </c>
      <c r="L25" s="3"/>
      <c r="M25" s="29"/>
      <c r="N25" s="29"/>
      <c r="O25" s="29"/>
      <c r="P25" s="29"/>
      <c r="Q25" s="29"/>
      <c r="R25" s="29"/>
      <c r="S25" s="29"/>
      <c r="T25" s="4"/>
    </row>
    <row r="26" spans="1:20" ht="15.75" thickBot="1" x14ac:dyDescent="0.3">
      <c r="A26" s="22">
        <v>-42</v>
      </c>
      <c r="B26" s="23">
        <v>-10</v>
      </c>
      <c r="C26" s="24">
        <v>9.77</v>
      </c>
      <c r="D26" s="25">
        <v>2.3199999999999998E-2</v>
      </c>
      <c r="E26" s="25">
        <v>26.368500000000001</v>
      </c>
      <c r="F26" s="24">
        <v>43.19</v>
      </c>
      <c r="G26" s="25">
        <v>3.7900000000000003E-2</v>
      </c>
      <c r="H26" s="26">
        <v>-2.0880000000000001</v>
      </c>
      <c r="I26" s="27">
        <v>596.38</v>
      </c>
      <c r="J26" s="27">
        <v>1.4281999999999999</v>
      </c>
      <c r="L26" s="3"/>
      <c r="M26" s="44" t="s">
        <v>263</v>
      </c>
      <c r="N26" s="44" t="s">
        <v>258</v>
      </c>
      <c r="O26" s="44" t="s">
        <v>264</v>
      </c>
      <c r="P26" s="44" t="s">
        <v>261</v>
      </c>
      <c r="Q26" s="45" t="s">
        <v>265</v>
      </c>
      <c r="R26" s="46" t="s">
        <v>266</v>
      </c>
      <c r="S26" s="29"/>
      <c r="T26" s="4"/>
    </row>
    <row r="27" spans="1:20" x14ac:dyDescent="0.25">
      <c r="A27" s="22">
        <v>-41</v>
      </c>
      <c r="B27" s="23">
        <v>-9.3000000000000007</v>
      </c>
      <c r="C27" s="24">
        <v>10.07</v>
      </c>
      <c r="D27" s="25">
        <v>2.3199999999999998E-2</v>
      </c>
      <c r="E27" s="25">
        <v>25.6402</v>
      </c>
      <c r="F27" s="24">
        <v>43.15</v>
      </c>
      <c r="G27" s="25">
        <v>3.9E-2</v>
      </c>
      <c r="H27" s="26">
        <v>-1.0089999999999999</v>
      </c>
      <c r="I27" s="27">
        <v>596.76</v>
      </c>
      <c r="J27" s="27">
        <v>1.4257</v>
      </c>
      <c r="L27" s="3"/>
      <c r="M27" s="47" t="s">
        <v>267</v>
      </c>
      <c r="N27" s="48">
        <f>Q5</f>
        <v>95</v>
      </c>
      <c r="O27" s="49">
        <f>VLOOKUP(N27,A3:J193,3)</f>
        <v>195.35</v>
      </c>
      <c r="P27" s="49">
        <f>VLOOKUP(N27,A3:J193,2)</f>
        <v>180.65</v>
      </c>
      <c r="Q27" s="49">
        <f>VLOOKUP(N27,A3:J193,8)</f>
        <v>149.16</v>
      </c>
      <c r="R27" s="50"/>
      <c r="S27" s="29"/>
      <c r="T27" s="4"/>
    </row>
    <row r="28" spans="1:20" x14ac:dyDescent="0.25">
      <c r="A28" s="22">
        <v>-40</v>
      </c>
      <c r="B28" s="23">
        <v>-8.6999999999999993</v>
      </c>
      <c r="C28" s="24">
        <v>10.38</v>
      </c>
      <c r="D28" s="25">
        <v>2.3199999999999998E-2</v>
      </c>
      <c r="E28" s="25">
        <v>24.9359</v>
      </c>
      <c r="F28" s="24">
        <v>43.1</v>
      </c>
      <c r="G28" s="25">
        <v>4.0099999999999997E-2</v>
      </c>
      <c r="H28" s="26">
        <v>0</v>
      </c>
      <c r="I28" s="27">
        <v>597.13</v>
      </c>
      <c r="J28" s="27">
        <v>1.4232</v>
      </c>
      <c r="L28" s="3"/>
      <c r="M28" s="51" t="s">
        <v>268</v>
      </c>
      <c r="N28" s="52">
        <f>Q4</f>
        <v>10</v>
      </c>
      <c r="O28" s="53">
        <f>VLOOKUP(N28,A3:J193,3)</f>
        <v>38.380000000000003</v>
      </c>
      <c r="P28" s="53">
        <f>VLOOKUP(N28,A3:J193,2)</f>
        <v>23.68</v>
      </c>
      <c r="Q28" s="53">
        <f>Q27</f>
        <v>149.16</v>
      </c>
      <c r="R28" s="54"/>
      <c r="S28" s="29"/>
      <c r="T28" s="4"/>
    </row>
    <row r="29" spans="1:20" x14ac:dyDescent="0.25">
      <c r="A29" s="22">
        <v>-39</v>
      </c>
      <c r="B29" s="23">
        <v>-8.1</v>
      </c>
      <c r="C29" s="24">
        <v>10.69</v>
      </c>
      <c r="D29" s="25">
        <v>2.3199999999999998E-2</v>
      </c>
      <c r="E29" s="25">
        <v>24.2545</v>
      </c>
      <c r="F29" s="24">
        <v>43.06</v>
      </c>
      <c r="G29" s="25">
        <v>4.1200000000000001E-2</v>
      </c>
      <c r="H29" s="26">
        <v>1.03</v>
      </c>
      <c r="I29" s="27">
        <v>597.51</v>
      </c>
      <c r="J29" s="27">
        <v>1.4207000000000001</v>
      </c>
      <c r="L29" s="3"/>
      <c r="M29" s="55" t="s">
        <v>269</v>
      </c>
      <c r="N29" s="56">
        <f>Q4</f>
        <v>10</v>
      </c>
      <c r="O29" s="57">
        <f>VLOOKUP(N29,A3:J193,3)</f>
        <v>38.380000000000003</v>
      </c>
      <c r="P29" s="57">
        <f>VLOOKUP(N29,A3:J193,2)</f>
        <v>23.68</v>
      </c>
      <c r="Q29" s="57">
        <f>VLOOKUP(N29,A3:J193,9)</f>
        <v>614.04</v>
      </c>
      <c r="R29" s="58">
        <f ca="1">[1]Sheet2!K9</f>
        <v>1.3339000000000001</v>
      </c>
      <c r="S29" s="29"/>
      <c r="T29" s="4"/>
    </row>
    <row r="30" spans="1:20" x14ac:dyDescent="0.25">
      <c r="A30" s="22">
        <v>-38</v>
      </c>
      <c r="B30" s="23">
        <v>-7.4</v>
      </c>
      <c r="C30" s="24">
        <v>11.01</v>
      </c>
      <c r="D30" s="25">
        <v>2.3199999999999998E-2</v>
      </c>
      <c r="E30" s="25">
        <v>23.595300000000002</v>
      </c>
      <c r="F30" s="24">
        <v>43.02</v>
      </c>
      <c r="G30" s="25">
        <v>4.24E-2</v>
      </c>
      <c r="H30" s="26">
        <v>2.1110000000000002</v>
      </c>
      <c r="I30" s="27">
        <v>597.88</v>
      </c>
      <c r="J30" s="27">
        <v>1.4181999999999999</v>
      </c>
      <c r="L30" s="3"/>
      <c r="M30" s="59" t="s">
        <v>270</v>
      </c>
      <c r="N30" s="60">
        <f ca="1">[1]Sheet2!K5</f>
        <v>240</v>
      </c>
      <c r="O30" s="61">
        <f>O27</f>
        <v>195.35</v>
      </c>
      <c r="P30" s="61">
        <f>P27</f>
        <v>180.65</v>
      </c>
      <c r="Q30" s="61">
        <f ca="1">[1]Sheet2!L5</f>
        <v>728.23</v>
      </c>
      <c r="R30" s="62">
        <f ca="1">R29</f>
        <v>1.3339000000000001</v>
      </c>
      <c r="S30" s="29"/>
      <c r="T30" s="4"/>
    </row>
    <row r="31" spans="1:20" x14ac:dyDescent="0.25">
      <c r="A31" s="22">
        <v>-37</v>
      </c>
      <c r="B31" s="23">
        <v>-6.8</v>
      </c>
      <c r="C31" s="24">
        <v>11.34</v>
      </c>
      <c r="D31" s="25">
        <v>2.3300000000000001E-2</v>
      </c>
      <c r="E31" s="25">
        <v>22.9574</v>
      </c>
      <c r="F31" s="24">
        <v>42.97</v>
      </c>
      <c r="G31" s="25">
        <v>4.36E-2</v>
      </c>
      <c r="H31" s="26">
        <v>3.234</v>
      </c>
      <c r="I31" s="27">
        <v>598.26</v>
      </c>
      <c r="J31" s="27">
        <v>1.4157</v>
      </c>
      <c r="L31" s="3"/>
      <c r="M31" s="63" t="s">
        <v>271</v>
      </c>
      <c r="N31" s="64">
        <f>Q5</f>
        <v>95</v>
      </c>
      <c r="O31" s="65">
        <f>VLOOKUP(N31,A3:J193,3)</f>
        <v>195.35</v>
      </c>
      <c r="P31" s="65">
        <f>VLOOKUP(N31,A3:J193,2)</f>
        <v>180.65</v>
      </c>
      <c r="Q31" s="65">
        <f>VLOOKUP(N31,A3:J193,9)</f>
        <v>631.52</v>
      </c>
      <c r="R31" s="66">
        <f>VLOOKUP(N31,A3:J193,10)</f>
        <v>1.1756</v>
      </c>
      <c r="S31" s="29"/>
      <c r="T31" s="4"/>
    </row>
    <row r="32" spans="1:20" x14ac:dyDescent="0.25">
      <c r="A32" s="22">
        <v>-36</v>
      </c>
      <c r="B32" s="23">
        <v>-6.1</v>
      </c>
      <c r="C32" s="24">
        <v>11.67</v>
      </c>
      <c r="D32" s="25">
        <v>2.3300000000000001E-2</v>
      </c>
      <c r="E32" s="25">
        <v>22.34</v>
      </c>
      <c r="F32" s="24">
        <v>42.93</v>
      </c>
      <c r="G32" s="25">
        <v>4.48E-2</v>
      </c>
      <c r="H32" s="26">
        <v>4.2309999999999999</v>
      </c>
      <c r="I32" s="27">
        <v>598.63</v>
      </c>
      <c r="J32" s="27">
        <v>1.4133</v>
      </c>
      <c r="L32" s="3"/>
      <c r="M32" s="51" t="s">
        <v>272</v>
      </c>
      <c r="N32" s="52">
        <f>Q4</f>
        <v>10</v>
      </c>
      <c r="O32" s="53">
        <f>VLOOKUP(N32,A3:J193,3)</f>
        <v>38.380000000000003</v>
      </c>
      <c r="P32" s="53">
        <f>VLOOKUP(N32,A3:J193,2)</f>
        <v>23.68</v>
      </c>
      <c r="Q32" s="53">
        <f>VLOOKUP(N32,A3:J193,8)</f>
        <v>53.456000000000003</v>
      </c>
      <c r="R32" s="67"/>
      <c r="S32" s="29"/>
      <c r="T32" s="4"/>
    </row>
    <row r="33" spans="1:20" ht="15.75" thickBot="1" x14ac:dyDescent="0.3">
      <c r="A33" s="22">
        <v>-35</v>
      </c>
      <c r="B33" s="23">
        <v>-5.4</v>
      </c>
      <c r="C33" s="24">
        <v>12.01</v>
      </c>
      <c r="D33" s="25">
        <v>2.3300000000000001E-2</v>
      </c>
      <c r="E33" s="25">
        <v>21.7423</v>
      </c>
      <c r="F33" s="24">
        <v>42.89</v>
      </c>
      <c r="G33" s="25">
        <v>4.5999999999999999E-2</v>
      </c>
      <c r="H33" s="26">
        <v>5.2009999999999996</v>
      </c>
      <c r="I33" s="27">
        <v>599</v>
      </c>
      <c r="J33" s="27">
        <v>1.4109</v>
      </c>
      <c r="L33" s="3"/>
      <c r="M33" s="68" t="s">
        <v>273</v>
      </c>
      <c r="N33" s="69">
        <f>Q4</f>
        <v>10</v>
      </c>
      <c r="O33" s="70">
        <f>VLOOKUP(P33,B3:J193,2)</f>
        <v>39.28</v>
      </c>
      <c r="P33" s="70">
        <f>Q6</f>
        <v>25</v>
      </c>
      <c r="Q33" s="70">
        <f>Q32</f>
        <v>53.456000000000003</v>
      </c>
      <c r="R33" s="71"/>
      <c r="S33" s="29"/>
      <c r="T33" s="4"/>
    </row>
    <row r="34" spans="1:20" ht="15.75" thickBot="1" x14ac:dyDescent="0.3">
      <c r="A34" s="22">
        <v>-34</v>
      </c>
      <c r="B34" s="23">
        <v>-4.7</v>
      </c>
      <c r="C34" s="24">
        <v>12.37</v>
      </c>
      <c r="D34" s="25">
        <v>2.3300000000000001E-2</v>
      </c>
      <c r="E34" s="25">
        <v>21.163699999999999</v>
      </c>
      <c r="F34" s="24">
        <v>42.85</v>
      </c>
      <c r="G34" s="25">
        <v>4.7300000000000002E-2</v>
      </c>
      <c r="H34" s="26">
        <v>6.3810000000000002</v>
      </c>
      <c r="I34" s="27">
        <v>599.37</v>
      </c>
      <c r="J34" s="27">
        <v>1.4084000000000001</v>
      </c>
      <c r="L34" s="3"/>
      <c r="M34" s="29"/>
      <c r="N34" s="29"/>
      <c r="O34" s="29"/>
      <c r="P34" s="29"/>
      <c r="Q34" s="29"/>
      <c r="R34" s="29"/>
      <c r="S34" s="29"/>
      <c r="T34" s="4"/>
    </row>
    <row r="35" spans="1:20" x14ac:dyDescent="0.25">
      <c r="A35" s="22">
        <v>-33</v>
      </c>
      <c r="B35" s="23">
        <v>-3.9</v>
      </c>
      <c r="C35" s="24">
        <v>12.73</v>
      </c>
      <c r="D35" s="25">
        <v>2.3400000000000001E-2</v>
      </c>
      <c r="E35" s="25">
        <v>20.6035</v>
      </c>
      <c r="F35" s="24">
        <v>42.8</v>
      </c>
      <c r="G35" s="25">
        <v>4.8500000000000001E-2</v>
      </c>
      <c r="H35" s="26">
        <v>7.4130000000000003</v>
      </c>
      <c r="I35" s="27">
        <v>599.73</v>
      </c>
      <c r="J35" s="27">
        <v>1.4059999999999999</v>
      </c>
      <c r="L35" s="3"/>
      <c r="M35" s="124" t="s">
        <v>274</v>
      </c>
      <c r="N35" s="125"/>
      <c r="O35" s="126"/>
      <c r="P35" s="72">
        <f>Q29-Q28</f>
        <v>464.88</v>
      </c>
      <c r="Q35" s="73" t="s">
        <v>275</v>
      </c>
      <c r="R35" s="29"/>
      <c r="S35" s="29"/>
      <c r="T35" s="4"/>
    </row>
    <row r="36" spans="1:20" x14ac:dyDescent="0.25">
      <c r="A36" s="22">
        <v>-32</v>
      </c>
      <c r="B36" s="23">
        <v>-3.2</v>
      </c>
      <c r="C36" s="24">
        <v>13.1</v>
      </c>
      <c r="D36" s="25">
        <v>2.3400000000000001E-2</v>
      </c>
      <c r="E36" s="25">
        <v>20.0609</v>
      </c>
      <c r="F36" s="24">
        <v>42.76</v>
      </c>
      <c r="G36" s="25">
        <v>4.9799999999999997E-2</v>
      </c>
      <c r="H36" s="26">
        <v>8.4789999999999992</v>
      </c>
      <c r="I36" s="27">
        <v>600.1</v>
      </c>
      <c r="J36" s="27">
        <v>1.4036</v>
      </c>
      <c r="L36" s="3"/>
      <c r="M36" s="118" t="s">
        <v>276</v>
      </c>
      <c r="N36" s="119"/>
      <c r="O36" s="119"/>
      <c r="P36" s="74">
        <f ca="1">N30</f>
        <v>240</v>
      </c>
      <c r="Q36" s="75" t="s">
        <v>258</v>
      </c>
      <c r="R36" s="29"/>
      <c r="S36" s="29"/>
      <c r="T36" s="4"/>
    </row>
    <row r="37" spans="1:20" x14ac:dyDescent="0.25">
      <c r="A37" s="22">
        <v>-31</v>
      </c>
      <c r="B37" s="23">
        <v>-2.4</v>
      </c>
      <c r="C37" s="24">
        <v>13.47</v>
      </c>
      <c r="D37" s="25">
        <v>2.3400000000000001E-2</v>
      </c>
      <c r="E37" s="25">
        <v>19.535299999999999</v>
      </c>
      <c r="F37" s="24">
        <v>42.72</v>
      </c>
      <c r="G37" s="25">
        <v>5.1200000000000002E-2</v>
      </c>
      <c r="H37" s="26">
        <v>9.5719999999999992</v>
      </c>
      <c r="I37" s="27">
        <v>600.46</v>
      </c>
      <c r="J37" s="27">
        <v>1.4013</v>
      </c>
      <c r="L37" s="3"/>
      <c r="M37" s="118" t="s">
        <v>277</v>
      </c>
      <c r="N37" s="119"/>
      <c r="O37" s="119"/>
      <c r="P37" s="76">
        <f>200/P35</f>
        <v>0.43021855102392015</v>
      </c>
      <c r="Q37" s="75" t="s">
        <v>278</v>
      </c>
      <c r="R37" s="29"/>
      <c r="S37" s="29"/>
      <c r="T37" s="4"/>
    </row>
    <row r="38" spans="1:20" x14ac:dyDescent="0.25">
      <c r="A38" s="22">
        <v>-30</v>
      </c>
      <c r="B38" s="23">
        <v>-1.6</v>
      </c>
      <c r="C38" s="24">
        <v>13.86</v>
      </c>
      <c r="D38" s="25">
        <v>2.3400000000000001E-2</v>
      </c>
      <c r="E38" s="25">
        <v>19.026199999999999</v>
      </c>
      <c r="F38" s="24">
        <v>42.67</v>
      </c>
      <c r="G38" s="25">
        <v>5.2600000000000001E-2</v>
      </c>
      <c r="H38" s="26">
        <v>10.552</v>
      </c>
      <c r="I38" s="27">
        <v>600.83000000000004</v>
      </c>
      <c r="J38" s="27">
        <v>1.3989</v>
      </c>
      <c r="L38" s="3"/>
      <c r="M38" s="118" t="s">
        <v>279</v>
      </c>
      <c r="N38" s="119"/>
      <c r="O38" s="119"/>
      <c r="P38" s="74">
        <f>VLOOKUP(N29,A3:J193,5)</f>
        <v>7.3224</v>
      </c>
      <c r="Q38" s="75" t="s">
        <v>280</v>
      </c>
      <c r="R38" s="29"/>
      <c r="S38" s="29"/>
      <c r="T38" s="4"/>
    </row>
    <row r="39" spans="1:20" x14ac:dyDescent="0.25">
      <c r="A39" s="22">
        <v>-29</v>
      </c>
      <c r="B39" s="23">
        <v>-0.8</v>
      </c>
      <c r="C39" s="24">
        <v>14.25</v>
      </c>
      <c r="D39" s="25">
        <v>2.35E-2</v>
      </c>
      <c r="E39" s="25">
        <v>18.532800000000002</v>
      </c>
      <c r="F39" s="24">
        <v>42.63</v>
      </c>
      <c r="G39" s="25">
        <v>5.3999999999999999E-2</v>
      </c>
      <c r="H39" s="26">
        <v>11.635999999999999</v>
      </c>
      <c r="I39" s="27">
        <v>601.19000000000005</v>
      </c>
      <c r="J39" s="27">
        <v>1.3966000000000001</v>
      </c>
      <c r="L39" s="3"/>
      <c r="M39" s="118" t="s">
        <v>281</v>
      </c>
      <c r="N39" s="119"/>
      <c r="O39" s="119"/>
      <c r="P39" s="76">
        <f ca="1">((Q30-Q29)/42.44)*P37</f>
        <v>1.1575555217111562</v>
      </c>
      <c r="Q39" s="75" t="s">
        <v>282</v>
      </c>
      <c r="R39" s="29"/>
      <c r="S39" s="29"/>
      <c r="T39" s="4"/>
    </row>
    <row r="40" spans="1:20" x14ac:dyDescent="0.25">
      <c r="A40" s="22">
        <v>-28</v>
      </c>
      <c r="B40" s="23">
        <v>0</v>
      </c>
      <c r="C40" s="24">
        <v>14.66</v>
      </c>
      <c r="D40" s="25">
        <v>2.35E-2</v>
      </c>
      <c r="E40" s="25">
        <v>18.0548</v>
      </c>
      <c r="F40" s="24">
        <v>42.59</v>
      </c>
      <c r="G40" s="25">
        <v>5.5399999999999998E-2</v>
      </c>
      <c r="H40" s="26">
        <v>12.635</v>
      </c>
      <c r="I40" s="27">
        <v>601.54999999999995</v>
      </c>
      <c r="J40" s="27">
        <v>1.3942000000000001</v>
      </c>
      <c r="L40" s="3"/>
      <c r="M40" s="118" t="s">
        <v>283</v>
      </c>
      <c r="N40" s="119"/>
      <c r="O40" s="119"/>
      <c r="P40" s="74">
        <f>P37*P38</f>
        <v>3.1502323180175531</v>
      </c>
      <c r="Q40" s="75" t="s">
        <v>284</v>
      </c>
      <c r="R40" s="29"/>
      <c r="S40" s="29"/>
      <c r="T40" s="4"/>
    </row>
    <row r="41" spans="1:20" x14ac:dyDescent="0.25">
      <c r="A41" s="22">
        <v>-27</v>
      </c>
      <c r="B41" s="23">
        <v>0.37</v>
      </c>
      <c r="C41" s="24">
        <v>15.07</v>
      </c>
      <c r="D41" s="25">
        <v>2.35E-2</v>
      </c>
      <c r="E41" s="25">
        <v>17.5914</v>
      </c>
      <c r="F41" s="24">
        <v>42.55</v>
      </c>
      <c r="G41" s="25">
        <v>5.6800000000000003E-2</v>
      </c>
      <c r="H41" s="26">
        <v>13.763</v>
      </c>
      <c r="I41" s="27">
        <v>601.9</v>
      </c>
      <c r="J41" s="27">
        <v>1.3918999999999999</v>
      </c>
      <c r="L41" s="3"/>
      <c r="M41" s="118" t="s">
        <v>285</v>
      </c>
      <c r="N41" s="119"/>
      <c r="O41" s="119"/>
      <c r="P41" s="74">
        <f>O27/O29</f>
        <v>5.0898905680041686</v>
      </c>
      <c r="Q41" s="75" t="s">
        <v>286</v>
      </c>
      <c r="R41" s="29"/>
      <c r="S41" s="29"/>
      <c r="T41" s="4"/>
    </row>
    <row r="42" spans="1:20" x14ac:dyDescent="0.25">
      <c r="A42" s="22">
        <v>-26</v>
      </c>
      <c r="B42" s="23">
        <v>0.79</v>
      </c>
      <c r="C42" s="24">
        <v>15.49</v>
      </c>
      <c r="D42" s="25">
        <v>2.35E-2</v>
      </c>
      <c r="E42" s="25">
        <v>17.142199999999999</v>
      </c>
      <c r="F42" s="24">
        <v>42.5</v>
      </c>
      <c r="G42" s="25">
        <v>5.8299999999999998E-2</v>
      </c>
      <c r="H42" s="26">
        <v>14.819000000000001</v>
      </c>
      <c r="I42" s="27">
        <v>602.26</v>
      </c>
      <c r="J42" s="27">
        <v>1.3895999999999999</v>
      </c>
      <c r="L42" s="3"/>
      <c r="M42" s="120" t="s">
        <v>287</v>
      </c>
      <c r="N42" s="121"/>
      <c r="O42" s="121"/>
      <c r="P42" s="77">
        <f>Q29-Q32</f>
        <v>560.58399999999995</v>
      </c>
      <c r="Q42" s="78" t="s">
        <v>275</v>
      </c>
      <c r="R42" s="29"/>
      <c r="S42" s="29"/>
      <c r="T42" s="4"/>
    </row>
    <row r="43" spans="1:20" ht="15.75" thickBot="1" x14ac:dyDescent="0.3">
      <c r="A43" s="22">
        <v>-25</v>
      </c>
      <c r="B43" s="23">
        <v>1.23</v>
      </c>
      <c r="C43" s="24">
        <v>15.93</v>
      </c>
      <c r="D43" s="25">
        <v>2.3599999999999999E-2</v>
      </c>
      <c r="E43" s="25">
        <v>16.706800000000001</v>
      </c>
      <c r="F43" s="24">
        <v>42.46</v>
      </c>
      <c r="G43" s="25">
        <v>5.9900000000000002E-2</v>
      </c>
      <c r="H43" s="26">
        <v>15.891999999999999</v>
      </c>
      <c r="I43" s="27">
        <v>602.62</v>
      </c>
      <c r="J43" s="27">
        <v>1.3873</v>
      </c>
      <c r="L43" s="3"/>
      <c r="M43" s="122" t="s">
        <v>288</v>
      </c>
      <c r="N43" s="123"/>
      <c r="O43" s="123"/>
      <c r="P43" s="79">
        <f>Q28-Q32</f>
        <v>95.703999999999994</v>
      </c>
      <c r="Q43" s="80" t="s">
        <v>275</v>
      </c>
      <c r="R43" s="29"/>
      <c r="S43" s="29"/>
      <c r="T43" s="4"/>
    </row>
    <row r="44" spans="1:20" ht="15.75" thickBot="1" x14ac:dyDescent="0.3">
      <c r="A44" s="22">
        <v>-24</v>
      </c>
      <c r="B44" s="23">
        <v>1.67</v>
      </c>
      <c r="C44" s="24">
        <v>16.37</v>
      </c>
      <c r="D44" s="25">
        <v>2.3599999999999999E-2</v>
      </c>
      <c r="E44" s="25">
        <v>16.284500000000001</v>
      </c>
      <c r="F44" s="24">
        <v>42.42</v>
      </c>
      <c r="G44" s="25">
        <v>6.1400000000000003E-2</v>
      </c>
      <c r="H44" s="26">
        <v>16.922000000000001</v>
      </c>
      <c r="I44" s="27">
        <v>602.97</v>
      </c>
      <c r="J44" s="27">
        <v>1.385</v>
      </c>
      <c r="L44" s="5"/>
      <c r="M44" s="81"/>
      <c r="N44" s="81"/>
      <c r="O44" s="81"/>
      <c r="P44" s="81"/>
      <c r="Q44" s="81"/>
      <c r="R44" s="81"/>
      <c r="S44" s="81"/>
      <c r="T44" s="6"/>
    </row>
    <row r="45" spans="1:20" x14ac:dyDescent="0.25">
      <c r="A45" s="22">
        <v>-23</v>
      </c>
      <c r="B45" s="23">
        <v>2.12</v>
      </c>
      <c r="C45" s="24">
        <v>16.82</v>
      </c>
      <c r="D45" s="25">
        <v>2.3599999999999999E-2</v>
      </c>
      <c r="E45" s="25">
        <v>15.875</v>
      </c>
      <c r="F45" s="24">
        <v>42.37</v>
      </c>
      <c r="G45" s="25">
        <v>6.3E-2</v>
      </c>
      <c r="H45" s="26">
        <v>17.956</v>
      </c>
      <c r="I45" s="27">
        <v>603.32000000000005</v>
      </c>
      <c r="J45" s="27">
        <v>1.3827</v>
      </c>
    </row>
    <row r="46" spans="1:20" x14ac:dyDescent="0.25">
      <c r="A46" s="22">
        <v>-22</v>
      </c>
      <c r="B46" s="23">
        <v>2.58</v>
      </c>
      <c r="C46" s="24">
        <v>17.28</v>
      </c>
      <c r="D46" s="25">
        <v>2.3599999999999999E-2</v>
      </c>
      <c r="E46" s="25">
        <v>15.4778</v>
      </c>
      <c r="F46" s="24">
        <v>42.33</v>
      </c>
      <c r="G46" s="25">
        <v>6.4600000000000005E-2</v>
      </c>
      <c r="H46" s="26">
        <v>19.056999999999999</v>
      </c>
      <c r="I46" s="27">
        <v>603.66999999999996</v>
      </c>
      <c r="J46" s="27">
        <v>1.3805000000000001</v>
      </c>
    </row>
    <row r="47" spans="1:20" x14ac:dyDescent="0.25">
      <c r="A47" s="22">
        <v>-21</v>
      </c>
      <c r="B47" s="23">
        <v>3.05</v>
      </c>
      <c r="C47" s="24">
        <v>17.75</v>
      </c>
      <c r="D47" s="25">
        <v>2.3599999999999999E-2</v>
      </c>
      <c r="E47" s="25">
        <v>15.092499999999999</v>
      </c>
      <c r="F47" s="24">
        <v>42.29</v>
      </c>
      <c r="G47" s="25">
        <v>6.6299999999999998E-2</v>
      </c>
      <c r="H47" s="26">
        <v>20.116</v>
      </c>
      <c r="I47" s="27">
        <v>604.02</v>
      </c>
      <c r="J47" s="27">
        <v>1.3782000000000001</v>
      </c>
    </row>
    <row r="48" spans="1:20" x14ac:dyDescent="0.25">
      <c r="A48" s="22">
        <v>-20</v>
      </c>
      <c r="B48" s="23">
        <v>3.54</v>
      </c>
      <c r="C48" s="24">
        <v>18.239999999999998</v>
      </c>
      <c r="D48" s="25">
        <v>2.3699999999999999E-2</v>
      </c>
      <c r="E48" s="25">
        <v>14.7187</v>
      </c>
      <c r="F48" s="24">
        <v>42.24</v>
      </c>
      <c r="G48" s="25">
        <v>6.7900000000000002E-2</v>
      </c>
      <c r="H48" s="26">
        <v>21.236999999999998</v>
      </c>
      <c r="I48" s="27">
        <v>604.37</v>
      </c>
      <c r="J48" s="27">
        <v>1.3759999999999999</v>
      </c>
    </row>
    <row r="49" spans="1:15" x14ac:dyDescent="0.25">
      <c r="A49" s="22">
        <v>-19</v>
      </c>
      <c r="B49" s="23">
        <v>4.03</v>
      </c>
      <c r="C49" s="24">
        <v>18.73</v>
      </c>
      <c r="D49" s="25">
        <v>2.3699999999999999E-2</v>
      </c>
      <c r="E49" s="25">
        <v>14.3559</v>
      </c>
      <c r="F49" s="24">
        <v>42.2</v>
      </c>
      <c r="G49" s="25">
        <v>6.9699999999999998E-2</v>
      </c>
      <c r="H49" s="26">
        <v>22.251000000000001</v>
      </c>
      <c r="I49" s="27">
        <v>604.72</v>
      </c>
      <c r="J49" s="27">
        <v>1.3736999999999999</v>
      </c>
    </row>
    <row r="50" spans="1:15" x14ac:dyDescent="0.25">
      <c r="A50" s="22">
        <v>-18</v>
      </c>
      <c r="B50" s="23">
        <v>4.53</v>
      </c>
      <c r="C50" s="24">
        <v>19.23</v>
      </c>
      <c r="D50" s="25">
        <v>2.3699999999999999E-2</v>
      </c>
      <c r="E50" s="25">
        <v>14.0038</v>
      </c>
      <c r="F50" s="24">
        <v>42.16</v>
      </c>
      <c r="G50" s="25">
        <v>7.1400000000000005E-2</v>
      </c>
      <c r="H50" s="26">
        <v>23.308</v>
      </c>
      <c r="I50" s="27">
        <v>605.05999999999995</v>
      </c>
      <c r="J50" s="27">
        <v>1.3714999999999999</v>
      </c>
    </row>
    <row r="51" spans="1:15" x14ac:dyDescent="0.25">
      <c r="A51" s="22">
        <v>-17</v>
      </c>
      <c r="B51" s="23">
        <v>5.05</v>
      </c>
      <c r="C51" s="24">
        <v>19.75</v>
      </c>
      <c r="D51" s="25">
        <v>2.3699999999999999E-2</v>
      </c>
      <c r="E51" s="25">
        <v>13.662100000000001</v>
      </c>
      <c r="F51" s="24">
        <v>42.11</v>
      </c>
      <c r="G51" s="25">
        <v>7.3200000000000001E-2</v>
      </c>
      <c r="H51" s="26">
        <v>24.398</v>
      </c>
      <c r="I51" s="27">
        <v>605.4</v>
      </c>
      <c r="J51" s="27">
        <v>1.3693</v>
      </c>
    </row>
    <row r="52" spans="1:15" x14ac:dyDescent="0.25">
      <c r="A52" s="22">
        <v>-16</v>
      </c>
      <c r="B52" s="23">
        <v>5.57</v>
      </c>
      <c r="C52" s="24">
        <v>20.27</v>
      </c>
      <c r="D52" s="25">
        <v>2.3800000000000002E-2</v>
      </c>
      <c r="E52" s="25">
        <v>13.330299999999999</v>
      </c>
      <c r="F52" s="24">
        <v>42.07</v>
      </c>
      <c r="G52" s="25">
        <v>7.4999999999999997E-2</v>
      </c>
      <c r="H52" s="26">
        <v>25.451000000000001</v>
      </c>
      <c r="I52" s="27">
        <v>605.74</v>
      </c>
      <c r="J52" s="27">
        <v>1.3671</v>
      </c>
    </row>
    <row r="53" spans="1:15" x14ac:dyDescent="0.25">
      <c r="A53" s="22">
        <v>-15</v>
      </c>
      <c r="B53" s="23">
        <v>6.11</v>
      </c>
      <c r="C53" s="24">
        <v>20.81</v>
      </c>
      <c r="D53" s="25">
        <v>2.3800000000000002E-2</v>
      </c>
      <c r="E53" s="25">
        <v>13.0082</v>
      </c>
      <c r="F53" s="24">
        <v>42.02</v>
      </c>
      <c r="G53" s="25">
        <v>7.6899999999999996E-2</v>
      </c>
      <c r="H53" s="26">
        <v>26.510999999999999</v>
      </c>
      <c r="I53" s="27">
        <v>606.08000000000004</v>
      </c>
      <c r="J53" s="27">
        <v>1.365</v>
      </c>
    </row>
    <row r="54" spans="1:15" x14ac:dyDescent="0.25">
      <c r="A54" s="22">
        <v>-14</v>
      </c>
      <c r="B54" s="23">
        <v>6.66</v>
      </c>
      <c r="C54" s="24">
        <v>21.36</v>
      </c>
      <c r="D54" s="25">
        <v>2.3800000000000002E-2</v>
      </c>
      <c r="E54" s="25">
        <v>12.695399999999999</v>
      </c>
      <c r="F54" s="24">
        <v>41.98</v>
      </c>
      <c r="G54" s="25">
        <v>7.8799999999999995E-2</v>
      </c>
      <c r="H54" s="26">
        <v>27.582999999999998</v>
      </c>
      <c r="I54" s="27">
        <v>606.41999999999996</v>
      </c>
      <c r="J54" s="27">
        <v>1.3628</v>
      </c>
      <c r="M54" s="82">
        <f>O30</f>
        <v>195.35</v>
      </c>
      <c r="N54" s="83" t="str">
        <f>VLOOKUP(M54,M57:O99,2)</f>
        <v>b1710</v>
      </c>
      <c r="O54" s="83" t="str">
        <f>VLOOKUP(M54,M57:O99,3)</f>
        <v>h1771</v>
      </c>
    </row>
    <row r="55" spans="1:15" x14ac:dyDescent="0.25">
      <c r="A55" s="22">
        <v>-13</v>
      </c>
      <c r="B55" s="23">
        <v>7.22</v>
      </c>
      <c r="C55" s="24">
        <v>21.92</v>
      </c>
      <c r="D55" s="25">
        <v>2.3800000000000002E-2</v>
      </c>
      <c r="E55" s="25">
        <v>12.3917</v>
      </c>
      <c r="F55" s="24">
        <v>41.94</v>
      </c>
      <c r="G55" s="25">
        <v>8.0699999999999994E-2</v>
      </c>
      <c r="H55" s="26">
        <v>28.681000000000001</v>
      </c>
      <c r="I55" s="27">
        <v>606.76</v>
      </c>
      <c r="J55" s="27">
        <v>1.3606</v>
      </c>
      <c r="N55" t="str">
        <f>VLOOKUP(M54,[1]Sheet3!A1:D82,3)</f>
        <v>b4250</v>
      </c>
      <c r="O55" t="str">
        <f>VLOOKUP(M54,[1]Sheet3!A1:D82,4)</f>
        <v>h4320</v>
      </c>
    </row>
    <row r="56" spans="1:15" x14ac:dyDescent="0.25">
      <c r="A56" s="22">
        <v>-12</v>
      </c>
      <c r="B56" s="23">
        <v>7.79</v>
      </c>
      <c r="C56" s="24">
        <v>22.49</v>
      </c>
      <c r="D56" s="25">
        <v>0.23899999999999999</v>
      </c>
      <c r="E56" s="25">
        <v>12.0966</v>
      </c>
      <c r="F56" s="24">
        <v>41.89</v>
      </c>
      <c r="G56" s="25">
        <v>8.2699999999999996E-2</v>
      </c>
      <c r="H56" s="26">
        <v>29.751999999999999</v>
      </c>
      <c r="I56" s="27">
        <v>607.09</v>
      </c>
      <c r="J56" s="27">
        <v>1.3585</v>
      </c>
    </row>
    <row r="57" spans="1:15" x14ac:dyDescent="0.25">
      <c r="A57" s="22">
        <v>-11</v>
      </c>
      <c r="B57" s="23">
        <v>8.3699999999999992</v>
      </c>
      <c r="C57" s="24">
        <v>23.07</v>
      </c>
      <c r="D57" s="25">
        <v>2.3900000000000001E-2</v>
      </c>
      <c r="E57" s="25">
        <v>11.81</v>
      </c>
      <c r="F57" s="24">
        <v>41.85</v>
      </c>
      <c r="G57" s="25">
        <v>8.4699999999999998E-2</v>
      </c>
      <c r="H57" s="26">
        <v>30.759</v>
      </c>
      <c r="I57" s="27">
        <v>607.42999999999995</v>
      </c>
      <c r="J57" s="27">
        <v>1.3564000000000001</v>
      </c>
      <c r="M57" s="84">
        <v>0</v>
      </c>
      <c r="N57" s="83" t="s">
        <v>289</v>
      </c>
      <c r="O57" s="83" t="s">
        <v>290</v>
      </c>
    </row>
    <row r="58" spans="1:15" x14ac:dyDescent="0.25">
      <c r="A58" s="22">
        <v>-10</v>
      </c>
      <c r="B58" s="23">
        <v>8.9600000000000009</v>
      </c>
      <c r="C58" s="24">
        <v>23.66</v>
      </c>
      <c r="D58" s="25">
        <v>2.3900000000000001E-2</v>
      </c>
      <c r="E58" s="25">
        <v>11.531499999999999</v>
      </c>
      <c r="F58" s="24">
        <v>41.81</v>
      </c>
      <c r="G58" s="25">
        <v>8.6699999999999999E-2</v>
      </c>
      <c r="H58" s="26">
        <v>31.824000000000002</v>
      </c>
      <c r="I58" s="27">
        <v>607.76</v>
      </c>
      <c r="J58" s="27">
        <v>1.3542000000000001</v>
      </c>
      <c r="L58" s="84">
        <v>6</v>
      </c>
      <c r="M58" s="84">
        <v>4</v>
      </c>
      <c r="N58" s="83" t="s">
        <v>291</v>
      </c>
      <c r="O58" s="83" t="s">
        <v>292</v>
      </c>
    </row>
    <row r="59" spans="1:15" x14ac:dyDescent="0.25">
      <c r="A59" s="22">
        <v>-9</v>
      </c>
      <c r="B59" s="23">
        <v>9.57</v>
      </c>
      <c r="C59" s="24">
        <v>24.27</v>
      </c>
      <c r="D59" s="25">
        <v>2.3900000000000001E-2</v>
      </c>
      <c r="E59" s="25">
        <v>11.2608</v>
      </c>
      <c r="F59" s="24">
        <v>41.76</v>
      </c>
      <c r="G59" s="25">
        <v>8.8800000000000004E-2</v>
      </c>
      <c r="H59" s="26">
        <v>32.985999999999997</v>
      </c>
      <c r="I59" s="27">
        <v>608.09</v>
      </c>
      <c r="J59" s="27">
        <v>1.3521000000000001</v>
      </c>
      <c r="L59" s="84">
        <v>8</v>
      </c>
      <c r="M59" s="84">
        <v>7</v>
      </c>
      <c r="N59" s="83" t="s">
        <v>293</v>
      </c>
      <c r="O59" s="83" t="s">
        <v>294</v>
      </c>
    </row>
    <row r="60" spans="1:15" x14ac:dyDescent="0.25">
      <c r="A60" s="22">
        <v>-8</v>
      </c>
      <c r="B60" s="23">
        <v>10.19</v>
      </c>
      <c r="C60" s="24">
        <v>24.89</v>
      </c>
      <c r="D60" s="25">
        <v>2.4E-2</v>
      </c>
      <c r="E60" s="25">
        <v>10.9978</v>
      </c>
      <c r="F60" s="24">
        <v>41.72</v>
      </c>
      <c r="G60" s="25">
        <v>9.0899999999999995E-2</v>
      </c>
      <c r="H60" s="26">
        <v>34.018999999999998</v>
      </c>
      <c r="I60" s="27">
        <v>608.41999999999996</v>
      </c>
      <c r="J60" s="27">
        <v>1.35</v>
      </c>
      <c r="L60" s="84">
        <v>10</v>
      </c>
      <c r="M60" s="84">
        <v>9</v>
      </c>
      <c r="N60" s="83" t="s">
        <v>295</v>
      </c>
      <c r="O60" s="83" t="s">
        <v>296</v>
      </c>
    </row>
    <row r="61" spans="1:15" x14ac:dyDescent="0.25">
      <c r="A61" s="22">
        <v>-7</v>
      </c>
      <c r="B61" s="23">
        <v>10.82</v>
      </c>
      <c r="C61" s="24">
        <v>25.52</v>
      </c>
      <c r="D61" s="25">
        <v>2.4E-2</v>
      </c>
      <c r="E61" s="25">
        <v>10.7422</v>
      </c>
      <c r="F61" s="24">
        <v>41.67</v>
      </c>
      <c r="G61" s="25">
        <v>9.3100000000000002E-2</v>
      </c>
      <c r="H61" s="26">
        <v>35.085000000000001</v>
      </c>
      <c r="I61" s="27">
        <v>608.75</v>
      </c>
      <c r="J61" s="27">
        <v>1.3479000000000001</v>
      </c>
      <c r="L61" s="84">
        <v>12</v>
      </c>
      <c r="M61" s="84">
        <v>11</v>
      </c>
      <c r="N61" s="83" t="s">
        <v>297</v>
      </c>
      <c r="O61" s="83" t="s">
        <v>298</v>
      </c>
    </row>
    <row r="62" spans="1:15" x14ac:dyDescent="0.25">
      <c r="A62" s="22">
        <v>-6</v>
      </c>
      <c r="B62" s="23">
        <v>11.47</v>
      </c>
      <c r="C62" s="24">
        <v>26.17</v>
      </c>
      <c r="D62" s="25">
        <v>2.4E-2</v>
      </c>
      <c r="E62" s="25">
        <v>10.4937</v>
      </c>
      <c r="F62" s="24">
        <v>41.63</v>
      </c>
      <c r="G62" s="25">
        <v>9.5299999999999996E-2</v>
      </c>
      <c r="H62" s="26">
        <v>36.176000000000002</v>
      </c>
      <c r="I62" s="27">
        <v>609.07000000000005</v>
      </c>
      <c r="J62" s="27">
        <v>1.3459000000000001</v>
      </c>
      <c r="L62" s="84">
        <v>13.89</v>
      </c>
      <c r="M62" s="84">
        <v>12.9</v>
      </c>
      <c r="N62" s="83" t="s">
        <v>299</v>
      </c>
      <c r="O62" s="83" t="s">
        <v>300</v>
      </c>
    </row>
    <row r="63" spans="1:15" x14ac:dyDescent="0.25">
      <c r="A63" s="22">
        <v>-5</v>
      </c>
      <c r="B63" s="23">
        <v>12.13</v>
      </c>
      <c r="C63" s="24">
        <v>26.83</v>
      </c>
      <c r="D63" s="25">
        <v>2.4E-2</v>
      </c>
      <c r="E63" s="25">
        <v>10.2521</v>
      </c>
      <c r="F63" s="24">
        <v>41.59</v>
      </c>
      <c r="G63" s="25">
        <v>9.7500000000000003E-2</v>
      </c>
      <c r="H63" s="26">
        <v>37.262999999999998</v>
      </c>
      <c r="I63" s="27">
        <v>609.39</v>
      </c>
      <c r="J63" s="27">
        <v>1.3438000000000001</v>
      </c>
      <c r="L63" s="84">
        <v>14</v>
      </c>
      <c r="M63" s="84">
        <v>14</v>
      </c>
      <c r="N63" s="83" t="s">
        <v>301</v>
      </c>
      <c r="O63" s="83" t="s">
        <v>302</v>
      </c>
    </row>
    <row r="64" spans="1:15" x14ac:dyDescent="0.25">
      <c r="A64" s="22">
        <v>-4</v>
      </c>
      <c r="B64" s="23">
        <v>12.8</v>
      </c>
      <c r="C64" s="24">
        <v>27.5</v>
      </c>
      <c r="D64" s="25">
        <v>2.41E-2</v>
      </c>
      <c r="E64" s="25">
        <v>10.017200000000001</v>
      </c>
      <c r="F64" s="24">
        <v>41.54</v>
      </c>
      <c r="G64" s="25">
        <v>9.98E-2</v>
      </c>
      <c r="H64" s="26">
        <v>38.345999999999997</v>
      </c>
      <c r="I64" s="27">
        <v>609.72</v>
      </c>
      <c r="J64" s="27">
        <v>1.3416999999999999</v>
      </c>
      <c r="L64" s="84">
        <v>15</v>
      </c>
      <c r="M64" s="84">
        <v>15</v>
      </c>
      <c r="N64" s="83" t="s">
        <v>303</v>
      </c>
      <c r="O64" s="83" t="s">
        <v>304</v>
      </c>
    </row>
    <row r="65" spans="1:15" x14ac:dyDescent="0.25">
      <c r="A65" s="22">
        <v>-3</v>
      </c>
      <c r="B65" s="23">
        <v>13.48</v>
      </c>
      <c r="C65" s="24">
        <v>28.18</v>
      </c>
      <c r="D65" s="25">
        <v>2.41E-2</v>
      </c>
      <c r="E65" s="25">
        <v>9.7887000000000004</v>
      </c>
      <c r="F65" s="24">
        <v>41.5</v>
      </c>
      <c r="G65" s="25">
        <v>0.1022</v>
      </c>
      <c r="H65" s="26">
        <v>39.384999999999998</v>
      </c>
      <c r="I65" s="27">
        <v>610.04</v>
      </c>
      <c r="J65" s="27">
        <v>1.3396999999999999</v>
      </c>
      <c r="L65" s="84">
        <v>16</v>
      </c>
      <c r="M65" s="84">
        <v>16</v>
      </c>
      <c r="N65" s="83" t="s">
        <v>305</v>
      </c>
      <c r="O65" s="83" t="s">
        <v>306</v>
      </c>
    </row>
    <row r="66" spans="1:15" x14ac:dyDescent="0.25">
      <c r="A66" s="22">
        <v>-2</v>
      </c>
      <c r="B66" s="23">
        <v>14.18</v>
      </c>
      <c r="C66" s="24">
        <v>28.88</v>
      </c>
      <c r="D66" s="25">
        <v>2.41E-2</v>
      </c>
      <c r="E66" s="25">
        <v>9.5664999999999996</v>
      </c>
      <c r="F66" s="24">
        <v>41.45</v>
      </c>
      <c r="G66" s="25">
        <v>0.1045</v>
      </c>
      <c r="H66" s="26">
        <v>40.46</v>
      </c>
      <c r="I66" s="27">
        <v>610.35</v>
      </c>
      <c r="J66" s="27">
        <v>1.3375999999999999</v>
      </c>
      <c r="L66" s="84">
        <v>18</v>
      </c>
      <c r="M66" s="84">
        <v>17</v>
      </c>
      <c r="N66" s="83" t="s">
        <v>307</v>
      </c>
      <c r="O66" s="83" t="s">
        <v>308</v>
      </c>
    </row>
    <row r="67" spans="1:15" x14ac:dyDescent="0.25">
      <c r="A67" s="22">
        <v>-1</v>
      </c>
      <c r="B67" s="23">
        <v>14.89</v>
      </c>
      <c r="C67" s="24">
        <v>29.59</v>
      </c>
      <c r="D67" s="25">
        <v>2.41E-2</v>
      </c>
      <c r="E67" s="25">
        <v>9.3503000000000007</v>
      </c>
      <c r="F67" s="24">
        <v>41.41</v>
      </c>
      <c r="G67" s="25">
        <v>0.1069</v>
      </c>
      <c r="H67" s="26">
        <v>41.543999999999997</v>
      </c>
      <c r="I67" s="27">
        <v>610.66999999999996</v>
      </c>
      <c r="J67" s="27">
        <v>1.3355999999999999</v>
      </c>
      <c r="L67" s="84">
        <v>18.279</v>
      </c>
      <c r="M67" s="84">
        <v>18.279</v>
      </c>
      <c r="N67" s="83" t="s">
        <v>309</v>
      </c>
      <c r="O67" s="83" t="s">
        <v>310</v>
      </c>
    </row>
    <row r="68" spans="1:15" x14ac:dyDescent="0.25">
      <c r="A68" s="22">
        <v>0</v>
      </c>
      <c r="B68" s="23">
        <v>15.62</v>
      </c>
      <c r="C68" s="24">
        <v>30.32</v>
      </c>
      <c r="D68" s="25">
        <v>2.4199999999999999E-2</v>
      </c>
      <c r="E68" s="25">
        <v>9.1401000000000003</v>
      </c>
      <c r="F68" s="24">
        <v>41.36</v>
      </c>
      <c r="G68" s="25">
        <v>0.1094</v>
      </c>
      <c r="H68" s="26">
        <v>42.619</v>
      </c>
      <c r="I68" s="27">
        <v>610.99</v>
      </c>
      <c r="J68" s="27">
        <v>1.3335999999999999</v>
      </c>
      <c r="L68" s="84">
        <v>20</v>
      </c>
      <c r="M68" s="84">
        <v>19</v>
      </c>
      <c r="N68" s="83" t="s">
        <v>311</v>
      </c>
      <c r="O68" s="83" t="s">
        <v>312</v>
      </c>
    </row>
    <row r="69" spans="1:15" x14ac:dyDescent="0.25">
      <c r="A69" s="22">
        <v>1</v>
      </c>
      <c r="B69" s="23">
        <v>16.36</v>
      </c>
      <c r="C69" s="24">
        <v>31.06</v>
      </c>
      <c r="D69" s="25">
        <v>2.4199999999999999E-2</v>
      </c>
      <c r="E69" s="25">
        <v>8.9354999999999993</v>
      </c>
      <c r="F69" s="24">
        <v>41.32</v>
      </c>
      <c r="G69" s="25">
        <v>0.1119</v>
      </c>
      <c r="H69" s="26">
        <v>43.712000000000003</v>
      </c>
      <c r="I69" s="27">
        <v>611.29999999999995</v>
      </c>
      <c r="J69" s="27">
        <v>1.3315999999999999</v>
      </c>
      <c r="L69" s="84">
        <v>23.724</v>
      </c>
      <c r="M69" s="84">
        <v>21.8</v>
      </c>
      <c r="N69" s="83" t="s">
        <v>313</v>
      </c>
      <c r="O69" s="83" t="s">
        <v>314</v>
      </c>
    </row>
    <row r="70" spans="1:15" x14ac:dyDescent="0.25">
      <c r="A70" s="22">
        <v>2</v>
      </c>
      <c r="B70" s="23">
        <v>17.11</v>
      </c>
      <c r="C70" s="24">
        <v>31.81</v>
      </c>
      <c r="D70" s="25">
        <v>2.4199999999999999E-2</v>
      </c>
      <c r="E70" s="25">
        <v>8.7363999999999997</v>
      </c>
      <c r="F70" s="24">
        <v>41.27</v>
      </c>
      <c r="G70" s="25">
        <v>0.1145</v>
      </c>
      <c r="H70" s="26">
        <v>44.838999999999999</v>
      </c>
      <c r="I70" s="27">
        <v>611.61</v>
      </c>
      <c r="J70" s="27">
        <v>1.3295999999999999</v>
      </c>
      <c r="L70" s="84">
        <v>25</v>
      </c>
      <c r="M70" s="84">
        <v>24.3</v>
      </c>
      <c r="N70" s="83" t="s">
        <v>315</v>
      </c>
      <c r="O70" s="83" t="s">
        <v>316</v>
      </c>
    </row>
    <row r="71" spans="1:15" x14ac:dyDescent="0.25">
      <c r="A71" s="22">
        <v>3</v>
      </c>
      <c r="B71" s="23">
        <v>17.88</v>
      </c>
      <c r="C71" s="24">
        <v>32.58</v>
      </c>
      <c r="D71" s="25">
        <v>2.4299999999999999E-2</v>
      </c>
      <c r="E71" s="25">
        <v>8.5426000000000002</v>
      </c>
      <c r="F71" s="24">
        <v>41.23</v>
      </c>
      <c r="G71" s="25">
        <v>0.1171</v>
      </c>
      <c r="H71" s="26">
        <v>45.905000000000001</v>
      </c>
      <c r="I71" s="27">
        <v>611.91999999999996</v>
      </c>
      <c r="J71" s="27">
        <v>1.3275999999999999</v>
      </c>
      <c r="L71" s="84">
        <v>30</v>
      </c>
      <c r="M71" s="84">
        <v>27.5</v>
      </c>
      <c r="N71" s="83" t="s">
        <v>317</v>
      </c>
      <c r="O71" s="83" t="s">
        <v>318</v>
      </c>
    </row>
    <row r="72" spans="1:15" x14ac:dyDescent="0.25">
      <c r="A72" s="22">
        <v>4</v>
      </c>
      <c r="B72" s="23">
        <v>18.66</v>
      </c>
      <c r="C72" s="24">
        <v>33.36</v>
      </c>
      <c r="D72" s="25">
        <v>2.4299999999999999E-2</v>
      </c>
      <c r="E72" s="25">
        <v>8.3539999999999992</v>
      </c>
      <c r="F72" s="24">
        <v>41.19</v>
      </c>
      <c r="G72" s="25">
        <v>0.1197</v>
      </c>
      <c r="H72" s="26">
        <v>46.96</v>
      </c>
      <c r="I72" s="27">
        <v>612.23</v>
      </c>
      <c r="J72" s="27">
        <v>1.3255999999999999</v>
      </c>
      <c r="L72" s="84">
        <v>30.396999999999998</v>
      </c>
      <c r="M72" s="84">
        <v>30.396999999999998</v>
      </c>
      <c r="N72" s="83" t="s">
        <v>319</v>
      </c>
      <c r="O72" s="83" t="s">
        <v>320</v>
      </c>
    </row>
    <row r="73" spans="1:15" x14ac:dyDescent="0.25">
      <c r="A73" s="22">
        <v>5</v>
      </c>
      <c r="B73" s="23">
        <v>19.46</v>
      </c>
      <c r="C73" s="24">
        <v>34.159999999999997</v>
      </c>
      <c r="D73" s="25">
        <v>2.4299999999999999E-2</v>
      </c>
      <c r="E73" s="25">
        <v>8.1704000000000008</v>
      </c>
      <c r="F73" s="24">
        <v>41.14</v>
      </c>
      <c r="G73" s="25">
        <v>0.12239999999999999</v>
      </c>
      <c r="H73" s="26">
        <v>48.045000000000002</v>
      </c>
      <c r="I73" s="27">
        <v>612.54</v>
      </c>
      <c r="J73" s="27">
        <v>1.3237000000000001</v>
      </c>
      <c r="L73" s="84">
        <v>34.253</v>
      </c>
      <c r="M73" s="84">
        <v>32.200000000000003</v>
      </c>
      <c r="N73" s="83" t="s">
        <v>321</v>
      </c>
      <c r="O73" s="83" t="s">
        <v>322</v>
      </c>
    </row>
    <row r="74" spans="1:15" x14ac:dyDescent="0.25">
      <c r="A74" s="22">
        <v>6</v>
      </c>
      <c r="B74" s="23">
        <v>20.28</v>
      </c>
      <c r="C74" s="24">
        <v>34.979999999999997</v>
      </c>
      <c r="D74" s="25">
        <v>2.4299999999999999E-2</v>
      </c>
      <c r="E74" s="25">
        <v>7.9916999999999998</v>
      </c>
      <c r="F74" s="24">
        <v>41.1</v>
      </c>
      <c r="G74" s="25">
        <v>0.12509999999999999</v>
      </c>
      <c r="H74" s="26">
        <v>49.143000000000001</v>
      </c>
      <c r="I74" s="27">
        <v>612.84</v>
      </c>
      <c r="J74" s="27">
        <v>1.3217000000000001</v>
      </c>
      <c r="L74" s="84">
        <v>35</v>
      </c>
      <c r="M74" s="84">
        <v>35</v>
      </c>
      <c r="N74" s="83" t="s">
        <v>323</v>
      </c>
      <c r="O74" s="83" t="s">
        <v>324</v>
      </c>
    </row>
    <row r="75" spans="1:15" x14ac:dyDescent="0.25">
      <c r="A75" s="22">
        <v>7</v>
      </c>
      <c r="B75" s="23">
        <v>21.1</v>
      </c>
      <c r="C75" s="24">
        <v>35.799999999999997</v>
      </c>
      <c r="D75" s="25">
        <v>2.4400000000000002E-2</v>
      </c>
      <c r="E75" s="25">
        <v>7.8177000000000003</v>
      </c>
      <c r="F75" s="24">
        <v>41.05</v>
      </c>
      <c r="G75" s="25">
        <v>0.12790000000000001</v>
      </c>
      <c r="H75" s="26">
        <v>50.218000000000004</v>
      </c>
      <c r="I75" s="27">
        <v>613.15</v>
      </c>
      <c r="J75" s="27">
        <v>1.3198000000000001</v>
      </c>
      <c r="L75" s="84">
        <v>38.488</v>
      </c>
      <c r="M75" s="84">
        <v>36.700000000000003</v>
      </c>
      <c r="N75" s="83" t="s">
        <v>325</v>
      </c>
      <c r="O75" s="83" t="s">
        <v>326</v>
      </c>
    </row>
    <row r="76" spans="1:15" x14ac:dyDescent="0.25">
      <c r="A76" s="22">
        <v>8</v>
      </c>
      <c r="B76" s="23">
        <v>21.95</v>
      </c>
      <c r="C76" s="24">
        <v>36.65</v>
      </c>
      <c r="D76" s="25">
        <v>2.4400000000000002E-2</v>
      </c>
      <c r="E76" s="25">
        <v>7.6482000000000001</v>
      </c>
      <c r="F76" s="24">
        <v>41.01</v>
      </c>
      <c r="G76" s="25">
        <v>0.13070000000000001</v>
      </c>
      <c r="H76" s="26">
        <v>51.320999999999998</v>
      </c>
      <c r="I76" s="27">
        <v>613.45000000000005</v>
      </c>
      <c r="J76" s="27">
        <v>1.3178000000000001</v>
      </c>
      <c r="L76" s="84">
        <v>40</v>
      </c>
      <c r="M76" s="84">
        <v>39</v>
      </c>
      <c r="N76" s="83" t="s">
        <v>327</v>
      </c>
      <c r="O76" s="83" t="s">
        <v>328</v>
      </c>
    </row>
    <row r="77" spans="1:15" x14ac:dyDescent="0.25">
      <c r="A77" s="22">
        <v>9</v>
      </c>
      <c r="B77" s="23">
        <v>22.81</v>
      </c>
      <c r="C77" s="24">
        <v>37.51</v>
      </c>
      <c r="D77" s="25">
        <v>2.4400000000000002E-2</v>
      </c>
      <c r="E77" s="25" t="s">
        <v>329</v>
      </c>
      <c r="F77" s="24">
        <v>40.96</v>
      </c>
      <c r="G77" s="25">
        <v>0.1336</v>
      </c>
      <c r="H77" s="26">
        <v>52.375999999999998</v>
      </c>
      <c r="I77" s="27">
        <v>613.75</v>
      </c>
      <c r="J77" s="27">
        <v>1.3159000000000001</v>
      </c>
      <c r="L77" s="84">
        <v>43.125999999999998</v>
      </c>
      <c r="M77" s="84">
        <v>41.5</v>
      </c>
      <c r="N77" s="83" t="s">
        <v>330</v>
      </c>
      <c r="O77" s="83" t="s">
        <v>331</v>
      </c>
    </row>
    <row r="78" spans="1:15" x14ac:dyDescent="0.25">
      <c r="A78" s="22">
        <v>10</v>
      </c>
      <c r="B78" s="23">
        <v>23.68</v>
      </c>
      <c r="C78" s="24">
        <v>38.380000000000003</v>
      </c>
      <c r="D78" s="25">
        <v>2.4400000000000002E-2</v>
      </c>
      <c r="E78" s="25">
        <v>7.3224</v>
      </c>
      <c r="F78" s="24">
        <v>40.92</v>
      </c>
      <c r="G78" s="25">
        <v>0.1336</v>
      </c>
      <c r="H78" s="26">
        <v>53.456000000000003</v>
      </c>
      <c r="I78" s="27">
        <v>614.04</v>
      </c>
      <c r="J78" s="27">
        <v>1.3140000000000001</v>
      </c>
      <c r="L78" s="84">
        <v>45</v>
      </c>
      <c r="M78" s="84">
        <v>44</v>
      </c>
      <c r="N78" s="83" t="s">
        <v>332</v>
      </c>
      <c r="O78" s="83" t="s">
        <v>333</v>
      </c>
    </row>
    <row r="79" spans="1:15" x14ac:dyDescent="0.25">
      <c r="A79" s="22">
        <v>11</v>
      </c>
      <c r="B79" s="23">
        <v>24.58</v>
      </c>
      <c r="C79" s="24">
        <v>39.28</v>
      </c>
      <c r="D79" s="25">
        <v>2.4500000000000001E-2</v>
      </c>
      <c r="E79" s="25">
        <v>7.1657000000000002</v>
      </c>
      <c r="F79" s="24">
        <v>40.869999999999997</v>
      </c>
      <c r="G79" s="25">
        <v>0.1396</v>
      </c>
      <c r="H79" s="26">
        <v>54.575000000000003</v>
      </c>
      <c r="I79" s="27">
        <v>614.34</v>
      </c>
      <c r="J79" s="27">
        <v>1.3121</v>
      </c>
      <c r="L79" s="84">
        <v>48.194000000000003</v>
      </c>
      <c r="M79" s="84">
        <v>46.5</v>
      </c>
      <c r="N79" s="83" t="s">
        <v>334</v>
      </c>
      <c r="O79" s="83" t="s">
        <v>335</v>
      </c>
    </row>
    <row r="80" spans="1:15" x14ac:dyDescent="0.25">
      <c r="A80" s="22">
        <v>12</v>
      </c>
      <c r="B80" s="23">
        <v>25.48</v>
      </c>
      <c r="C80" s="24">
        <v>40.18</v>
      </c>
      <c r="D80" s="25">
        <v>2.4500000000000001E-2</v>
      </c>
      <c r="E80" s="25">
        <v>7.0132000000000003</v>
      </c>
      <c r="F80" s="24">
        <v>40.82</v>
      </c>
      <c r="G80" s="25">
        <v>0.1426</v>
      </c>
      <c r="H80" s="26">
        <v>55.633000000000003</v>
      </c>
      <c r="I80" s="27">
        <v>614.64</v>
      </c>
      <c r="J80" s="27">
        <v>1.3101</v>
      </c>
      <c r="L80" s="84">
        <v>50</v>
      </c>
      <c r="M80" s="84">
        <v>49</v>
      </c>
      <c r="N80" s="83" t="s">
        <v>336</v>
      </c>
      <c r="O80" s="83" t="s">
        <v>337</v>
      </c>
    </row>
    <row r="81" spans="1:15" x14ac:dyDescent="0.25">
      <c r="A81" s="22">
        <v>13</v>
      </c>
      <c r="B81" s="23">
        <v>26.41</v>
      </c>
      <c r="C81" s="24">
        <v>41.11</v>
      </c>
      <c r="D81" s="25">
        <v>2.4500000000000001E-2</v>
      </c>
      <c r="E81" s="25">
        <v>6.8644999999999996</v>
      </c>
      <c r="F81" s="24">
        <v>40.78</v>
      </c>
      <c r="G81" s="25">
        <v>0.1457</v>
      </c>
      <c r="H81" s="26">
        <v>56.707000000000001</v>
      </c>
      <c r="I81" s="27">
        <v>614.92999999999995</v>
      </c>
      <c r="J81" s="27">
        <v>1.3083</v>
      </c>
      <c r="L81" s="84">
        <v>53.72</v>
      </c>
      <c r="M81" s="84">
        <v>51.8</v>
      </c>
      <c r="N81" s="83" t="s">
        <v>338</v>
      </c>
      <c r="O81" s="83" t="s">
        <v>339</v>
      </c>
    </row>
    <row r="82" spans="1:15" x14ac:dyDescent="0.25">
      <c r="A82" s="22">
        <v>14</v>
      </c>
      <c r="B82" s="23">
        <v>27.35</v>
      </c>
      <c r="C82" s="24">
        <v>42.05</v>
      </c>
      <c r="D82" s="25">
        <v>2.46E-2</v>
      </c>
      <c r="E82" s="25">
        <v>6.7195999999999998</v>
      </c>
      <c r="F82" s="24">
        <v>40.729999999999997</v>
      </c>
      <c r="G82" s="25">
        <v>0.14879999999999999</v>
      </c>
      <c r="H82" s="26">
        <v>57.814</v>
      </c>
      <c r="I82" s="27">
        <v>615.22</v>
      </c>
      <c r="J82" s="27">
        <v>1.3064</v>
      </c>
      <c r="L82" s="84">
        <v>59.731000000000002</v>
      </c>
      <c r="M82" s="84">
        <v>56.7</v>
      </c>
      <c r="N82" s="83" t="s">
        <v>340</v>
      </c>
      <c r="O82" s="83" t="s">
        <v>341</v>
      </c>
    </row>
    <row r="83" spans="1:15" x14ac:dyDescent="0.25">
      <c r="A83" s="22">
        <v>15</v>
      </c>
      <c r="B83" s="23">
        <v>28.31</v>
      </c>
      <c r="C83" s="24">
        <v>43.01</v>
      </c>
      <c r="D83" s="25">
        <v>2.46E-2</v>
      </c>
      <c r="E83" s="25">
        <v>6.5784000000000002</v>
      </c>
      <c r="F83" s="24">
        <v>40.69</v>
      </c>
      <c r="G83" s="25">
        <v>0.152</v>
      </c>
      <c r="H83" s="26">
        <v>58.923000000000002</v>
      </c>
      <c r="I83" s="27">
        <v>615.51</v>
      </c>
      <c r="J83" s="27">
        <v>1.3045</v>
      </c>
      <c r="L83" s="84">
        <v>60</v>
      </c>
      <c r="M83" s="84">
        <v>60</v>
      </c>
      <c r="N83" s="83" t="s">
        <v>342</v>
      </c>
      <c r="O83" s="83" t="s">
        <v>343</v>
      </c>
    </row>
    <row r="84" spans="1:15" x14ac:dyDescent="0.25">
      <c r="A84" s="22">
        <v>16</v>
      </c>
      <c r="B84" s="23">
        <v>29.28</v>
      </c>
      <c r="C84" s="24">
        <v>43.98</v>
      </c>
      <c r="D84" s="25">
        <v>2.46E-2</v>
      </c>
      <c r="E84" s="25">
        <v>6.4408000000000003</v>
      </c>
      <c r="F84" s="24">
        <v>40.64</v>
      </c>
      <c r="G84" s="25">
        <v>0.15529999999999999</v>
      </c>
      <c r="H84" s="26">
        <v>60.024999999999999</v>
      </c>
      <c r="I84" s="27">
        <v>615.79</v>
      </c>
      <c r="J84" s="27">
        <v>1.3026</v>
      </c>
      <c r="L84" s="84">
        <v>66.254999999999995</v>
      </c>
      <c r="M84" s="84">
        <v>63</v>
      </c>
      <c r="N84" s="83" t="s">
        <v>344</v>
      </c>
      <c r="O84" s="83" t="s">
        <v>345</v>
      </c>
    </row>
    <row r="85" spans="1:15" x14ac:dyDescent="0.25">
      <c r="A85" s="22">
        <v>17</v>
      </c>
      <c r="B85" s="23">
        <v>30.28</v>
      </c>
      <c r="C85" s="24">
        <v>44.98</v>
      </c>
      <c r="D85" s="25">
        <v>2.46E-2</v>
      </c>
      <c r="E85" s="25">
        <v>6.3066000000000004</v>
      </c>
      <c r="F85" s="24">
        <v>40.6</v>
      </c>
      <c r="G85" s="25">
        <v>0.15859999999999999</v>
      </c>
      <c r="H85" s="26">
        <v>61.098999999999997</v>
      </c>
      <c r="I85" s="27">
        <v>616.08000000000004</v>
      </c>
      <c r="J85" s="27">
        <v>1.3008</v>
      </c>
      <c r="L85" s="84">
        <v>70</v>
      </c>
      <c r="M85" s="84">
        <v>68</v>
      </c>
      <c r="N85" s="83" t="s">
        <v>346</v>
      </c>
      <c r="O85" s="83" t="s">
        <v>347</v>
      </c>
    </row>
    <row r="86" spans="1:15" x14ac:dyDescent="0.25">
      <c r="A86" s="22">
        <v>18</v>
      </c>
      <c r="B86" s="23">
        <v>31.29</v>
      </c>
      <c r="C86" s="24">
        <v>45.99</v>
      </c>
      <c r="D86" s="25">
        <v>2.47E-2</v>
      </c>
      <c r="E86" s="25">
        <v>6.1757999999999997</v>
      </c>
      <c r="F86" s="24">
        <v>40.549999999999997</v>
      </c>
      <c r="G86" s="25">
        <v>0.16189999999999999</v>
      </c>
      <c r="H86" s="26">
        <v>62.207000000000001</v>
      </c>
      <c r="I86" s="27">
        <v>616.36</v>
      </c>
      <c r="J86" s="27">
        <v>1.2988999999999999</v>
      </c>
      <c r="L86" s="84">
        <v>75</v>
      </c>
      <c r="M86" s="84">
        <v>72.5</v>
      </c>
      <c r="N86" s="83" t="s">
        <v>348</v>
      </c>
      <c r="O86" s="83" t="s">
        <v>349</v>
      </c>
    </row>
    <row r="87" spans="1:15" x14ac:dyDescent="0.25">
      <c r="A87" s="22">
        <v>19</v>
      </c>
      <c r="B87" s="23">
        <v>32.32</v>
      </c>
      <c r="C87" s="24">
        <v>47.02</v>
      </c>
      <c r="D87" s="25">
        <v>2.47E-2</v>
      </c>
      <c r="E87" s="25">
        <v>6.0483000000000002</v>
      </c>
      <c r="F87" s="24">
        <v>40.51</v>
      </c>
      <c r="G87" s="25">
        <v>0.1653</v>
      </c>
      <c r="H87" s="26">
        <v>63.287999999999997</v>
      </c>
      <c r="I87" s="27">
        <v>616.64</v>
      </c>
      <c r="J87" s="27">
        <v>1.2970999999999999</v>
      </c>
      <c r="L87" s="84">
        <v>80</v>
      </c>
      <c r="M87" s="84">
        <v>77.5</v>
      </c>
      <c r="N87" s="83" t="s">
        <v>350</v>
      </c>
      <c r="O87" s="83" t="s">
        <v>351</v>
      </c>
    </row>
    <row r="88" spans="1:15" x14ac:dyDescent="0.25">
      <c r="A88" s="22">
        <v>20</v>
      </c>
      <c r="B88" s="23">
        <v>33.36</v>
      </c>
      <c r="C88" s="24">
        <v>48.06</v>
      </c>
      <c r="D88" s="25">
        <v>2.47E-2</v>
      </c>
      <c r="E88" s="25">
        <v>5.9240000000000004</v>
      </c>
      <c r="F88" s="24">
        <v>40.46</v>
      </c>
      <c r="G88" s="25">
        <v>0.16880000000000001</v>
      </c>
      <c r="H88" s="26">
        <v>64.400000000000006</v>
      </c>
      <c r="I88" s="27">
        <v>616.91999999999996</v>
      </c>
      <c r="J88" s="27">
        <v>1.2951999999999999</v>
      </c>
      <c r="L88" s="84">
        <v>90</v>
      </c>
      <c r="M88" s="84">
        <v>85</v>
      </c>
      <c r="N88" s="83" t="s">
        <v>352</v>
      </c>
      <c r="O88" s="83" t="s">
        <v>353</v>
      </c>
    </row>
    <row r="89" spans="1:15" x14ac:dyDescent="0.25">
      <c r="A89" s="22">
        <v>21</v>
      </c>
      <c r="B89" s="23">
        <v>34.43</v>
      </c>
      <c r="C89" s="24">
        <v>49.13</v>
      </c>
      <c r="D89" s="25">
        <v>2.47E-2</v>
      </c>
      <c r="E89" s="25">
        <v>5.8026999999999997</v>
      </c>
      <c r="F89" s="24">
        <v>40.409999999999997</v>
      </c>
      <c r="G89" s="25">
        <v>0.17230000000000001</v>
      </c>
      <c r="H89" s="26">
        <v>65.471999999999994</v>
      </c>
      <c r="I89" s="27">
        <v>617.20000000000005</v>
      </c>
      <c r="J89" s="27">
        <v>1.2934000000000001</v>
      </c>
      <c r="L89" s="84">
        <v>100</v>
      </c>
      <c r="M89" s="84">
        <v>95</v>
      </c>
      <c r="N89" s="83" t="s">
        <v>354</v>
      </c>
      <c r="O89" s="83" t="s">
        <v>355</v>
      </c>
    </row>
    <row r="90" spans="1:15" x14ac:dyDescent="0.25">
      <c r="A90" s="22">
        <v>22</v>
      </c>
      <c r="B90" s="23">
        <v>35.51</v>
      </c>
      <c r="C90" s="24">
        <v>50.21</v>
      </c>
      <c r="D90" s="25">
        <v>2.4799999999999999E-2</v>
      </c>
      <c r="E90" s="25">
        <v>5.6844000000000001</v>
      </c>
      <c r="F90" s="24">
        <v>40.369999999999997</v>
      </c>
      <c r="G90" s="25">
        <v>0.1759</v>
      </c>
      <c r="H90" s="26">
        <v>66.602999999999994</v>
      </c>
      <c r="I90" s="27">
        <v>617.48</v>
      </c>
      <c r="J90" s="27">
        <v>1.2916000000000001</v>
      </c>
      <c r="L90" s="84">
        <v>125</v>
      </c>
      <c r="M90" s="84">
        <v>112.5</v>
      </c>
      <c r="N90" s="83" t="s">
        <v>356</v>
      </c>
      <c r="O90" s="83" t="s">
        <v>357</v>
      </c>
    </row>
    <row r="91" spans="1:15" x14ac:dyDescent="0.25">
      <c r="A91" s="22">
        <v>23</v>
      </c>
      <c r="B91" s="23">
        <v>36.61</v>
      </c>
      <c r="C91" s="24">
        <v>51.31</v>
      </c>
      <c r="D91" s="25">
        <v>2.4799999999999999E-2</v>
      </c>
      <c r="E91" s="25">
        <v>5.569</v>
      </c>
      <c r="F91" s="24">
        <v>40.32</v>
      </c>
      <c r="G91" s="25">
        <v>0.17960000000000001</v>
      </c>
      <c r="H91" s="26">
        <v>67.668999999999997</v>
      </c>
      <c r="I91" s="27">
        <v>617.75</v>
      </c>
      <c r="J91" s="27">
        <v>1.2898000000000001</v>
      </c>
      <c r="L91" s="84">
        <v>150</v>
      </c>
      <c r="M91" s="84">
        <v>137.5</v>
      </c>
      <c r="N91" s="83" t="s">
        <v>358</v>
      </c>
      <c r="O91" s="83" t="s">
        <v>359</v>
      </c>
    </row>
    <row r="92" spans="1:15" x14ac:dyDescent="0.25">
      <c r="A92" s="22">
        <v>24</v>
      </c>
      <c r="B92" s="23">
        <v>37.729999999999997</v>
      </c>
      <c r="C92" s="24">
        <v>52.43</v>
      </c>
      <c r="D92" s="25">
        <v>2.4799999999999999E-2</v>
      </c>
      <c r="E92" s="25">
        <v>5.4564000000000004</v>
      </c>
      <c r="F92" s="24">
        <v>40.270000000000003</v>
      </c>
      <c r="G92" s="25">
        <v>0.18329999999999999</v>
      </c>
      <c r="H92" s="26">
        <v>68.78</v>
      </c>
      <c r="I92" s="27">
        <v>618.02</v>
      </c>
      <c r="J92" s="27">
        <v>1.288</v>
      </c>
      <c r="L92" s="84">
        <v>166.51</v>
      </c>
      <c r="M92" s="84">
        <v>158</v>
      </c>
      <c r="N92" s="83" t="s">
        <v>360</v>
      </c>
      <c r="O92" s="83" t="s">
        <v>361</v>
      </c>
    </row>
    <row r="93" spans="1:15" x14ac:dyDescent="0.25">
      <c r="A93" s="22">
        <v>25</v>
      </c>
      <c r="B93" s="23">
        <v>38.869999999999997</v>
      </c>
      <c r="C93" s="24">
        <v>53.57</v>
      </c>
      <c r="D93" s="25">
        <v>2.4899999999999999E-2</v>
      </c>
      <c r="E93" s="25">
        <v>5.3465999999999996</v>
      </c>
      <c r="F93" s="24">
        <v>40.229999999999997</v>
      </c>
      <c r="G93" s="25">
        <v>0.187</v>
      </c>
      <c r="H93" s="26">
        <v>69.897999999999996</v>
      </c>
      <c r="I93" s="27">
        <v>618.29</v>
      </c>
      <c r="J93" s="27">
        <v>1.2862</v>
      </c>
      <c r="L93" s="84">
        <v>175</v>
      </c>
      <c r="M93" s="84">
        <v>170</v>
      </c>
      <c r="N93" s="83" t="s">
        <v>69</v>
      </c>
      <c r="O93" s="83" t="s">
        <v>362</v>
      </c>
    </row>
    <row r="94" spans="1:15" x14ac:dyDescent="0.25">
      <c r="A94" s="22">
        <v>26</v>
      </c>
      <c r="B94" s="23">
        <v>40.03</v>
      </c>
      <c r="C94" s="24">
        <v>54.73</v>
      </c>
      <c r="D94" s="25">
        <v>2.4899999999999999E-2</v>
      </c>
      <c r="E94" s="25">
        <v>5.2394999999999996</v>
      </c>
      <c r="F94" s="24">
        <v>40.18</v>
      </c>
      <c r="G94" s="25">
        <v>0.19089999999999999</v>
      </c>
      <c r="H94" s="26">
        <v>70.981999999999999</v>
      </c>
      <c r="I94" s="27">
        <v>618.55999999999995</v>
      </c>
      <c r="J94" s="27">
        <v>1.2844</v>
      </c>
      <c r="L94" s="84">
        <v>195</v>
      </c>
      <c r="M94" s="84">
        <v>185</v>
      </c>
      <c r="N94" s="83" t="s">
        <v>363</v>
      </c>
      <c r="O94" s="83" t="s">
        <v>364</v>
      </c>
    </row>
    <row r="95" spans="1:15" x14ac:dyDescent="0.25">
      <c r="A95" s="22">
        <v>27</v>
      </c>
      <c r="B95" s="23">
        <v>41.21</v>
      </c>
      <c r="C95" s="24">
        <v>55.91</v>
      </c>
      <c r="D95" s="25">
        <v>2.4899999999999999E-2</v>
      </c>
      <c r="E95" s="25">
        <v>5.1349</v>
      </c>
      <c r="F95" s="24">
        <v>40.14</v>
      </c>
      <c r="G95" s="25">
        <v>0.19470000000000001</v>
      </c>
      <c r="H95" s="26">
        <v>72.09</v>
      </c>
      <c r="I95" s="27">
        <v>618.83000000000004</v>
      </c>
      <c r="J95" s="27">
        <v>1.2826</v>
      </c>
      <c r="L95" s="84">
        <v>200</v>
      </c>
      <c r="M95" s="84">
        <v>197.5</v>
      </c>
      <c r="N95" s="83" t="s">
        <v>365</v>
      </c>
      <c r="O95" s="83" t="s">
        <v>366</v>
      </c>
    </row>
    <row r="96" spans="1:15" x14ac:dyDescent="0.25">
      <c r="A96" s="22">
        <v>28</v>
      </c>
      <c r="B96" s="23">
        <v>42.41</v>
      </c>
      <c r="C96" s="24">
        <v>57.11</v>
      </c>
      <c r="D96" s="25">
        <v>2.4899999999999999E-2</v>
      </c>
      <c r="E96" s="25">
        <v>5.0327999999999999</v>
      </c>
      <c r="F96" s="24">
        <v>40.090000000000003</v>
      </c>
      <c r="G96" s="25">
        <v>0.19869999999999999</v>
      </c>
      <c r="H96" s="26">
        <v>73.195999999999998</v>
      </c>
      <c r="I96" s="27">
        <v>619.09</v>
      </c>
      <c r="J96" s="27">
        <v>1.2807999999999999</v>
      </c>
      <c r="L96" s="84">
        <v>225</v>
      </c>
      <c r="M96" s="84">
        <v>212.5</v>
      </c>
      <c r="N96" s="83" t="s">
        <v>367</v>
      </c>
      <c r="O96" s="83" t="s">
        <v>368</v>
      </c>
    </row>
    <row r="97" spans="1:15" x14ac:dyDescent="0.25">
      <c r="A97" s="22">
        <v>29</v>
      </c>
      <c r="B97" s="23">
        <v>43.62</v>
      </c>
      <c r="C97" s="24">
        <v>58.32</v>
      </c>
      <c r="D97" s="25">
        <v>2.5000000000000001E-2</v>
      </c>
      <c r="E97" s="25">
        <v>4.9332000000000003</v>
      </c>
      <c r="F97" s="24">
        <v>40.04</v>
      </c>
      <c r="G97" s="25">
        <v>0.20269999999999999</v>
      </c>
      <c r="H97" s="26">
        <v>74.304000000000002</v>
      </c>
      <c r="I97" s="27">
        <v>619.35</v>
      </c>
      <c r="J97" s="27">
        <v>1.2790999999999999</v>
      </c>
      <c r="L97" s="84">
        <v>250</v>
      </c>
      <c r="M97" s="84">
        <v>237.5</v>
      </c>
      <c r="N97" s="83" t="s">
        <v>369</v>
      </c>
      <c r="O97" s="83" t="s">
        <v>370</v>
      </c>
    </row>
    <row r="98" spans="1:15" x14ac:dyDescent="0.25">
      <c r="A98" s="22">
        <v>30</v>
      </c>
      <c r="B98" s="23">
        <v>44.86</v>
      </c>
      <c r="C98" s="24">
        <v>59.56</v>
      </c>
      <c r="D98" s="25">
        <v>2.5000000000000001E-2</v>
      </c>
      <c r="E98" s="25">
        <v>4.8360000000000003</v>
      </c>
      <c r="F98" s="24">
        <v>40</v>
      </c>
      <c r="G98" s="25">
        <v>0.20680000000000001</v>
      </c>
      <c r="H98" s="26">
        <v>75.388999999999996</v>
      </c>
      <c r="I98" s="27">
        <v>619.61</v>
      </c>
      <c r="J98" s="27">
        <v>1.2773000000000001</v>
      </c>
      <c r="L98" s="84">
        <v>275</v>
      </c>
      <c r="M98" s="84">
        <v>262</v>
      </c>
      <c r="N98" s="83" t="s">
        <v>371</v>
      </c>
      <c r="O98" s="83" t="s">
        <v>290</v>
      </c>
    </row>
    <row r="99" spans="1:15" x14ac:dyDescent="0.25">
      <c r="A99" s="22">
        <v>31</v>
      </c>
      <c r="B99" s="23">
        <v>46.12</v>
      </c>
      <c r="C99" s="24">
        <v>60.82</v>
      </c>
      <c r="D99" s="25">
        <v>2.5000000000000001E-2</v>
      </c>
      <c r="E99" s="25">
        <v>4.7409999999999997</v>
      </c>
      <c r="F99" s="24">
        <v>39.950000000000003</v>
      </c>
      <c r="G99" s="25">
        <v>0.2109</v>
      </c>
      <c r="H99" s="26">
        <v>76.492999999999995</v>
      </c>
      <c r="I99" s="27">
        <v>619.87</v>
      </c>
      <c r="J99" s="27">
        <v>1.2756000000000001</v>
      </c>
      <c r="M99" s="84">
        <v>280</v>
      </c>
      <c r="N99" s="83" t="s">
        <v>372</v>
      </c>
      <c r="O99" s="83" t="s">
        <v>373</v>
      </c>
    </row>
    <row r="100" spans="1:15" x14ac:dyDescent="0.25">
      <c r="A100" s="22">
        <v>32</v>
      </c>
      <c r="B100" s="23">
        <v>47.4</v>
      </c>
      <c r="C100" s="24">
        <v>62.1</v>
      </c>
      <c r="D100" s="25">
        <v>2.5100000000000001E-2</v>
      </c>
      <c r="E100" s="25">
        <v>4.6482999999999999</v>
      </c>
      <c r="F100" s="24">
        <v>39.9</v>
      </c>
      <c r="G100" s="25">
        <v>0.21510000000000001</v>
      </c>
      <c r="H100" s="26">
        <v>77.602000000000004</v>
      </c>
      <c r="I100" s="27">
        <v>620.13</v>
      </c>
      <c r="J100" s="27">
        <v>1.2738</v>
      </c>
    </row>
    <row r="101" spans="1:15" x14ac:dyDescent="0.25">
      <c r="A101" s="22">
        <v>33</v>
      </c>
      <c r="B101" s="23">
        <v>48.7</v>
      </c>
      <c r="C101" s="24">
        <v>63.4</v>
      </c>
      <c r="D101" s="25">
        <v>2.5100000000000001E-2</v>
      </c>
      <c r="E101" s="25">
        <v>4.5678000000000001</v>
      </c>
      <c r="F101" s="24">
        <v>39.85</v>
      </c>
      <c r="G101" s="25">
        <v>0.21890000000000001</v>
      </c>
      <c r="H101" s="26">
        <v>78.710999999999999</v>
      </c>
      <c r="I101" s="27">
        <v>620.38</v>
      </c>
      <c r="J101" s="27">
        <v>1.2721</v>
      </c>
    </row>
    <row r="102" spans="1:15" x14ac:dyDescent="0.25">
      <c r="A102" s="22">
        <v>34</v>
      </c>
      <c r="B102" s="23">
        <v>50.02</v>
      </c>
      <c r="C102" s="24">
        <v>64.72</v>
      </c>
      <c r="D102" s="25">
        <v>2.5100000000000001E-2</v>
      </c>
      <c r="E102" s="25">
        <v>4.4695</v>
      </c>
      <c r="F102" s="24">
        <v>39.81</v>
      </c>
      <c r="G102" s="25">
        <v>0.22370000000000001</v>
      </c>
      <c r="H102" s="26">
        <v>79.802999999999997</v>
      </c>
      <c r="I102" s="27">
        <v>620.63</v>
      </c>
      <c r="J102" s="27">
        <v>1.2704</v>
      </c>
    </row>
    <row r="103" spans="1:15" x14ac:dyDescent="0.25">
      <c r="A103" s="22">
        <v>35</v>
      </c>
      <c r="B103" s="23">
        <v>51.37</v>
      </c>
      <c r="C103" s="24">
        <v>66.069999999999993</v>
      </c>
      <c r="D103" s="25">
        <v>2.52E-2</v>
      </c>
      <c r="E103" s="25">
        <v>4.3830999999999998</v>
      </c>
      <c r="F103" s="24">
        <v>39.76</v>
      </c>
      <c r="G103" s="25">
        <v>0.2281</v>
      </c>
      <c r="H103" s="26">
        <v>80.936999999999998</v>
      </c>
      <c r="I103" s="27">
        <v>620.88</v>
      </c>
      <c r="J103" s="27">
        <v>1.2685999999999999</v>
      </c>
    </row>
    <row r="104" spans="1:15" x14ac:dyDescent="0.25">
      <c r="A104" s="22">
        <v>36</v>
      </c>
      <c r="B104" s="23">
        <v>52.73</v>
      </c>
      <c r="C104" s="24">
        <v>67.430000000000007</v>
      </c>
      <c r="D104" s="25">
        <v>2.52E-2</v>
      </c>
      <c r="E104" s="25">
        <v>4.2988</v>
      </c>
      <c r="F104" s="24">
        <v>39.71</v>
      </c>
      <c r="G104" s="25">
        <v>0.2326</v>
      </c>
      <c r="H104" s="26">
        <v>82.025000000000006</v>
      </c>
      <c r="I104" s="27">
        <v>621.13</v>
      </c>
      <c r="J104" s="27">
        <v>1.2668999999999999</v>
      </c>
    </row>
    <row r="105" spans="1:15" x14ac:dyDescent="0.25">
      <c r="A105" s="22">
        <v>37</v>
      </c>
      <c r="B105" s="23">
        <v>54.12</v>
      </c>
      <c r="C105" s="24">
        <v>68.819999999999993</v>
      </c>
      <c r="D105" s="25">
        <v>2.52E-2</v>
      </c>
      <c r="E105" s="25">
        <v>4.2164999999999999</v>
      </c>
      <c r="F105" s="24">
        <v>39.67</v>
      </c>
      <c r="G105" s="25">
        <v>0.23719999999999999</v>
      </c>
      <c r="H105" s="26">
        <v>83.134</v>
      </c>
      <c r="I105" s="27">
        <v>621.38</v>
      </c>
      <c r="J105" s="27">
        <v>1.2652000000000001</v>
      </c>
    </row>
    <row r="106" spans="1:15" x14ac:dyDescent="0.25">
      <c r="A106" s="22">
        <v>38</v>
      </c>
      <c r="B106" s="23">
        <v>55.53</v>
      </c>
      <c r="C106" s="24">
        <v>70.23</v>
      </c>
      <c r="D106" s="25">
        <v>2.52E-2</v>
      </c>
      <c r="E106" s="25">
        <v>4.1360000000000001</v>
      </c>
      <c r="F106" s="24">
        <v>39.619999999999997</v>
      </c>
      <c r="G106" s="25">
        <v>0.24179999999999999</v>
      </c>
      <c r="H106" s="26">
        <v>84.27</v>
      </c>
      <c r="I106" s="27">
        <v>621.62</v>
      </c>
      <c r="J106" s="27">
        <v>1.2635000000000001</v>
      </c>
    </row>
    <row r="107" spans="1:15" x14ac:dyDescent="0.25">
      <c r="A107" s="22">
        <v>39</v>
      </c>
      <c r="B107" s="23">
        <v>56.96</v>
      </c>
      <c r="C107" s="24">
        <v>71.66</v>
      </c>
      <c r="D107" s="25">
        <v>2.53E-2</v>
      </c>
      <c r="E107" s="25">
        <v>4.0574000000000003</v>
      </c>
      <c r="F107" s="24">
        <v>39.57</v>
      </c>
      <c r="G107" s="25">
        <v>0.2465</v>
      </c>
      <c r="H107" s="26">
        <v>85.356999999999999</v>
      </c>
      <c r="I107" s="27">
        <v>621.86</v>
      </c>
      <c r="J107" s="27">
        <v>1.2618</v>
      </c>
    </row>
    <row r="108" spans="1:15" x14ac:dyDescent="0.25">
      <c r="A108" s="22">
        <v>40</v>
      </c>
      <c r="B108" s="23">
        <v>58.41</v>
      </c>
      <c r="C108" s="24">
        <v>73.11</v>
      </c>
      <c r="D108" s="25">
        <v>2.53E-2</v>
      </c>
      <c r="E108" s="25">
        <v>3.9805999999999999</v>
      </c>
      <c r="F108" s="24">
        <v>39.520000000000003</v>
      </c>
      <c r="G108" s="25">
        <v>0.25119999999999998</v>
      </c>
      <c r="H108" s="26">
        <v>86.47</v>
      </c>
      <c r="I108" s="27">
        <v>622.1</v>
      </c>
      <c r="J108" s="27">
        <v>1.2601</v>
      </c>
    </row>
    <row r="109" spans="1:15" x14ac:dyDescent="0.25">
      <c r="A109" s="22">
        <v>41</v>
      </c>
      <c r="B109" s="23">
        <v>59.89</v>
      </c>
      <c r="C109" s="24">
        <v>74.59</v>
      </c>
      <c r="D109" s="25">
        <v>2.53E-2</v>
      </c>
      <c r="E109" s="25">
        <v>3.9055</v>
      </c>
      <c r="F109" s="24">
        <v>39.47</v>
      </c>
      <c r="G109" s="25">
        <v>0.25600000000000001</v>
      </c>
      <c r="H109" s="26">
        <v>87.58</v>
      </c>
      <c r="I109" s="27">
        <v>622.34</v>
      </c>
      <c r="J109" s="27">
        <v>1.2585</v>
      </c>
    </row>
    <row r="110" spans="1:15" x14ac:dyDescent="0.25">
      <c r="A110" s="22">
        <v>42</v>
      </c>
      <c r="B110" s="23">
        <v>61.39</v>
      </c>
      <c r="C110" s="24">
        <v>76.09</v>
      </c>
      <c r="D110" s="25">
        <v>2.5399999999999999E-2</v>
      </c>
      <c r="E110" s="25">
        <v>3.8321000000000001</v>
      </c>
      <c r="F110" s="24">
        <v>39.43</v>
      </c>
      <c r="G110" s="25">
        <v>0.26100000000000001</v>
      </c>
      <c r="H110" s="26">
        <v>88.697000000000003</v>
      </c>
      <c r="I110" s="27">
        <v>622.57000000000005</v>
      </c>
      <c r="J110" s="27">
        <v>1.2567999999999999</v>
      </c>
    </row>
    <row r="111" spans="1:15" x14ac:dyDescent="0.25">
      <c r="A111" s="22">
        <v>43</v>
      </c>
      <c r="B111" s="23">
        <v>62.91</v>
      </c>
      <c r="C111" s="24">
        <v>77.61</v>
      </c>
      <c r="D111" s="25">
        <v>2.5399999999999999E-2</v>
      </c>
      <c r="E111" s="25">
        <v>3.7604000000000002</v>
      </c>
      <c r="F111" s="24">
        <v>39.380000000000003</v>
      </c>
      <c r="G111" s="25">
        <v>0.26590000000000003</v>
      </c>
      <c r="H111" s="26">
        <v>89.816999999999993</v>
      </c>
      <c r="I111" s="27">
        <v>622.80999999999995</v>
      </c>
      <c r="J111" s="27">
        <v>1.2551000000000001</v>
      </c>
    </row>
    <row r="112" spans="1:15" x14ac:dyDescent="0.25">
      <c r="A112" s="22">
        <v>44</v>
      </c>
      <c r="B112" s="23">
        <v>64.459999999999994</v>
      </c>
      <c r="C112" s="24">
        <v>79.16</v>
      </c>
      <c r="D112" s="25">
        <v>2.5399999999999999E-2</v>
      </c>
      <c r="E112" s="25">
        <v>3.6903000000000001</v>
      </c>
      <c r="F112" s="24">
        <v>39.33</v>
      </c>
      <c r="G112" s="25">
        <v>0.27100000000000002</v>
      </c>
      <c r="H112" s="26">
        <v>90.930999999999997</v>
      </c>
      <c r="I112" s="27">
        <v>623.04</v>
      </c>
      <c r="J112" s="27">
        <v>1.2535000000000001</v>
      </c>
    </row>
    <row r="113" spans="1:10" x14ac:dyDescent="0.25">
      <c r="A113" s="22">
        <v>45</v>
      </c>
      <c r="B113" s="23">
        <v>67.02</v>
      </c>
      <c r="C113" s="24">
        <v>81.73</v>
      </c>
      <c r="D113" s="25">
        <v>2.5499999999999998E-2</v>
      </c>
      <c r="E113" s="25">
        <v>3.6217999999999999</v>
      </c>
      <c r="F113" s="24">
        <v>39.28</v>
      </c>
      <c r="G113" s="25">
        <v>0.27610000000000001</v>
      </c>
      <c r="H113" s="26">
        <v>92.054000000000002</v>
      </c>
      <c r="I113" s="27">
        <v>623.26</v>
      </c>
      <c r="J113" s="27">
        <v>1.2518</v>
      </c>
    </row>
    <row r="114" spans="1:10" x14ac:dyDescent="0.25">
      <c r="A114" s="22">
        <v>46</v>
      </c>
      <c r="B114" s="23">
        <v>67.63</v>
      </c>
      <c r="C114" s="24">
        <v>82.33</v>
      </c>
      <c r="D114" s="25">
        <v>2.5499999999999998E-2</v>
      </c>
      <c r="E114" s="25">
        <v>3.5548000000000002</v>
      </c>
      <c r="F114" s="24">
        <v>39.229999999999997</v>
      </c>
      <c r="G114" s="25">
        <v>0.28129999999999999</v>
      </c>
      <c r="H114" s="26">
        <v>93.173000000000002</v>
      </c>
      <c r="I114" s="27">
        <v>623.49</v>
      </c>
      <c r="J114" s="27">
        <v>1.2502</v>
      </c>
    </row>
    <row r="115" spans="1:10" x14ac:dyDescent="0.25">
      <c r="A115" s="22">
        <v>47</v>
      </c>
      <c r="B115" s="23">
        <v>69.25</v>
      </c>
      <c r="C115" s="24">
        <v>83.95</v>
      </c>
      <c r="D115" s="25">
        <v>2.5499999999999998E-2</v>
      </c>
      <c r="E115" s="25">
        <v>3.4893000000000001</v>
      </c>
      <c r="F115" s="24">
        <v>39.18</v>
      </c>
      <c r="G115" s="25">
        <v>0.28660000000000002</v>
      </c>
      <c r="H115" s="26">
        <v>94.283000000000001</v>
      </c>
      <c r="I115" s="27">
        <v>623.72</v>
      </c>
      <c r="J115" s="27">
        <v>1.2484999999999999</v>
      </c>
    </row>
    <row r="116" spans="1:10" x14ac:dyDescent="0.25">
      <c r="A116" s="22">
        <v>48</v>
      </c>
      <c r="B116" s="23">
        <v>70.89</v>
      </c>
      <c r="C116" s="24">
        <v>85.59</v>
      </c>
      <c r="D116" s="25">
        <v>2.5499999999999998E-2</v>
      </c>
      <c r="E116" s="25">
        <v>3.4253</v>
      </c>
      <c r="F116" s="24">
        <v>39.14</v>
      </c>
      <c r="G116" s="25">
        <v>0.29189999999999999</v>
      </c>
      <c r="H116" s="26">
        <v>95.393000000000001</v>
      </c>
      <c r="I116" s="27">
        <v>623.94000000000005</v>
      </c>
      <c r="J116" s="27">
        <v>1.2468999999999999</v>
      </c>
    </row>
    <row r="117" spans="1:10" x14ac:dyDescent="0.25">
      <c r="A117" s="22">
        <v>49</v>
      </c>
      <c r="B117" s="23">
        <v>72.56</v>
      </c>
      <c r="C117" s="24">
        <v>87.26</v>
      </c>
      <c r="D117" s="25">
        <v>2.5600000000000001E-2</v>
      </c>
      <c r="E117" s="25">
        <v>3.3626</v>
      </c>
      <c r="F117" s="24">
        <v>39.090000000000003</v>
      </c>
      <c r="G117" s="25">
        <v>0.2974</v>
      </c>
      <c r="H117" s="26">
        <v>96.516000000000005</v>
      </c>
      <c r="I117" s="27">
        <v>624.16</v>
      </c>
      <c r="J117" s="27">
        <v>1.2453000000000001</v>
      </c>
    </row>
    <row r="118" spans="1:10" x14ac:dyDescent="0.25">
      <c r="A118" s="22">
        <v>50</v>
      </c>
      <c r="B118" s="23">
        <v>74.25</v>
      </c>
      <c r="C118" s="24">
        <v>88.95</v>
      </c>
      <c r="D118" s="25">
        <v>2.5600000000000001E-2</v>
      </c>
      <c r="E118" s="25">
        <v>3.3014000000000001</v>
      </c>
      <c r="F118" s="24">
        <v>39.04</v>
      </c>
      <c r="G118" s="25">
        <v>0.30259999999999998</v>
      </c>
      <c r="H118" s="26">
        <v>97.647999999999996</v>
      </c>
      <c r="I118" s="27">
        <v>624.37</v>
      </c>
      <c r="J118" s="27">
        <v>1.2436</v>
      </c>
    </row>
    <row r="119" spans="1:10" x14ac:dyDescent="0.25">
      <c r="A119" s="22">
        <v>51</v>
      </c>
      <c r="B119" s="23">
        <v>75.97</v>
      </c>
      <c r="C119" s="24">
        <v>90.67</v>
      </c>
      <c r="D119" s="25">
        <v>2.5600000000000001E-2</v>
      </c>
      <c r="E119" s="25">
        <v>3.2414999999999998</v>
      </c>
      <c r="F119" s="24">
        <v>38.99</v>
      </c>
      <c r="G119" s="25">
        <v>0.3085</v>
      </c>
      <c r="H119" s="26">
        <v>98.756</v>
      </c>
      <c r="I119" s="27">
        <v>624.59</v>
      </c>
      <c r="J119" s="27">
        <v>1.242</v>
      </c>
    </row>
    <row r="120" spans="1:10" x14ac:dyDescent="0.25">
      <c r="A120" s="22">
        <v>52</v>
      </c>
      <c r="B120" s="23">
        <v>77.709999999999994</v>
      </c>
      <c r="C120" s="24">
        <v>92.41</v>
      </c>
      <c r="D120" s="25">
        <v>2.5700000000000001E-2</v>
      </c>
      <c r="E120" s="25">
        <v>3.1827999999999999</v>
      </c>
      <c r="F120" s="24">
        <v>38.94</v>
      </c>
      <c r="G120" s="25">
        <v>0.31419999999999998</v>
      </c>
      <c r="H120" s="26">
        <v>99.891999999999996</v>
      </c>
      <c r="I120" s="27">
        <v>624.79999999999995</v>
      </c>
      <c r="J120" s="27">
        <v>1.2403999999999999</v>
      </c>
    </row>
    <row r="121" spans="1:10" x14ac:dyDescent="0.25">
      <c r="A121" s="22">
        <v>53</v>
      </c>
      <c r="B121" s="23">
        <v>79.48</v>
      </c>
      <c r="C121" s="24">
        <v>94.18</v>
      </c>
      <c r="D121" s="25">
        <v>2.5700000000000001E-2</v>
      </c>
      <c r="E121" s="25">
        <v>3.1255000000000002</v>
      </c>
      <c r="F121" s="24">
        <v>38.89</v>
      </c>
      <c r="G121" s="25">
        <v>0.31990000000000002</v>
      </c>
      <c r="H121" s="26">
        <v>101.01</v>
      </c>
      <c r="I121" s="27">
        <v>625.01</v>
      </c>
      <c r="J121" s="27">
        <v>1.2387999999999999</v>
      </c>
    </row>
    <row r="122" spans="1:10" x14ac:dyDescent="0.25">
      <c r="A122" s="22">
        <v>54</v>
      </c>
      <c r="B122" s="23">
        <v>81.28</v>
      </c>
      <c r="C122" s="24">
        <v>95.98</v>
      </c>
      <c r="D122" s="25">
        <v>2.5700000000000001E-2</v>
      </c>
      <c r="E122" s="25">
        <v>3.0693999999999999</v>
      </c>
      <c r="F122" s="24">
        <v>38.840000000000003</v>
      </c>
      <c r="G122" s="25">
        <v>0.32579999999999998</v>
      </c>
      <c r="H122" s="26">
        <v>102.14</v>
      </c>
      <c r="I122" s="27">
        <v>625.22</v>
      </c>
      <c r="J122" s="27">
        <v>1.2372000000000001</v>
      </c>
    </row>
    <row r="123" spans="1:10" x14ac:dyDescent="0.25">
      <c r="A123" s="22">
        <v>55</v>
      </c>
      <c r="B123" s="23">
        <v>83.1</v>
      </c>
      <c r="C123" s="24">
        <v>97.8</v>
      </c>
      <c r="D123" s="25">
        <v>2.58E-2</v>
      </c>
      <c r="E123" s="25">
        <v>3.0145</v>
      </c>
      <c r="F123" s="24">
        <v>38.79</v>
      </c>
      <c r="G123" s="25">
        <v>0.33169999999999999</v>
      </c>
      <c r="H123" s="26">
        <v>103.26</v>
      </c>
      <c r="I123" s="27">
        <v>625.42999999999995</v>
      </c>
      <c r="J123" s="27">
        <v>1.2356</v>
      </c>
    </row>
    <row r="124" spans="1:10" x14ac:dyDescent="0.25">
      <c r="A124" s="22">
        <v>56</v>
      </c>
      <c r="B124" s="23">
        <v>84.95</v>
      </c>
      <c r="C124" s="24">
        <v>99.65</v>
      </c>
      <c r="D124" s="25">
        <v>2.58E-2</v>
      </c>
      <c r="E124" s="25">
        <v>2.9607999999999999</v>
      </c>
      <c r="F124" s="24">
        <v>38.74</v>
      </c>
      <c r="G124" s="25">
        <v>0.3377</v>
      </c>
      <c r="H124" s="26">
        <v>104.4</v>
      </c>
      <c r="I124" s="27">
        <v>625.63</v>
      </c>
      <c r="J124" s="27">
        <v>1.234</v>
      </c>
    </row>
    <row r="125" spans="1:10" x14ac:dyDescent="0.25">
      <c r="A125" s="22">
        <v>57</v>
      </c>
      <c r="B125" s="23">
        <v>86.83</v>
      </c>
      <c r="C125" s="24">
        <v>101.53</v>
      </c>
      <c r="D125" s="25">
        <v>2.58E-2</v>
      </c>
      <c r="E125" s="25">
        <v>2.9081999999999999</v>
      </c>
      <c r="F125" s="24">
        <v>38.69</v>
      </c>
      <c r="G125" s="25">
        <v>0.34389999999999998</v>
      </c>
      <c r="H125" s="26">
        <v>105.52</v>
      </c>
      <c r="I125" s="27">
        <v>625.83000000000004</v>
      </c>
      <c r="J125" s="27">
        <v>1.2323999999999999</v>
      </c>
    </row>
    <row r="126" spans="1:10" x14ac:dyDescent="0.25">
      <c r="A126" s="22">
        <v>58</v>
      </c>
      <c r="B126" s="23">
        <v>88.73</v>
      </c>
      <c r="C126" s="24">
        <v>103.43</v>
      </c>
      <c r="D126" s="25">
        <v>2.5899999999999999E-2</v>
      </c>
      <c r="E126" s="25">
        <v>2.8567999999999998</v>
      </c>
      <c r="F126" s="24">
        <v>38.64</v>
      </c>
      <c r="G126" s="25">
        <v>0.35</v>
      </c>
      <c r="H126" s="26">
        <v>106.65</v>
      </c>
      <c r="I126" s="27">
        <v>626.03</v>
      </c>
      <c r="J126" s="27">
        <v>1.2307999999999999</v>
      </c>
    </row>
    <row r="127" spans="1:10" x14ac:dyDescent="0.25">
      <c r="A127" s="22">
        <v>59</v>
      </c>
      <c r="B127" s="23">
        <v>90.66</v>
      </c>
      <c r="C127" s="24">
        <v>105.36</v>
      </c>
      <c r="D127" s="25">
        <v>2.5899999999999999E-2</v>
      </c>
      <c r="E127" s="25">
        <v>2.8064</v>
      </c>
      <c r="F127" s="24">
        <v>38.590000000000003</v>
      </c>
      <c r="G127" s="25">
        <v>0.35630000000000001</v>
      </c>
      <c r="H127" s="26">
        <v>107.77</v>
      </c>
      <c r="I127" s="27">
        <v>626.23</v>
      </c>
      <c r="J127" s="27">
        <v>1.2293000000000001</v>
      </c>
    </row>
    <row r="128" spans="1:10" x14ac:dyDescent="0.25">
      <c r="A128" s="22">
        <v>60</v>
      </c>
      <c r="B128" s="23">
        <v>92.62</v>
      </c>
      <c r="C128" s="24">
        <v>107.32</v>
      </c>
      <c r="D128" s="25">
        <v>2.5899999999999999E-2</v>
      </c>
      <c r="E128" s="25">
        <v>2.7570999999999999</v>
      </c>
      <c r="F128" s="24">
        <v>38.54</v>
      </c>
      <c r="G128" s="25">
        <v>0.36270000000000002</v>
      </c>
      <c r="H128" s="26">
        <v>108.9</v>
      </c>
      <c r="I128" s="27">
        <v>626.41999999999996</v>
      </c>
      <c r="J128" s="27">
        <v>1.2277</v>
      </c>
    </row>
    <row r="129" spans="1:10" x14ac:dyDescent="0.25">
      <c r="A129" s="22">
        <v>61</v>
      </c>
      <c r="B129" s="23">
        <v>94.6</v>
      </c>
      <c r="C129" s="24">
        <v>109.3</v>
      </c>
      <c r="D129" s="25">
        <v>2.5999999999999999E-2</v>
      </c>
      <c r="E129" s="25">
        <v>2.7088999999999999</v>
      </c>
      <c r="F129" s="24">
        <v>38.49</v>
      </c>
      <c r="G129" s="25">
        <v>0.36919999999999997</v>
      </c>
      <c r="H129" s="26">
        <v>110.05</v>
      </c>
      <c r="I129" s="27">
        <v>626.61</v>
      </c>
      <c r="J129" s="27">
        <v>1.2261</v>
      </c>
    </row>
    <row r="130" spans="1:10" x14ac:dyDescent="0.25">
      <c r="A130" s="22">
        <v>62</v>
      </c>
      <c r="B130" s="23">
        <v>96.62</v>
      </c>
      <c r="C130" s="24">
        <v>111.32</v>
      </c>
      <c r="D130" s="25">
        <v>2.5999999999999999E-2</v>
      </c>
      <c r="E130" s="25">
        <v>2.6616</v>
      </c>
      <c r="F130" s="24">
        <v>38.44</v>
      </c>
      <c r="G130" s="25">
        <v>0.37569999999999998</v>
      </c>
      <c r="H130" s="26">
        <v>111.17</v>
      </c>
      <c r="I130" s="27">
        <v>626.79999999999995</v>
      </c>
      <c r="J130" s="27">
        <v>1.2245999999999999</v>
      </c>
    </row>
    <row r="131" spans="1:10" x14ac:dyDescent="0.25">
      <c r="A131" s="22">
        <v>63</v>
      </c>
      <c r="B131" s="23">
        <v>98.66</v>
      </c>
      <c r="C131" s="24">
        <v>113.36</v>
      </c>
      <c r="D131" s="25">
        <v>2.5999999999999999E-2</v>
      </c>
      <c r="E131" s="25">
        <v>2.6154000000000002</v>
      </c>
      <c r="F131" s="24">
        <v>38.39</v>
      </c>
      <c r="G131" s="25">
        <v>0.38240000000000002</v>
      </c>
      <c r="H131" s="26">
        <v>112.3</v>
      </c>
      <c r="I131" s="27">
        <v>626.99</v>
      </c>
      <c r="J131" s="27">
        <v>1.2230000000000001</v>
      </c>
    </row>
    <row r="132" spans="1:10" x14ac:dyDescent="0.25">
      <c r="A132" s="22">
        <v>64</v>
      </c>
      <c r="B132" s="23">
        <v>100.73</v>
      </c>
      <c r="C132" s="24">
        <v>115.43</v>
      </c>
      <c r="D132" s="25">
        <v>2.6100000000000002E-2</v>
      </c>
      <c r="E132" s="25">
        <v>2.5701000000000001</v>
      </c>
      <c r="F132" s="24">
        <v>38.340000000000003</v>
      </c>
      <c r="G132" s="25">
        <v>0.3891</v>
      </c>
      <c r="H132" s="26">
        <v>113.43</v>
      </c>
      <c r="I132" s="27">
        <v>627.16999999999996</v>
      </c>
      <c r="J132" s="27">
        <v>1.2215</v>
      </c>
    </row>
    <row r="133" spans="1:10" x14ac:dyDescent="0.25">
      <c r="A133" s="22">
        <v>65</v>
      </c>
      <c r="B133" s="23">
        <v>102.83</v>
      </c>
      <c r="C133" s="24">
        <v>117.53</v>
      </c>
      <c r="D133" s="25">
        <v>2.6100000000000002E-2</v>
      </c>
      <c r="E133" s="25">
        <v>2.5257000000000001</v>
      </c>
      <c r="F133" s="24">
        <v>38.29</v>
      </c>
      <c r="G133" s="25">
        <v>0.39589999999999997</v>
      </c>
      <c r="H133" s="26">
        <v>114.57</v>
      </c>
      <c r="I133" s="27">
        <v>627.35</v>
      </c>
      <c r="J133" s="27">
        <v>1.2199</v>
      </c>
    </row>
    <row r="134" spans="1:10" x14ac:dyDescent="0.25">
      <c r="A134" s="22">
        <v>66</v>
      </c>
      <c r="B134" s="23">
        <v>104.96</v>
      </c>
      <c r="C134" s="24">
        <v>119.66</v>
      </c>
      <c r="D134" s="25">
        <v>2.6200000000000001E-2</v>
      </c>
      <c r="E134" s="25">
        <v>2.4823</v>
      </c>
      <c r="F134" s="24">
        <v>38.24</v>
      </c>
      <c r="G134" s="25">
        <v>0.40289999999999998</v>
      </c>
      <c r="H134" s="26">
        <v>115.72</v>
      </c>
      <c r="I134" s="27">
        <v>627.53</v>
      </c>
      <c r="J134" s="27">
        <v>1.2183999999999999</v>
      </c>
    </row>
    <row r="135" spans="1:10" x14ac:dyDescent="0.25">
      <c r="A135" s="22">
        <v>67</v>
      </c>
      <c r="B135" s="23">
        <v>107.12</v>
      </c>
      <c r="C135" s="24">
        <v>121.82</v>
      </c>
      <c r="D135" s="25">
        <v>2.6200000000000001E-2</v>
      </c>
      <c r="E135" s="25">
        <v>2.4397000000000002</v>
      </c>
      <c r="F135" s="24">
        <v>38.19</v>
      </c>
      <c r="G135" s="25">
        <v>0.40989999999999999</v>
      </c>
      <c r="H135" s="26">
        <v>116.85</v>
      </c>
      <c r="I135" s="27">
        <v>627.71</v>
      </c>
      <c r="J135" s="27">
        <v>1.2169000000000001</v>
      </c>
    </row>
    <row r="136" spans="1:10" x14ac:dyDescent="0.25">
      <c r="A136" s="22">
        <v>68</v>
      </c>
      <c r="B136" s="23">
        <v>109.31</v>
      </c>
      <c r="C136" s="24">
        <v>124.01</v>
      </c>
      <c r="D136" s="25">
        <v>2.6200000000000001E-2</v>
      </c>
      <c r="E136" s="25">
        <v>2.3980999999999999</v>
      </c>
      <c r="F136" s="24">
        <v>38.14</v>
      </c>
      <c r="G136" s="25">
        <v>0.41699999999999998</v>
      </c>
      <c r="H136" s="26">
        <v>117.99</v>
      </c>
      <c r="I136" s="27">
        <v>627.88</v>
      </c>
      <c r="J136" s="27">
        <v>1.2153</v>
      </c>
    </row>
    <row r="137" spans="1:10" x14ac:dyDescent="0.25">
      <c r="A137" s="22">
        <v>69</v>
      </c>
      <c r="B137" s="23">
        <v>111.53</v>
      </c>
      <c r="C137" s="24">
        <v>126.23</v>
      </c>
      <c r="D137" s="25">
        <v>2.63E-2</v>
      </c>
      <c r="E137" s="25">
        <v>2.3572000000000002</v>
      </c>
      <c r="F137" s="24">
        <v>38.090000000000003</v>
      </c>
      <c r="G137" s="25">
        <v>0.42420000000000002</v>
      </c>
      <c r="H137" s="26">
        <v>119.13</v>
      </c>
      <c r="I137" s="27">
        <v>628.04999999999995</v>
      </c>
      <c r="J137" s="27">
        <v>1.2138</v>
      </c>
    </row>
    <row r="138" spans="1:10" x14ac:dyDescent="0.25">
      <c r="A138" s="22">
        <v>70</v>
      </c>
      <c r="B138" s="23">
        <v>113.78</v>
      </c>
      <c r="C138" s="24">
        <v>128.47999999999999</v>
      </c>
      <c r="D138" s="25">
        <v>2.63E-2</v>
      </c>
      <c r="E138" s="25">
        <v>2.3172999999999999</v>
      </c>
      <c r="F138" s="24">
        <v>38.04</v>
      </c>
      <c r="G138" s="25">
        <v>0.43149999999999999</v>
      </c>
      <c r="H138" s="26">
        <v>120.28</v>
      </c>
      <c r="I138" s="27">
        <v>628.22</v>
      </c>
      <c r="J138" s="27">
        <v>1.2122999999999999</v>
      </c>
    </row>
    <row r="139" spans="1:10" x14ac:dyDescent="0.25">
      <c r="A139" s="22">
        <v>71</v>
      </c>
      <c r="B139" s="23">
        <v>116.06</v>
      </c>
      <c r="C139" s="24">
        <v>130.76</v>
      </c>
      <c r="D139" s="25">
        <v>2.63E-2</v>
      </c>
      <c r="E139" s="25">
        <v>2.2780999999999998</v>
      </c>
      <c r="F139" s="24">
        <v>37.99</v>
      </c>
      <c r="G139" s="25">
        <v>0.439</v>
      </c>
      <c r="H139" s="26">
        <v>121.42</v>
      </c>
      <c r="I139" s="27">
        <v>628.39</v>
      </c>
      <c r="J139" s="27">
        <v>1.2108000000000001</v>
      </c>
    </row>
    <row r="140" spans="1:10" x14ac:dyDescent="0.25">
      <c r="A140" s="22">
        <v>72</v>
      </c>
      <c r="B140" s="23">
        <v>118.37</v>
      </c>
      <c r="C140" s="24">
        <v>133.07</v>
      </c>
      <c r="D140" s="25">
        <v>2.64E-2</v>
      </c>
      <c r="E140" s="25">
        <v>2.2397</v>
      </c>
      <c r="F140" s="24">
        <v>37.93</v>
      </c>
      <c r="G140" s="25">
        <v>0.44650000000000001</v>
      </c>
      <c r="H140" s="26">
        <v>122.55</v>
      </c>
      <c r="I140" s="27">
        <v>628.54999999999995</v>
      </c>
      <c r="J140" s="27">
        <v>1.2093</v>
      </c>
    </row>
    <row r="141" spans="1:10" x14ac:dyDescent="0.25">
      <c r="A141" s="22">
        <v>73</v>
      </c>
      <c r="B141" s="23">
        <v>120.71</v>
      </c>
      <c r="C141" s="24">
        <v>135.41</v>
      </c>
      <c r="D141" s="25">
        <v>2.64E-2</v>
      </c>
      <c r="E141" s="25">
        <v>2.2021000000000002</v>
      </c>
      <c r="F141" s="24">
        <v>37.880000000000003</v>
      </c>
      <c r="G141" s="25">
        <v>0.4541</v>
      </c>
      <c r="H141" s="26">
        <v>123.7</v>
      </c>
      <c r="I141" s="27">
        <v>628.71</v>
      </c>
      <c r="J141" s="27">
        <v>1.2078</v>
      </c>
    </row>
    <row r="142" spans="1:10" x14ac:dyDescent="0.25">
      <c r="A142" s="22">
        <v>74</v>
      </c>
      <c r="B142" s="23">
        <v>123.08</v>
      </c>
      <c r="C142" s="24">
        <v>137.78</v>
      </c>
      <c r="D142" s="25">
        <v>2.64E-2</v>
      </c>
      <c r="E142" s="25">
        <v>2.1652</v>
      </c>
      <c r="F142" s="24">
        <v>37.83</v>
      </c>
      <c r="G142" s="25">
        <v>0.46189999999999998</v>
      </c>
      <c r="H142" s="26">
        <v>124.86</v>
      </c>
      <c r="I142" s="27">
        <v>628.87</v>
      </c>
      <c r="J142" s="27">
        <v>1.2062999999999999</v>
      </c>
    </row>
    <row r="143" spans="1:10" x14ac:dyDescent="0.25">
      <c r="A143" s="22">
        <v>75</v>
      </c>
      <c r="B143" s="23">
        <v>125.48</v>
      </c>
      <c r="C143" s="24">
        <v>140.18</v>
      </c>
      <c r="D143" s="25">
        <v>2.6499999999999999E-2</v>
      </c>
      <c r="E143" s="25">
        <v>2.1291000000000002</v>
      </c>
      <c r="F143" s="24">
        <v>37.78</v>
      </c>
      <c r="G143" s="25">
        <v>0.46970000000000001</v>
      </c>
      <c r="H143" s="26">
        <v>126.01</v>
      </c>
      <c r="I143" s="27">
        <v>629.02</v>
      </c>
      <c r="J143" s="27">
        <v>1.2048000000000001</v>
      </c>
    </row>
    <row r="144" spans="1:10" x14ac:dyDescent="0.25">
      <c r="A144" s="22">
        <v>76</v>
      </c>
      <c r="B144" s="23">
        <v>127.92</v>
      </c>
      <c r="C144" s="24">
        <v>142.62</v>
      </c>
      <c r="D144" s="25">
        <v>2.6499999999999999E-2</v>
      </c>
      <c r="E144" s="25">
        <v>2.0935999999999999</v>
      </c>
      <c r="F144" s="24">
        <v>37.729999999999997</v>
      </c>
      <c r="G144" s="25">
        <v>0.47760000000000002</v>
      </c>
      <c r="H144" s="26">
        <v>127.15</v>
      </c>
      <c r="I144" s="27">
        <v>629.17999999999995</v>
      </c>
      <c r="J144" s="27">
        <v>1.2033</v>
      </c>
    </row>
    <row r="145" spans="1:10" x14ac:dyDescent="0.25">
      <c r="A145" s="22">
        <v>77</v>
      </c>
      <c r="B145" s="23">
        <v>130.38999999999999</v>
      </c>
      <c r="C145" s="24">
        <v>145.09</v>
      </c>
      <c r="D145" s="25">
        <v>2.6499999999999999E-2</v>
      </c>
      <c r="E145" s="25">
        <v>2.0589</v>
      </c>
      <c r="F145" s="24">
        <v>37.67</v>
      </c>
      <c r="G145" s="25">
        <v>0.48570000000000002</v>
      </c>
      <c r="H145" s="26">
        <v>128.29</v>
      </c>
      <c r="I145" s="27">
        <v>629.33000000000004</v>
      </c>
      <c r="J145" s="27">
        <v>1.2018</v>
      </c>
    </row>
    <row r="146" spans="1:10" x14ac:dyDescent="0.25">
      <c r="A146" s="22">
        <v>78</v>
      </c>
      <c r="B146" s="23">
        <v>132.88999999999999</v>
      </c>
      <c r="C146" s="24">
        <v>147.59</v>
      </c>
      <c r="D146" s="25">
        <v>2.6599999999999999E-2</v>
      </c>
      <c r="E146" s="25">
        <v>2.0249000000000001</v>
      </c>
      <c r="F146" s="24">
        <v>37.619999999999997</v>
      </c>
      <c r="G146" s="25">
        <v>0.49390000000000001</v>
      </c>
      <c r="H146" s="26">
        <v>129.43</v>
      </c>
      <c r="I146" s="27">
        <v>629.47</v>
      </c>
      <c r="J146" s="27">
        <v>1.2002999999999999</v>
      </c>
    </row>
    <row r="147" spans="1:10" x14ac:dyDescent="0.25">
      <c r="A147" s="22">
        <v>79</v>
      </c>
      <c r="B147" s="23">
        <v>135.41999999999999</v>
      </c>
      <c r="C147" s="24">
        <v>150.12</v>
      </c>
      <c r="D147" s="25">
        <v>2.6599999999999999E-2</v>
      </c>
      <c r="E147" s="25">
        <v>1.9915</v>
      </c>
      <c r="F147" s="24">
        <v>37.57</v>
      </c>
      <c r="G147" s="25">
        <v>0.50209999999999999</v>
      </c>
      <c r="H147" s="26">
        <v>130.59</v>
      </c>
      <c r="I147" s="27">
        <v>629.62</v>
      </c>
      <c r="J147" s="27">
        <v>1.1988000000000001</v>
      </c>
    </row>
    <row r="148" spans="1:10" x14ac:dyDescent="0.25">
      <c r="A148" s="22">
        <v>80</v>
      </c>
      <c r="B148" s="23">
        <v>137.99</v>
      </c>
      <c r="C148" s="24">
        <v>152.69</v>
      </c>
      <c r="D148" s="25">
        <v>2.6700000000000002E-2</v>
      </c>
      <c r="E148" s="25">
        <v>1.9588000000000001</v>
      </c>
      <c r="F148" s="24">
        <v>37.520000000000003</v>
      </c>
      <c r="G148" s="25">
        <v>0.51049999999999995</v>
      </c>
      <c r="H148" s="26">
        <v>131.75</v>
      </c>
      <c r="I148" s="27">
        <v>629.76</v>
      </c>
      <c r="J148" s="27">
        <v>1.1973</v>
      </c>
    </row>
    <row r="149" spans="1:10" x14ac:dyDescent="0.25">
      <c r="A149" s="22">
        <v>81</v>
      </c>
      <c r="B149" s="23">
        <v>140.59</v>
      </c>
      <c r="C149" s="24">
        <v>155.29</v>
      </c>
      <c r="D149" s="25">
        <v>2.6700000000000002E-2</v>
      </c>
      <c r="E149" s="25">
        <v>1.9268000000000001</v>
      </c>
      <c r="F149" s="24">
        <v>37.46</v>
      </c>
      <c r="G149" s="25">
        <v>0.51900000000000002</v>
      </c>
      <c r="H149" s="26">
        <v>132.9</v>
      </c>
      <c r="I149" s="27">
        <v>629.9</v>
      </c>
      <c r="J149" s="27">
        <v>1.1959</v>
      </c>
    </row>
    <row r="150" spans="1:10" x14ac:dyDescent="0.25">
      <c r="A150" s="22">
        <v>82</v>
      </c>
      <c r="B150" s="23">
        <v>143.22</v>
      </c>
      <c r="C150" s="24">
        <v>157.91999999999999</v>
      </c>
      <c r="D150" s="25">
        <v>2.6700000000000002E-2</v>
      </c>
      <c r="E150" s="25">
        <v>1.8953</v>
      </c>
      <c r="F150" s="24">
        <v>37.409999999999997</v>
      </c>
      <c r="G150" s="25">
        <v>0.52759999999999996</v>
      </c>
      <c r="H150" s="26">
        <v>134.05000000000001</v>
      </c>
      <c r="I150" s="27">
        <v>630.03</v>
      </c>
      <c r="J150" s="27">
        <v>1.1943999999999999</v>
      </c>
    </row>
    <row r="151" spans="1:10" x14ac:dyDescent="0.25">
      <c r="A151" s="22">
        <v>83</v>
      </c>
      <c r="B151" s="23">
        <v>145.88999999999999</v>
      </c>
      <c r="C151" s="24">
        <v>160.59</v>
      </c>
      <c r="D151" s="25">
        <v>2.6800000000000001E-2</v>
      </c>
      <c r="E151" s="25">
        <v>1.8645</v>
      </c>
      <c r="F151" s="24">
        <v>37.36</v>
      </c>
      <c r="G151" s="25">
        <v>0.5363</v>
      </c>
      <c r="H151" s="26">
        <v>135.21</v>
      </c>
      <c r="I151" s="27">
        <v>630.16</v>
      </c>
      <c r="J151" s="27">
        <v>1.1929000000000001</v>
      </c>
    </row>
    <row r="152" spans="1:10" x14ac:dyDescent="0.25">
      <c r="A152" s="22">
        <v>84</v>
      </c>
      <c r="B152" s="23">
        <v>148.59</v>
      </c>
      <c r="C152" s="24">
        <v>163.29</v>
      </c>
      <c r="D152" s="25">
        <v>2.6800000000000001E-2</v>
      </c>
      <c r="E152" s="25">
        <v>1.8342000000000001</v>
      </c>
      <c r="F152" s="24">
        <v>37.31</v>
      </c>
      <c r="G152" s="25">
        <v>0.54520000000000002</v>
      </c>
      <c r="H152" s="26">
        <v>136.36000000000001</v>
      </c>
      <c r="I152" s="27">
        <v>630.29</v>
      </c>
      <c r="J152" s="27">
        <v>1.1915</v>
      </c>
    </row>
    <row r="153" spans="1:10" x14ac:dyDescent="0.25">
      <c r="A153" s="22">
        <v>85</v>
      </c>
      <c r="B153" s="23">
        <v>151.33000000000001</v>
      </c>
      <c r="C153" s="24">
        <v>166.03</v>
      </c>
      <c r="D153" s="25">
        <v>2.6800000000000001E-2</v>
      </c>
      <c r="E153" s="25">
        <v>1.8046</v>
      </c>
      <c r="F153" s="24">
        <v>37.25</v>
      </c>
      <c r="G153" s="25">
        <v>0.55410000000000004</v>
      </c>
      <c r="H153" s="26">
        <v>137.53</v>
      </c>
      <c r="I153" s="27">
        <v>630.41999999999996</v>
      </c>
      <c r="J153" s="27">
        <v>1.19</v>
      </c>
    </row>
    <row r="154" spans="1:10" x14ac:dyDescent="0.25">
      <c r="A154" s="22">
        <v>86</v>
      </c>
      <c r="B154" s="23">
        <v>154.1</v>
      </c>
      <c r="C154" s="24">
        <v>168.8</v>
      </c>
      <c r="D154" s="25">
        <v>2.69E-2</v>
      </c>
      <c r="E154" s="25">
        <v>1.7755000000000001</v>
      </c>
      <c r="F154" s="24">
        <v>37.200000000000003</v>
      </c>
      <c r="G154" s="25">
        <v>0.56320000000000003</v>
      </c>
      <c r="H154" s="26">
        <v>138.66999999999999</v>
      </c>
      <c r="I154" s="27">
        <v>630.54999999999995</v>
      </c>
      <c r="J154" s="27">
        <v>1.1884999999999999</v>
      </c>
    </row>
    <row r="155" spans="1:10" x14ac:dyDescent="0.25">
      <c r="A155" s="22">
        <v>87</v>
      </c>
      <c r="B155" s="23">
        <v>156.9</v>
      </c>
      <c r="C155" s="24">
        <v>171.6</v>
      </c>
      <c r="D155" s="25">
        <v>2.69E-2</v>
      </c>
      <c r="E155" s="25">
        <v>1.7470000000000001</v>
      </c>
      <c r="F155" s="24">
        <v>37.14</v>
      </c>
      <c r="G155" s="25">
        <v>0.57240000000000002</v>
      </c>
      <c r="H155" s="26">
        <v>139.84</v>
      </c>
      <c r="I155" s="27">
        <v>630.66999999999996</v>
      </c>
      <c r="J155" s="27">
        <v>1.1871</v>
      </c>
    </row>
    <row r="156" spans="1:10" x14ac:dyDescent="0.25">
      <c r="A156" s="22">
        <v>88</v>
      </c>
      <c r="B156" s="23">
        <v>159.75</v>
      </c>
      <c r="C156" s="24">
        <v>174.45</v>
      </c>
      <c r="D156" s="25">
        <v>2.7E-2</v>
      </c>
      <c r="E156" s="25">
        <v>1.7190000000000001</v>
      </c>
      <c r="F156" s="24">
        <v>37.090000000000003</v>
      </c>
      <c r="G156" s="25">
        <v>0.58169999999999999</v>
      </c>
      <c r="H156" s="26">
        <v>141</v>
      </c>
      <c r="I156" s="27">
        <v>630.78</v>
      </c>
      <c r="J156" s="27">
        <v>1.1856</v>
      </c>
    </row>
    <row r="157" spans="1:10" x14ac:dyDescent="0.25">
      <c r="A157" s="22">
        <v>89</v>
      </c>
      <c r="B157" s="23">
        <v>162.62</v>
      </c>
      <c r="C157" s="24">
        <v>177.32</v>
      </c>
      <c r="D157" s="25">
        <v>2.7E-2</v>
      </c>
      <c r="E157" s="25">
        <v>1.6915</v>
      </c>
      <c r="F157" s="24">
        <v>37.04</v>
      </c>
      <c r="G157" s="25">
        <v>0.59119999999999995</v>
      </c>
      <c r="H157" s="26">
        <v>142.16999999999999</v>
      </c>
      <c r="I157" s="27">
        <v>630.9</v>
      </c>
      <c r="J157" s="27">
        <v>1.1841999999999999</v>
      </c>
    </row>
    <row r="158" spans="1:10" x14ac:dyDescent="0.25">
      <c r="A158" s="22">
        <v>90</v>
      </c>
      <c r="B158" s="23">
        <v>165.54</v>
      </c>
      <c r="C158" s="24">
        <v>180.24</v>
      </c>
      <c r="D158" s="25">
        <v>2.7E-2</v>
      </c>
      <c r="E158" s="25">
        <v>1.6646000000000001</v>
      </c>
      <c r="F158" s="24">
        <v>36.979999999999997</v>
      </c>
      <c r="G158" s="25">
        <v>0.60070000000000001</v>
      </c>
      <c r="H158" s="26">
        <v>143.32</v>
      </c>
      <c r="I158" s="27">
        <v>631.01</v>
      </c>
      <c r="J158" s="27">
        <v>1.1828000000000001</v>
      </c>
    </row>
    <row r="159" spans="1:10" x14ac:dyDescent="0.25">
      <c r="A159" s="22">
        <v>91</v>
      </c>
      <c r="B159" s="23">
        <v>168.48</v>
      </c>
      <c r="C159" s="24">
        <v>183.18</v>
      </c>
      <c r="D159" s="25">
        <v>2.7099999999999999E-2</v>
      </c>
      <c r="E159" s="25">
        <v>1.6380999999999999</v>
      </c>
      <c r="F159" s="24">
        <v>36.93</v>
      </c>
      <c r="G159" s="25">
        <v>0.61050000000000004</v>
      </c>
      <c r="H159" s="26">
        <v>144.49</v>
      </c>
      <c r="I159" s="27">
        <v>631.12</v>
      </c>
      <c r="J159" s="27">
        <v>1.1813</v>
      </c>
    </row>
    <row r="160" spans="1:10" x14ac:dyDescent="0.25">
      <c r="A160" s="22">
        <v>92</v>
      </c>
      <c r="B160" s="23">
        <v>171.47</v>
      </c>
      <c r="C160" s="24">
        <v>186.17</v>
      </c>
      <c r="D160" s="25">
        <v>2.7099999999999999E-2</v>
      </c>
      <c r="E160" s="25">
        <v>1.6122000000000001</v>
      </c>
      <c r="F160" s="24">
        <v>36.869999999999997</v>
      </c>
      <c r="G160" s="25">
        <v>0.62029999999999996</v>
      </c>
      <c r="H160" s="26">
        <v>145.66</v>
      </c>
      <c r="I160" s="27">
        <v>631.23</v>
      </c>
      <c r="J160" s="27">
        <v>1.1798999999999999</v>
      </c>
    </row>
    <row r="161" spans="1:10" x14ac:dyDescent="0.25">
      <c r="A161" s="22">
        <v>93</v>
      </c>
      <c r="B161" s="23">
        <v>174.49</v>
      </c>
      <c r="C161" s="24">
        <v>189.19</v>
      </c>
      <c r="D161" s="25">
        <v>2.7199999999999998E-2</v>
      </c>
      <c r="E161" s="25">
        <v>1.5867</v>
      </c>
      <c r="F161" s="24">
        <v>36.82</v>
      </c>
      <c r="G161" s="25">
        <v>0.63019999999999998</v>
      </c>
      <c r="H161" s="26">
        <v>146.82</v>
      </c>
      <c r="I161" s="27">
        <v>631.33000000000004</v>
      </c>
      <c r="J161" s="27">
        <v>1.1783999999999999</v>
      </c>
    </row>
    <row r="162" spans="1:10" x14ac:dyDescent="0.25">
      <c r="A162" s="22">
        <v>94</v>
      </c>
      <c r="B162" s="23">
        <v>177.55</v>
      </c>
      <c r="C162" s="24">
        <v>192.25</v>
      </c>
      <c r="D162" s="25">
        <v>2.7199999999999998E-2</v>
      </c>
      <c r="E162" s="25">
        <v>1.5617000000000001</v>
      </c>
      <c r="F162" s="24">
        <v>36.770000000000003</v>
      </c>
      <c r="G162" s="25">
        <v>0.64029999999999998</v>
      </c>
      <c r="H162" s="26">
        <v>148</v>
      </c>
      <c r="I162" s="27">
        <v>631.42999999999995</v>
      </c>
      <c r="J162" s="27">
        <v>1.177</v>
      </c>
    </row>
    <row r="163" spans="1:10" x14ac:dyDescent="0.25">
      <c r="A163" s="22">
        <v>95</v>
      </c>
      <c r="B163" s="23">
        <v>180.65</v>
      </c>
      <c r="C163" s="24">
        <v>195.35</v>
      </c>
      <c r="D163" s="25">
        <v>2.7199999999999998E-2</v>
      </c>
      <c r="E163" s="25">
        <v>1.5371999999999999</v>
      </c>
      <c r="F163" s="24">
        <v>36.71</v>
      </c>
      <c r="G163" s="25">
        <v>0.65049999999999997</v>
      </c>
      <c r="H163" s="26">
        <v>149.16</v>
      </c>
      <c r="I163" s="27">
        <v>631.52</v>
      </c>
      <c r="J163" s="27">
        <v>1.1756</v>
      </c>
    </row>
    <row r="164" spans="1:10" x14ac:dyDescent="0.25">
      <c r="A164" s="22">
        <v>96</v>
      </c>
      <c r="B164" s="23">
        <v>183.78</v>
      </c>
      <c r="C164" s="24">
        <v>198.48</v>
      </c>
      <c r="D164" s="25">
        <v>2.7300000000000001E-2</v>
      </c>
      <c r="E164" s="25">
        <v>1.5130999999999999</v>
      </c>
      <c r="F164" s="24">
        <v>36.659999999999997</v>
      </c>
      <c r="G164" s="25">
        <v>0.66090000000000004</v>
      </c>
      <c r="H164" s="26">
        <v>150.34</v>
      </c>
      <c r="I164" s="27">
        <v>631.62</v>
      </c>
      <c r="J164" s="27">
        <v>1.1741999999999999</v>
      </c>
    </row>
    <row r="165" spans="1:10" x14ac:dyDescent="0.25">
      <c r="A165" s="22">
        <v>97</v>
      </c>
      <c r="B165" s="23">
        <v>186.95</v>
      </c>
      <c r="C165" s="24">
        <v>201.65</v>
      </c>
      <c r="D165" s="25">
        <v>2.7300000000000001E-2</v>
      </c>
      <c r="E165" s="25">
        <v>1.4895</v>
      </c>
      <c r="F165" s="24">
        <v>36.6</v>
      </c>
      <c r="G165" s="25">
        <v>0.6714</v>
      </c>
      <c r="H165" s="26">
        <v>151.51</v>
      </c>
      <c r="I165" s="27">
        <v>631.71</v>
      </c>
      <c r="J165" s="27">
        <v>1.1727000000000001</v>
      </c>
    </row>
    <row r="166" spans="1:10" x14ac:dyDescent="0.25">
      <c r="A166" s="22">
        <v>98</v>
      </c>
      <c r="B166" s="23">
        <v>190.16</v>
      </c>
      <c r="C166" s="24">
        <v>204.86</v>
      </c>
      <c r="D166" s="25">
        <v>0.2074</v>
      </c>
      <c r="E166" s="25">
        <v>1.4662999999999999</v>
      </c>
      <c r="F166" s="24">
        <v>36.549999999999997</v>
      </c>
      <c r="G166" s="25">
        <v>0.68200000000000005</v>
      </c>
      <c r="H166" s="26">
        <v>152.68</v>
      </c>
      <c r="I166" s="27">
        <v>631.79</v>
      </c>
      <c r="J166" s="27">
        <v>1.1713</v>
      </c>
    </row>
    <row r="167" spans="1:10" x14ac:dyDescent="0.25">
      <c r="A167" s="22">
        <v>99</v>
      </c>
      <c r="B167" s="23">
        <v>193.41</v>
      </c>
      <c r="C167" s="24">
        <v>208.11</v>
      </c>
      <c r="D167" s="25">
        <v>2.7400000000000001E-2</v>
      </c>
      <c r="E167" s="25">
        <v>1.4436</v>
      </c>
      <c r="F167" s="24">
        <v>36.49</v>
      </c>
      <c r="G167" s="25">
        <v>0.69269999999999998</v>
      </c>
      <c r="H167" s="26">
        <v>153.86000000000001</v>
      </c>
      <c r="I167" s="27">
        <v>631.88</v>
      </c>
      <c r="J167" s="27">
        <v>1.1698999999999999</v>
      </c>
    </row>
    <row r="168" spans="1:10" x14ac:dyDescent="0.25">
      <c r="A168" s="22">
        <v>100</v>
      </c>
      <c r="B168" s="23">
        <v>196.7</v>
      </c>
      <c r="C168" s="24">
        <v>211.4</v>
      </c>
      <c r="D168" s="25">
        <v>2.7400000000000001E-2</v>
      </c>
      <c r="E168" s="25">
        <v>1.4212</v>
      </c>
      <c r="F168" s="24">
        <v>36.46</v>
      </c>
      <c r="G168" s="25">
        <v>0.7036</v>
      </c>
      <c r="H168" s="26">
        <v>155.03</v>
      </c>
      <c r="I168" s="27">
        <v>631.96</v>
      </c>
      <c r="J168" s="27">
        <v>1.1685000000000001</v>
      </c>
    </row>
    <row r="169" spans="1:10" x14ac:dyDescent="0.25">
      <c r="A169" s="22">
        <v>101</v>
      </c>
      <c r="B169" s="23">
        <v>200.02</v>
      </c>
      <c r="C169" s="24">
        <v>214.72</v>
      </c>
      <c r="D169" s="25">
        <v>2.75E-2</v>
      </c>
      <c r="E169" s="25">
        <v>1.3993</v>
      </c>
      <c r="F169" s="24">
        <v>36.380000000000003</v>
      </c>
      <c r="G169" s="25">
        <v>0.71460000000000001</v>
      </c>
      <c r="H169" s="26">
        <v>156.21</v>
      </c>
      <c r="I169" s="27">
        <v>632.03</v>
      </c>
      <c r="J169" s="27">
        <v>1.1671</v>
      </c>
    </row>
    <row r="170" spans="1:10" x14ac:dyDescent="0.25">
      <c r="A170" s="22">
        <v>102</v>
      </c>
      <c r="B170" s="23">
        <v>203.39</v>
      </c>
      <c r="C170" s="24">
        <v>218.09</v>
      </c>
      <c r="D170" s="25">
        <v>2.75E-2</v>
      </c>
      <c r="E170" s="25">
        <v>1.3776999999999999</v>
      </c>
      <c r="F170" s="24">
        <v>36.32</v>
      </c>
      <c r="G170" s="25">
        <v>0.7258</v>
      </c>
      <c r="H170" s="26">
        <v>157.38999999999999</v>
      </c>
      <c r="I170" s="27">
        <v>632.11</v>
      </c>
      <c r="J170" s="27">
        <v>1.1657</v>
      </c>
    </row>
    <row r="171" spans="1:10" x14ac:dyDescent="0.25">
      <c r="A171" s="22">
        <v>103</v>
      </c>
      <c r="B171" s="23">
        <v>206.8</v>
      </c>
      <c r="C171" s="24">
        <v>221.5</v>
      </c>
      <c r="D171" s="25">
        <v>2.76E-2</v>
      </c>
      <c r="E171" s="25">
        <v>1.3565</v>
      </c>
      <c r="F171" s="24">
        <v>36.270000000000003</v>
      </c>
      <c r="G171" s="25">
        <v>0.73719999999999997</v>
      </c>
      <c r="H171" s="26">
        <v>158.57</v>
      </c>
      <c r="I171" s="27">
        <v>632.17999999999995</v>
      </c>
      <c r="J171" s="27">
        <v>1.1642999999999999</v>
      </c>
    </row>
    <row r="172" spans="1:10" x14ac:dyDescent="0.25">
      <c r="A172" s="22">
        <v>104</v>
      </c>
      <c r="B172" s="23">
        <v>210.24</v>
      </c>
      <c r="C172" s="24">
        <v>224.94</v>
      </c>
      <c r="D172" s="25">
        <v>2.76E-2</v>
      </c>
      <c r="E172" s="25">
        <v>1.3358000000000001</v>
      </c>
      <c r="F172" s="24">
        <v>36.21</v>
      </c>
      <c r="G172" s="25">
        <v>0.74860000000000004</v>
      </c>
      <c r="H172" s="26">
        <v>159.75</v>
      </c>
      <c r="I172" s="27">
        <v>632.24</v>
      </c>
      <c r="J172" s="27">
        <v>1.1628000000000001</v>
      </c>
    </row>
    <row r="173" spans="1:10" x14ac:dyDescent="0.25">
      <c r="A173" s="22">
        <v>105</v>
      </c>
      <c r="B173" s="23">
        <v>213.73</v>
      </c>
      <c r="C173" s="24">
        <v>228.43</v>
      </c>
      <c r="D173" s="25">
        <v>2.7699999999999999E-2</v>
      </c>
      <c r="E173" s="25">
        <v>1.3152999999999999</v>
      </c>
      <c r="F173" s="24">
        <v>36.15</v>
      </c>
      <c r="G173" s="25">
        <v>0.76029999999999998</v>
      </c>
      <c r="H173" s="26">
        <v>160.93</v>
      </c>
      <c r="I173" s="27">
        <v>632.30999999999995</v>
      </c>
      <c r="J173" s="27">
        <v>1.1614</v>
      </c>
    </row>
    <row r="174" spans="1:10" x14ac:dyDescent="0.25">
      <c r="A174" s="22">
        <v>106</v>
      </c>
      <c r="B174" s="23">
        <v>217.25</v>
      </c>
      <c r="C174" s="24">
        <v>231.95</v>
      </c>
      <c r="D174" s="25">
        <v>2.7699999999999999E-2</v>
      </c>
      <c r="E174" s="25">
        <v>1.2952999999999999</v>
      </c>
      <c r="F174" s="24">
        <v>36.1</v>
      </c>
      <c r="G174" s="25">
        <v>0.77200000000000002</v>
      </c>
      <c r="H174" s="26">
        <v>162.11000000000001</v>
      </c>
      <c r="I174" s="27">
        <v>632.37</v>
      </c>
      <c r="J174" s="27">
        <v>1.1599999999999999</v>
      </c>
    </row>
    <row r="175" spans="1:10" x14ac:dyDescent="0.25">
      <c r="A175" s="22">
        <v>107</v>
      </c>
      <c r="B175" s="23">
        <v>220.82</v>
      </c>
      <c r="C175" s="24">
        <v>235.52</v>
      </c>
      <c r="D175" s="25">
        <v>2.7699999999999999E-2</v>
      </c>
      <c r="E175" s="25">
        <v>1.2756000000000001</v>
      </c>
      <c r="F175" s="24">
        <v>36.04</v>
      </c>
      <c r="G175" s="25">
        <v>0.78390000000000004</v>
      </c>
      <c r="H175" s="26">
        <v>163.30000000000001</v>
      </c>
      <c r="I175" s="27">
        <v>632.41999999999996</v>
      </c>
      <c r="J175" s="27">
        <v>1.1586000000000001</v>
      </c>
    </row>
    <row r="176" spans="1:10" x14ac:dyDescent="0.25">
      <c r="A176" s="22">
        <v>108</v>
      </c>
      <c r="B176" s="23">
        <v>224.43</v>
      </c>
      <c r="C176" s="24">
        <v>239.13</v>
      </c>
      <c r="D176" s="25">
        <v>2.7799999999999998E-2</v>
      </c>
      <c r="E176" s="25">
        <v>1.2563</v>
      </c>
      <c r="F176" s="24">
        <v>35.979999999999997</v>
      </c>
      <c r="G176" s="25">
        <v>0.79600000000000004</v>
      </c>
      <c r="H176" s="26">
        <v>164.49</v>
      </c>
      <c r="I176" s="27">
        <v>632.47</v>
      </c>
      <c r="J176" s="27">
        <v>1.1572</v>
      </c>
    </row>
    <row r="177" spans="1:10" x14ac:dyDescent="0.25">
      <c r="A177" s="22">
        <v>109</v>
      </c>
      <c r="B177" s="23">
        <v>228.08</v>
      </c>
      <c r="C177" s="24">
        <v>242.78</v>
      </c>
      <c r="D177" s="25">
        <v>2.7799999999999998E-2</v>
      </c>
      <c r="E177" s="25">
        <v>1.2373000000000001</v>
      </c>
      <c r="F177" s="24">
        <v>35.93</v>
      </c>
      <c r="G177" s="25">
        <v>0.80820000000000003</v>
      </c>
      <c r="H177" s="26">
        <v>165.68</v>
      </c>
      <c r="I177" s="27">
        <v>632.52</v>
      </c>
      <c r="J177" s="27">
        <v>1.1558999999999999</v>
      </c>
    </row>
    <row r="178" spans="1:10" x14ac:dyDescent="0.25">
      <c r="A178" s="22">
        <v>110</v>
      </c>
      <c r="B178" s="23">
        <v>231.77</v>
      </c>
      <c r="C178" s="24">
        <v>246.47</v>
      </c>
      <c r="D178" s="25">
        <v>2.7900000000000001E-2</v>
      </c>
      <c r="E178" s="25">
        <v>1.2185999999999999</v>
      </c>
      <c r="F178" s="24">
        <v>35.869999999999997</v>
      </c>
      <c r="G178" s="25">
        <v>0.8206</v>
      </c>
      <c r="H178" s="26">
        <v>166.87</v>
      </c>
      <c r="I178" s="27">
        <v>632.57000000000005</v>
      </c>
      <c r="J178" s="27">
        <v>1.1545000000000001</v>
      </c>
    </row>
    <row r="179" spans="1:10" x14ac:dyDescent="0.25">
      <c r="A179" s="22">
        <v>111</v>
      </c>
      <c r="B179" s="23">
        <v>235.5</v>
      </c>
      <c r="C179" s="24">
        <v>250.2</v>
      </c>
      <c r="D179" s="25">
        <v>2.7900000000000001E-2</v>
      </c>
      <c r="E179" s="25">
        <v>1.2002999999999999</v>
      </c>
      <c r="F179" s="24">
        <v>35.81</v>
      </c>
      <c r="G179" s="25">
        <v>0.83309999999999995</v>
      </c>
      <c r="H179" s="26">
        <v>168.07</v>
      </c>
      <c r="I179" s="27">
        <v>632.61</v>
      </c>
      <c r="J179" s="27">
        <v>1.1531</v>
      </c>
    </row>
    <row r="180" spans="1:10" x14ac:dyDescent="0.25">
      <c r="A180" s="22">
        <v>112</v>
      </c>
      <c r="B180" s="23">
        <v>239.28</v>
      </c>
      <c r="C180" s="24">
        <v>253.98</v>
      </c>
      <c r="D180" s="25">
        <v>2.8000000000000001E-2</v>
      </c>
      <c r="E180" s="25">
        <v>1.1821999999999999</v>
      </c>
      <c r="F180" s="24">
        <v>35.729999999999997</v>
      </c>
      <c r="G180" s="25">
        <v>0.84589999999999999</v>
      </c>
      <c r="H180" s="26">
        <v>169.25</v>
      </c>
      <c r="I180" s="27">
        <v>632.65</v>
      </c>
      <c r="J180" s="27">
        <v>1.1516999999999999</v>
      </c>
    </row>
    <row r="181" spans="1:10" x14ac:dyDescent="0.25">
      <c r="A181" s="22">
        <v>113</v>
      </c>
      <c r="B181" s="23">
        <v>243.1</v>
      </c>
      <c r="C181" s="24">
        <v>257.8</v>
      </c>
      <c r="D181" s="25">
        <v>2.8000000000000001E-2</v>
      </c>
      <c r="E181" s="25">
        <v>1.1645000000000001</v>
      </c>
      <c r="F181" s="24">
        <v>35.700000000000003</v>
      </c>
      <c r="G181" s="25">
        <v>0.85870000000000002</v>
      </c>
      <c r="H181" s="26">
        <v>170.45</v>
      </c>
      <c r="I181" s="27">
        <v>632.67999999999995</v>
      </c>
      <c r="J181" s="27">
        <v>1.1503000000000001</v>
      </c>
    </row>
    <row r="182" spans="1:10" x14ac:dyDescent="0.25">
      <c r="A182" s="22">
        <v>114</v>
      </c>
      <c r="B182" s="23">
        <v>246.96</v>
      </c>
      <c r="C182" s="24">
        <v>261.66000000000003</v>
      </c>
      <c r="D182" s="25">
        <v>2.81E-2</v>
      </c>
      <c r="E182" s="25">
        <v>1.1471</v>
      </c>
      <c r="F182" s="24">
        <v>35.64</v>
      </c>
      <c r="G182" s="25">
        <v>0.87180000000000002</v>
      </c>
      <c r="H182" s="26">
        <v>171.65</v>
      </c>
      <c r="I182" s="27">
        <v>632.71</v>
      </c>
      <c r="J182" s="27">
        <v>1.1489</v>
      </c>
    </row>
    <row r="183" spans="1:10" x14ac:dyDescent="0.25">
      <c r="A183" s="22">
        <v>115</v>
      </c>
      <c r="B183" s="23">
        <v>250.87</v>
      </c>
      <c r="C183" s="24">
        <v>265.57</v>
      </c>
      <c r="D183" s="25">
        <v>2.81E-2</v>
      </c>
      <c r="E183" s="25">
        <v>1.1299999999999999</v>
      </c>
      <c r="F183" s="24">
        <v>35.58</v>
      </c>
      <c r="G183" s="25">
        <v>0.88500000000000001</v>
      </c>
      <c r="H183" s="26">
        <v>172.84</v>
      </c>
      <c r="I183" s="27">
        <v>632.74</v>
      </c>
      <c r="J183" s="27">
        <v>1.1475</v>
      </c>
    </row>
    <row r="184" spans="1:10" x14ac:dyDescent="0.25">
      <c r="A184" s="22">
        <v>116</v>
      </c>
      <c r="B184" s="23">
        <v>255.4</v>
      </c>
      <c r="C184" s="24">
        <v>269.52</v>
      </c>
      <c r="D184" s="25">
        <v>2.8199999999999999E-2</v>
      </c>
      <c r="E184" s="25">
        <v>1.1132</v>
      </c>
      <c r="F184" s="24">
        <v>35.520000000000003</v>
      </c>
      <c r="G184" s="25">
        <v>0.89829999999999999</v>
      </c>
      <c r="H184" s="26">
        <v>174.04</v>
      </c>
      <c r="I184" s="27">
        <v>632.76</v>
      </c>
      <c r="J184" s="27">
        <v>1.1460999999999999</v>
      </c>
    </row>
    <row r="185" spans="1:10" x14ac:dyDescent="0.25">
      <c r="A185" s="22">
        <v>117</v>
      </c>
      <c r="B185" s="23">
        <v>259.39999999999998</v>
      </c>
      <c r="C185" s="24">
        <v>273.51</v>
      </c>
      <c r="D185" s="25">
        <v>2.8199999999999999E-2</v>
      </c>
      <c r="E185" s="25">
        <v>1.0967</v>
      </c>
      <c r="F185" s="24">
        <v>35.46</v>
      </c>
      <c r="G185" s="25">
        <v>0.91180000000000005</v>
      </c>
      <c r="H185" s="26">
        <v>175.24</v>
      </c>
      <c r="I185" s="27">
        <v>632.78</v>
      </c>
      <c r="J185" s="27">
        <v>1.1447000000000001</v>
      </c>
    </row>
    <row r="186" spans="1:10" x14ac:dyDescent="0.25">
      <c r="A186" s="22">
        <v>118</v>
      </c>
      <c r="B186" s="23">
        <v>263.5</v>
      </c>
      <c r="C186" s="24">
        <v>277.55</v>
      </c>
      <c r="D186" s="25">
        <v>2.8199999999999999E-2</v>
      </c>
      <c r="E186" s="25">
        <v>1.0805</v>
      </c>
      <c r="F186" s="24">
        <v>35.409999999999997</v>
      </c>
      <c r="G186" s="25">
        <v>0.92549999999999999</v>
      </c>
      <c r="H186" s="26">
        <v>176.44</v>
      </c>
      <c r="I186" s="27">
        <v>632.79999999999995</v>
      </c>
      <c r="J186" s="27">
        <v>1.1434</v>
      </c>
    </row>
    <row r="187" spans="1:10" x14ac:dyDescent="0.25">
      <c r="A187" s="22">
        <v>119</v>
      </c>
      <c r="B187" s="23">
        <v>267.60000000000002</v>
      </c>
      <c r="C187" s="24">
        <v>281.63</v>
      </c>
      <c r="D187" s="25">
        <v>2.8299999999999999E-2</v>
      </c>
      <c r="E187" s="25">
        <v>1.0645</v>
      </c>
      <c r="F187" s="24">
        <v>35.35</v>
      </c>
      <c r="G187" s="25">
        <v>0.93940000000000001</v>
      </c>
      <c r="H187" s="26">
        <v>177.65</v>
      </c>
      <c r="I187" s="27">
        <v>632.80999999999995</v>
      </c>
      <c r="J187" s="27">
        <v>1.1419999999999999</v>
      </c>
    </row>
    <row r="188" spans="1:10" x14ac:dyDescent="0.25">
      <c r="A188" s="22">
        <v>120</v>
      </c>
      <c r="B188" s="23">
        <v>271.7</v>
      </c>
      <c r="C188" s="24">
        <v>285.76</v>
      </c>
      <c r="D188" s="25">
        <v>2.8299999999999999E-2</v>
      </c>
      <c r="E188" s="25">
        <v>1.0488</v>
      </c>
      <c r="F188" s="24">
        <v>35.29</v>
      </c>
      <c r="G188" s="25">
        <v>0.95350000000000001</v>
      </c>
      <c r="H188" s="26">
        <v>178.85</v>
      </c>
      <c r="I188" s="27">
        <v>632.82000000000005</v>
      </c>
      <c r="J188" s="27">
        <v>1.1406000000000001</v>
      </c>
    </row>
    <row r="189" spans="1:10" x14ac:dyDescent="0.25">
      <c r="A189" s="22">
        <v>121</v>
      </c>
      <c r="B189" s="23">
        <v>275.89999999999998</v>
      </c>
      <c r="C189" s="24">
        <v>289.93</v>
      </c>
      <c r="D189" s="25">
        <v>2.8400000000000002E-2</v>
      </c>
      <c r="E189" s="25">
        <v>1.0334000000000001</v>
      </c>
      <c r="F189" s="24">
        <v>35.229999999999997</v>
      </c>
      <c r="G189" s="25">
        <v>0.9677</v>
      </c>
      <c r="H189" s="26">
        <v>180.06</v>
      </c>
      <c r="I189" s="27">
        <v>632.82000000000005</v>
      </c>
      <c r="J189" s="27">
        <v>1.1392</v>
      </c>
    </row>
    <row r="190" spans="1:10" x14ac:dyDescent="0.25">
      <c r="A190" s="22">
        <v>122</v>
      </c>
      <c r="B190" s="23">
        <v>280.10000000000002</v>
      </c>
      <c r="C190" s="24">
        <v>294.14999999999998</v>
      </c>
      <c r="D190" s="25">
        <v>2.8400000000000002E-2</v>
      </c>
      <c r="E190" s="25">
        <v>1.0183</v>
      </c>
      <c r="F190" s="24">
        <v>35.17</v>
      </c>
      <c r="G190" s="25">
        <v>0.98199999999999998</v>
      </c>
      <c r="H190" s="26">
        <v>181.27</v>
      </c>
      <c r="I190" s="27">
        <v>632.82000000000005</v>
      </c>
      <c r="J190" s="27">
        <v>1.1377999999999999</v>
      </c>
    </row>
    <row r="191" spans="1:10" x14ac:dyDescent="0.25">
      <c r="A191" s="22">
        <v>123</v>
      </c>
      <c r="B191" s="23">
        <v>284.39999999999998</v>
      </c>
      <c r="C191" s="24">
        <v>298.41000000000003</v>
      </c>
      <c r="D191" s="25">
        <v>2.8500000000000001E-2</v>
      </c>
      <c r="E191" s="25">
        <v>1.0033000000000001</v>
      </c>
      <c r="F191" s="24">
        <v>35.11</v>
      </c>
      <c r="G191" s="25">
        <v>0.99670000000000003</v>
      </c>
      <c r="H191" s="26">
        <v>182.48</v>
      </c>
      <c r="I191" s="27">
        <v>632.82000000000005</v>
      </c>
      <c r="J191" s="27">
        <v>1.1365000000000001</v>
      </c>
    </row>
    <row r="192" spans="1:10" x14ac:dyDescent="0.25">
      <c r="A192" s="22">
        <v>124</v>
      </c>
      <c r="B192" s="23">
        <v>288.7</v>
      </c>
      <c r="C192" s="24">
        <v>302.72000000000003</v>
      </c>
      <c r="D192" s="25">
        <v>2.8500000000000001E-2</v>
      </c>
      <c r="E192" s="25">
        <v>0.98770000000000002</v>
      </c>
      <c r="F192" s="24">
        <v>35.049999999999997</v>
      </c>
      <c r="G192" s="25">
        <v>1.0114000000000001</v>
      </c>
      <c r="H192" s="26">
        <v>183.69</v>
      </c>
      <c r="I192" s="27">
        <v>632.80999999999995</v>
      </c>
      <c r="J192" s="27">
        <v>1.1351</v>
      </c>
    </row>
    <row r="193" spans="1:10" ht="15.75" thickBot="1" x14ac:dyDescent="0.3">
      <c r="A193" s="85">
        <v>125</v>
      </c>
      <c r="B193" s="86">
        <v>293.10000000000002</v>
      </c>
      <c r="C193" s="87">
        <v>207.08</v>
      </c>
      <c r="D193" s="88">
        <v>2.86E-2</v>
      </c>
      <c r="E193" s="88">
        <v>0.97430000000000005</v>
      </c>
      <c r="F193" s="87">
        <v>34.99</v>
      </c>
      <c r="G193" s="88">
        <v>1.0264</v>
      </c>
      <c r="H193" s="89">
        <v>184.91</v>
      </c>
      <c r="I193" s="90">
        <v>632.79999999999995</v>
      </c>
      <c r="J193" s="90">
        <v>1.1336999999999999</v>
      </c>
    </row>
    <row r="195" spans="1:10" x14ac:dyDescent="0.25">
      <c r="A195" s="91">
        <v>0</v>
      </c>
      <c r="B195" s="92" t="s">
        <v>374</v>
      </c>
      <c r="C195" s="92" t="s">
        <v>374</v>
      </c>
      <c r="D195" s="92" t="s">
        <v>374</v>
      </c>
      <c r="E195" s="92" t="s">
        <v>374</v>
      </c>
      <c r="F195" s="92" t="s">
        <v>374</v>
      </c>
      <c r="G195" s="92" t="s">
        <v>374</v>
      </c>
      <c r="H195" s="92" t="s">
        <v>374</v>
      </c>
    </row>
    <row r="196" spans="1:10" x14ac:dyDescent="0.25">
      <c r="A196" s="92">
        <v>6</v>
      </c>
      <c r="B196" s="93" t="s">
        <v>266</v>
      </c>
      <c r="C196" s="93" t="s">
        <v>375</v>
      </c>
      <c r="E196" s="93" t="s">
        <v>376</v>
      </c>
      <c r="F196" s="93" t="s">
        <v>377</v>
      </c>
      <c r="G196" s="93" t="s">
        <v>378</v>
      </c>
      <c r="H196" s="93" t="s">
        <v>266</v>
      </c>
    </row>
    <row r="197" spans="1:10" x14ac:dyDescent="0.25">
      <c r="B197" s="94">
        <v>-1.4729000000000001</v>
      </c>
      <c r="C197" s="94">
        <v>-57.5</v>
      </c>
      <c r="E197" s="94">
        <v>-545.67999999999995</v>
      </c>
      <c r="F197" s="94">
        <v>-41.612000000000002</v>
      </c>
      <c r="G197" s="94">
        <v>-591.88</v>
      </c>
      <c r="H197" s="94">
        <v>-1.4729000000000001</v>
      </c>
    </row>
    <row r="198" spans="1:10" x14ac:dyDescent="0.25">
      <c r="B198" s="94">
        <v>1.4943</v>
      </c>
      <c r="C198" s="94">
        <v>-40</v>
      </c>
      <c r="E198" s="94">
        <v>552.35</v>
      </c>
      <c r="F198" s="94">
        <v>43.534999999999997</v>
      </c>
      <c r="G198" s="94">
        <v>600.67999999999995</v>
      </c>
      <c r="H198" s="94">
        <v>1.4943</v>
      </c>
    </row>
    <row r="199" spans="1:10" x14ac:dyDescent="0.25">
      <c r="B199" s="94">
        <v>1.5177</v>
      </c>
      <c r="C199" s="94">
        <v>-20</v>
      </c>
      <c r="E199" s="94">
        <v>559.98</v>
      </c>
      <c r="F199" s="94">
        <v>45.716000000000001</v>
      </c>
      <c r="G199" s="94">
        <v>610.73</v>
      </c>
      <c r="H199" s="94">
        <v>1.5177</v>
      </c>
    </row>
    <row r="200" spans="1:10" x14ac:dyDescent="0.25">
      <c r="B200" s="94">
        <v>1.5401</v>
      </c>
      <c r="C200" s="94">
        <v>0</v>
      </c>
      <c r="E200" s="94">
        <v>567.62</v>
      </c>
      <c r="F200" s="94">
        <v>47.881</v>
      </c>
      <c r="G200" s="94">
        <v>620.78</v>
      </c>
      <c r="H200" s="94">
        <v>1.5401</v>
      </c>
    </row>
    <row r="201" spans="1:10" x14ac:dyDescent="0.25">
      <c r="B201" s="94">
        <v>1.5615000000000001</v>
      </c>
      <c r="C201" s="94">
        <v>20</v>
      </c>
      <c r="E201" s="94">
        <v>575.28</v>
      </c>
      <c r="F201" s="94">
        <v>50.033999999999999</v>
      </c>
      <c r="G201" s="94">
        <v>630.83000000000004</v>
      </c>
      <c r="H201" s="94">
        <v>1.5615000000000001</v>
      </c>
    </row>
    <row r="202" spans="1:10" x14ac:dyDescent="0.25">
      <c r="B202" s="94">
        <v>1.5820000000000001</v>
      </c>
      <c r="C202" s="94">
        <v>40</v>
      </c>
      <c r="E202" s="94">
        <v>582.97</v>
      </c>
      <c r="F202" s="94">
        <v>52.177</v>
      </c>
      <c r="G202" s="94">
        <v>640.9</v>
      </c>
      <c r="H202" s="94">
        <v>1.5820000000000001</v>
      </c>
    </row>
    <row r="203" spans="1:10" x14ac:dyDescent="0.25">
      <c r="B203" s="94">
        <v>1.6019000000000001</v>
      </c>
      <c r="C203" s="94">
        <v>60</v>
      </c>
      <c r="E203" s="94">
        <v>590.69000000000005</v>
      </c>
      <c r="F203" s="94">
        <v>54.313000000000002</v>
      </c>
      <c r="G203" s="94">
        <v>650.99</v>
      </c>
      <c r="H203" s="94">
        <v>1.6019000000000001</v>
      </c>
    </row>
    <row r="204" spans="1:10" x14ac:dyDescent="0.25">
      <c r="B204" s="94">
        <v>1.621</v>
      </c>
      <c r="C204" s="94">
        <v>80</v>
      </c>
      <c r="E204" s="94">
        <v>598.46</v>
      </c>
      <c r="F204" s="94">
        <v>56.442</v>
      </c>
      <c r="G204" s="94">
        <v>661.13</v>
      </c>
      <c r="H204" s="94">
        <v>1.621</v>
      </c>
    </row>
    <row r="205" spans="1:10" x14ac:dyDescent="0.25">
      <c r="B205" s="94">
        <v>1.6395</v>
      </c>
      <c r="C205" s="94">
        <v>100</v>
      </c>
      <c r="E205" s="94">
        <v>606.29</v>
      </c>
      <c r="F205" s="94">
        <v>58.566000000000003</v>
      </c>
      <c r="G205" s="94">
        <v>671.31</v>
      </c>
      <c r="H205" s="94">
        <v>1.6395</v>
      </c>
    </row>
    <row r="206" spans="1:10" x14ac:dyDescent="0.25">
      <c r="B206" s="94">
        <v>1.6575</v>
      </c>
      <c r="C206" s="94">
        <v>120</v>
      </c>
      <c r="E206" s="94">
        <v>614.17999999999995</v>
      </c>
      <c r="F206" s="94">
        <v>60.7</v>
      </c>
      <c r="G206" s="94">
        <v>681.57</v>
      </c>
      <c r="H206" s="94">
        <v>1.6575</v>
      </c>
    </row>
    <row r="207" spans="1:10" x14ac:dyDescent="0.25">
      <c r="B207" s="94">
        <v>1.675</v>
      </c>
      <c r="C207" s="94">
        <v>140</v>
      </c>
      <c r="E207" s="94">
        <v>622.14</v>
      </c>
      <c r="F207" s="94">
        <v>62.8</v>
      </c>
      <c r="G207" s="94">
        <v>691.87</v>
      </c>
      <c r="H207" s="94">
        <v>1.675</v>
      </c>
    </row>
    <row r="208" spans="1:10" x14ac:dyDescent="0.25">
      <c r="B208" s="94">
        <v>1.6919999999999999</v>
      </c>
      <c r="C208" s="94">
        <v>160</v>
      </c>
      <c r="E208" s="94">
        <v>630.17999999999995</v>
      </c>
      <c r="F208" s="94">
        <v>64.92</v>
      </c>
      <c r="G208" s="94">
        <v>702.26</v>
      </c>
      <c r="H208" s="94">
        <v>1.6919999999999999</v>
      </c>
    </row>
    <row r="209" spans="1:8" x14ac:dyDescent="0.25">
      <c r="B209" s="94">
        <v>1.7087000000000001</v>
      </c>
      <c r="C209" s="94">
        <v>180</v>
      </c>
      <c r="E209" s="94">
        <v>638.29999999999995</v>
      </c>
      <c r="F209" s="94">
        <v>67.034000000000006</v>
      </c>
      <c r="G209" s="94">
        <v>712.72</v>
      </c>
      <c r="H209" s="94">
        <v>1.7087000000000001</v>
      </c>
    </row>
    <row r="210" spans="1:8" x14ac:dyDescent="0.25">
      <c r="B210" s="94">
        <v>1.7249000000000001</v>
      </c>
      <c r="C210" s="94">
        <v>200</v>
      </c>
      <c r="E210" s="94">
        <v>646.5</v>
      </c>
      <c r="F210" s="94">
        <v>69.146000000000001</v>
      </c>
      <c r="G210" s="94">
        <v>723.28</v>
      </c>
      <c r="H210" s="94">
        <v>1.7249000000000001</v>
      </c>
    </row>
    <row r="211" spans="1:8" x14ac:dyDescent="0.25">
      <c r="B211" s="94">
        <v>1.7407999999999999</v>
      </c>
      <c r="C211" s="94">
        <v>220</v>
      </c>
      <c r="E211" s="94">
        <v>654.79999999999995</v>
      </c>
      <c r="F211" s="94">
        <v>71.256</v>
      </c>
      <c r="G211" s="94">
        <v>733.92</v>
      </c>
      <c r="H211" s="94">
        <v>1.7407999999999999</v>
      </c>
    </row>
    <row r="212" spans="1:8" x14ac:dyDescent="0.25">
      <c r="B212" s="94">
        <v>1.7569999999999999</v>
      </c>
      <c r="C212" t="s">
        <v>374</v>
      </c>
      <c r="E212" t="s">
        <v>374</v>
      </c>
      <c r="F212" t="s">
        <v>374</v>
      </c>
      <c r="G212" t="s">
        <v>374</v>
      </c>
      <c r="H212" t="s">
        <v>374</v>
      </c>
    </row>
    <row r="214" spans="1:8" x14ac:dyDescent="0.25">
      <c r="A214" s="92">
        <v>8</v>
      </c>
      <c r="B214" s="93" t="s">
        <v>266</v>
      </c>
      <c r="C214" s="93" t="s">
        <v>375</v>
      </c>
      <c r="E214" s="93" t="s">
        <v>376</v>
      </c>
      <c r="F214" s="93" t="s">
        <v>377</v>
      </c>
      <c r="G214" s="93" t="s">
        <v>378</v>
      </c>
      <c r="H214" s="93" t="s">
        <v>266</v>
      </c>
    </row>
    <row r="215" spans="1:8" x14ac:dyDescent="0.25">
      <c r="B215" s="94">
        <v>-1.4486000000000001</v>
      </c>
      <c r="C215" s="94">
        <v>-48.6</v>
      </c>
      <c r="E215" s="94">
        <v>-548.33000000000004</v>
      </c>
      <c r="F215" s="94">
        <v>-31.798999999999999</v>
      </c>
      <c r="G215" s="94">
        <v>-595.4</v>
      </c>
      <c r="H215" s="94">
        <v>-1.4486000000000001</v>
      </c>
    </row>
    <row r="216" spans="1:8" x14ac:dyDescent="0.25">
      <c r="B216" s="94">
        <v>1.4591000000000001</v>
      </c>
      <c r="C216" s="94">
        <v>-40</v>
      </c>
      <c r="E216" s="94">
        <v>551.64</v>
      </c>
      <c r="F216" s="94">
        <v>32.514000000000003</v>
      </c>
      <c r="G216" s="94">
        <v>599.77</v>
      </c>
      <c r="H216" s="94">
        <v>1.4591000000000001</v>
      </c>
    </row>
    <row r="217" spans="1:8" x14ac:dyDescent="0.25">
      <c r="B217" s="94">
        <v>1.4827999999999999</v>
      </c>
      <c r="C217" s="94">
        <v>-20</v>
      </c>
      <c r="E217" s="94">
        <v>559.38</v>
      </c>
      <c r="F217" s="94">
        <v>34.170999999999999</v>
      </c>
      <c r="G217" s="94">
        <v>609.97</v>
      </c>
      <c r="H217" s="94">
        <v>1.4827999999999999</v>
      </c>
    </row>
    <row r="218" spans="1:8" x14ac:dyDescent="0.25">
      <c r="B218" s="94">
        <v>1.5054000000000001</v>
      </c>
      <c r="C218" s="94">
        <v>0</v>
      </c>
      <c r="E218" s="94">
        <v>567.12</v>
      </c>
      <c r="F218" s="94">
        <v>35.811</v>
      </c>
      <c r="G218" s="94">
        <v>620.13</v>
      </c>
      <c r="H218" s="94">
        <v>1.5054000000000001</v>
      </c>
    </row>
    <row r="219" spans="1:8" x14ac:dyDescent="0.25">
      <c r="B219" s="94">
        <v>1.5270999999999999</v>
      </c>
      <c r="C219" s="94">
        <v>20</v>
      </c>
      <c r="E219" s="94">
        <v>574.86</v>
      </c>
      <c r="F219" s="94">
        <v>37.439</v>
      </c>
      <c r="G219" s="94">
        <v>630.28</v>
      </c>
      <c r="H219" s="94">
        <v>1.5270999999999999</v>
      </c>
    </row>
    <row r="220" spans="1:8" x14ac:dyDescent="0.25">
      <c r="B220" s="94">
        <v>1.5478000000000001</v>
      </c>
      <c r="C220" s="94">
        <v>40</v>
      </c>
      <c r="E220" s="94">
        <v>582.61</v>
      </c>
      <c r="F220" s="94">
        <v>39.057000000000002</v>
      </c>
      <c r="G220" s="94">
        <v>640.42999999999995</v>
      </c>
      <c r="H220" s="94">
        <v>1.5478000000000001</v>
      </c>
    </row>
    <row r="221" spans="1:8" x14ac:dyDescent="0.25">
      <c r="B221" s="94">
        <v>1.5677000000000001</v>
      </c>
      <c r="C221" s="94">
        <v>60</v>
      </c>
      <c r="E221" s="94">
        <v>590.39</v>
      </c>
      <c r="F221" s="94">
        <v>40.667999999999999</v>
      </c>
      <c r="G221" s="94">
        <v>650.59</v>
      </c>
      <c r="H221" s="94">
        <v>1.5677000000000001</v>
      </c>
    </row>
    <row r="222" spans="1:8" x14ac:dyDescent="0.25">
      <c r="B222" s="94">
        <v>1.587</v>
      </c>
      <c r="C222" s="94">
        <v>80</v>
      </c>
      <c r="E222" s="94">
        <v>598.20000000000005</v>
      </c>
      <c r="F222" s="94">
        <v>42.271999999999998</v>
      </c>
      <c r="G222" s="94">
        <v>660.78</v>
      </c>
      <c r="H222" s="94">
        <v>1.587</v>
      </c>
    </row>
    <row r="223" spans="1:8" x14ac:dyDescent="0.25">
      <c r="B223" s="94">
        <v>1.6055999999999999</v>
      </c>
      <c r="C223" s="94">
        <v>100</v>
      </c>
      <c r="E223" s="94">
        <v>606.05999999999995</v>
      </c>
      <c r="F223" s="94">
        <v>43.872</v>
      </c>
      <c r="G223" s="94">
        <v>671.01</v>
      </c>
      <c r="H223" s="94">
        <v>1.6055999999999999</v>
      </c>
    </row>
    <row r="224" spans="1:8" x14ac:dyDescent="0.25">
      <c r="B224" s="94">
        <v>1.6235999999999999</v>
      </c>
      <c r="C224" s="94">
        <v>120</v>
      </c>
      <c r="E224" s="94">
        <v>613.98</v>
      </c>
      <c r="F224" s="94">
        <v>45.466999999999999</v>
      </c>
      <c r="G224" s="94">
        <v>681.29</v>
      </c>
      <c r="H224" s="94">
        <v>1.6235999999999999</v>
      </c>
    </row>
    <row r="225" spans="1:8" x14ac:dyDescent="0.25">
      <c r="B225" s="94">
        <v>1.6411</v>
      </c>
      <c r="C225" s="94">
        <v>140</v>
      </c>
      <c r="E225" s="94">
        <v>621.96</v>
      </c>
      <c r="F225" s="94">
        <v>47.055</v>
      </c>
      <c r="G225" s="94">
        <v>691.62</v>
      </c>
      <c r="H225" s="94">
        <v>1.6411</v>
      </c>
    </row>
    <row r="226" spans="1:8" x14ac:dyDescent="0.25">
      <c r="B226" s="94">
        <v>1.6581999999999999</v>
      </c>
      <c r="C226" s="94">
        <v>160</v>
      </c>
      <c r="E226" s="94">
        <v>630.02</v>
      </c>
      <c r="F226" s="94">
        <v>48.65</v>
      </c>
      <c r="G226" s="94">
        <v>702.04</v>
      </c>
      <c r="H226" s="94">
        <v>1.6581999999999999</v>
      </c>
    </row>
    <row r="227" spans="1:8" x14ac:dyDescent="0.25">
      <c r="B227" s="94">
        <v>1.6749000000000001</v>
      </c>
      <c r="C227" s="94">
        <v>180</v>
      </c>
      <c r="E227" s="94">
        <v>638.15</v>
      </c>
      <c r="F227" s="94">
        <v>50.238999999999997</v>
      </c>
      <c r="G227" s="94">
        <v>712.53</v>
      </c>
      <c r="H227" s="94">
        <v>1.6749000000000001</v>
      </c>
    </row>
    <row r="228" spans="1:8" x14ac:dyDescent="0.25">
      <c r="B228" s="94">
        <v>1.6912</v>
      </c>
      <c r="C228" s="94">
        <v>200</v>
      </c>
      <c r="E228" s="94">
        <v>646.37</v>
      </c>
      <c r="F228" s="94">
        <v>51.826000000000001</v>
      </c>
      <c r="G228" s="94">
        <v>723.09</v>
      </c>
      <c r="H228" s="94">
        <v>1.6912</v>
      </c>
    </row>
    <row r="229" spans="1:8" x14ac:dyDescent="0.25">
      <c r="B229" s="94">
        <v>1.7071000000000001</v>
      </c>
      <c r="C229" s="94">
        <v>220</v>
      </c>
      <c r="E229" s="94">
        <v>654.67999999999995</v>
      </c>
      <c r="F229" s="94">
        <v>53.411000000000001</v>
      </c>
      <c r="G229" s="94">
        <v>733.75</v>
      </c>
      <c r="H229" s="94">
        <v>1.7071000000000001</v>
      </c>
    </row>
    <row r="230" spans="1:8" x14ac:dyDescent="0.25">
      <c r="B230" s="94">
        <v>1.7250000000000001</v>
      </c>
      <c r="C230" t="s">
        <v>374</v>
      </c>
      <c r="E230" t="s">
        <v>374</v>
      </c>
      <c r="F230" t="s">
        <v>374</v>
      </c>
      <c r="G230" t="s">
        <v>374</v>
      </c>
      <c r="H230" t="s">
        <v>374</v>
      </c>
    </row>
    <row r="233" spans="1:8" ht="15.75" x14ac:dyDescent="0.25">
      <c r="C233" s="95"/>
    </row>
    <row r="234" spans="1:8" ht="15.75" x14ac:dyDescent="0.25">
      <c r="A234" s="92">
        <v>10</v>
      </c>
      <c r="C234" s="95" t="s">
        <v>379</v>
      </c>
    </row>
    <row r="235" spans="1:8" x14ac:dyDescent="0.25">
      <c r="B235" s="96" t="s">
        <v>266</v>
      </c>
      <c r="C235" s="96" t="s">
        <v>375</v>
      </c>
      <c r="D235" s="96" t="s">
        <v>380</v>
      </c>
      <c r="E235" s="96" t="s">
        <v>381</v>
      </c>
      <c r="F235" s="96" t="s">
        <v>382</v>
      </c>
      <c r="G235" s="96" t="s">
        <v>265</v>
      </c>
      <c r="H235" s="96" t="s">
        <v>266</v>
      </c>
    </row>
    <row r="236" spans="1:8" x14ac:dyDescent="0.25">
      <c r="B236" s="96" t="s">
        <v>383</v>
      </c>
      <c r="C236" s="96" t="s">
        <v>384</v>
      </c>
      <c r="D236" s="96" t="s">
        <v>385</v>
      </c>
      <c r="E236" s="96" t="s">
        <v>386</v>
      </c>
      <c r="F236" s="96" t="s">
        <v>387</v>
      </c>
      <c r="G236" s="96" t="s">
        <v>388</v>
      </c>
      <c r="H236" s="96" t="s">
        <v>383</v>
      </c>
    </row>
    <row r="237" spans="1:8" x14ac:dyDescent="0.25">
      <c r="B237" s="97">
        <v>-2.5354000000000002E-2</v>
      </c>
      <c r="C237" s="98">
        <v>-50</v>
      </c>
      <c r="D237" s="98">
        <v>10</v>
      </c>
      <c r="E237" s="99">
        <v>43.5</v>
      </c>
      <c r="F237" s="99">
        <f t="shared" ref="F237:F277" si="0">1/E237</f>
        <v>2.2988505747126436E-2</v>
      </c>
      <c r="G237" s="97">
        <v>-10.514900000000001</v>
      </c>
      <c r="H237" s="97">
        <v>-2.5354000000000002E-2</v>
      </c>
    </row>
    <row r="238" spans="1:8" x14ac:dyDescent="0.25">
      <c r="B238" s="97">
        <v>-1.2621E-2</v>
      </c>
      <c r="C238" s="98">
        <v>-45</v>
      </c>
      <c r="D238" s="98">
        <v>10</v>
      </c>
      <c r="E238" s="99">
        <v>43.29</v>
      </c>
      <c r="F238" s="99">
        <f t="shared" si="0"/>
        <v>2.3100023100023102E-2</v>
      </c>
      <c r="G238" s="97">
        <v>-5.2667999999999999</v>
      </c>
      <c r="H238" s="97">
        <v>-1.2621E-2</v>
      </c>
    </row>
    <row r="239" spans="1:8" x14ac:dyDescent="0.25">
      <c r="B239" s="97">
        <v>1.4283987</v>
      </c>
      <c r="C239" s="98">
        <v>-40</v>
      </c>
      <c r="D239" s="98">
        <v>10</v>
      </c>
      <c r="E239" s="100">
        <v>3.8620000000000002E-2</v>
      </c>
      <c r="F239" s="100">
        <f t="shared" si="0"/>
        <v>25.893319523562919</v>
      </c>
      <c r="G239" s="97">
        <v>597.58519999999999</v>
      </c>
      <c r="H239" s="97">
        <v>1.4283987</v>
      </c>
    </row>
    <row r="240" spans="1:8" x14ac:dyDescent="0.25">
      <c r="B240" s="97">
        <v>1.4347055</v>
      </c>
      <c r="C240" s="98">
        <v>-35</v>
      </c>
      <c r="D240" s="98">
        <v>10</v>
      </c>
      <c r="E240" s="99">
        <v>3.8120000000000001E-2</v>
      </c>
      <c r="F240" s="99">
        <f t="shared" si="0"/>
        <v>26.232948583420775</v>
      </c>
      <c r="G240" s="97">
        <v>600.24760000000003</v>
      </c>
      <c r="H240" s="97">
        <v>1.4347055</v>
      </c>
    </row>
    <row r="241" spans="2:8" x14ac:dyDescent="0.25">
      <c r="B241" s="97">
        <v>1.4409022</v>
      </c>
      <c r="C241" s="98">
        <v>-30</v>
      </c>
      <c r="D241" s="98">
        <v>10</v>
      </c>
      <c r="E241" s="100">
        <v>3.7629999999999997E-2</v>
      </c>
      <c r="F241" s="100">
        <f t="shared" si="0"/>
        <v>26.57454158915759</v>
      </c>
      <c r="G241" s="97">
        <v>602.89459999999997</v>
      </c>
      <c r="H241" s="97">
        <v>1.4409022</v>
      </c>
    </row>
    <row r="242" spans="2:8" x14ac:dyDescent="0.25">
      <c r="B242" s="97">
        <v>1.4469954</v>
      </c>
      <c r="C242" s="98">
        <v>-25</v>
      </c>
      <c r="D242" s="98">
        <v>10</v>
      </c>
      <c r="E242" s="99">
        <v>3.7159999999999999E-2</v>
      </c>
      <c r="F242" s="99">
        <f t="shared" si="0"/>
        <v>26.91065662002153</v>
      </c>
      <c r="G242" s="97">
        <v>605.52790000000005</v>
      </c>
      <c r="H242" s="97">
        <v>1.4469954</v>
      </c>
    </row>
    <row r="243" spans="2:8" x14ac:dyDescent="0.25">
      <c r="B243" s="97">
        <v>1.4529909999999999</v>
      </c>
      <c r="C243" s="98">
        <v>-20</v>
      </c>
      <c r="D243" s="98">
        <v>10</v>
      </c>
      <c r="E243" s="100">
        <v>3.671E-2</v>
      </c>
      <c r="F243" s="100">
        <f t="shared" si="0"/>
        <v>27.240533914464724</v>
      </c>
      <c r="G243" s="97">
        <v>608.149</v>
      </c>
      <c r="H243" s="97">
        <v>1.4529909999999999</v>
      </c>
    </row>
    <row r="244" spans="2:8" x14ac:dyDescent="0.25">
      <c r="B244" s="97">
        <v>1.4588943999999999</v>
      </c>
      <c r="C244" s="98">
        <v>-15</v>
      </c>
      <c r="D244" s="98">
        <v>10</v>
      </c>
      <c r="E244" s="99">
        <v>3.6260000000000001E-2</v>
      </c>
      <c r="F244" s="99">
        <f t="shared" si="0"/>
        <v>27.578599007170435</v>
      </c>
      <c r="G244" s="97">
        <v>610.75930000000005</v>
      </c>
      <c r="H244" s="97">
        <v>1.4588943999999999</v>
      </c>
    </row>
    <row r="245" spans="2:8" x14ac:dyDescent="0.25">
      <c r="B245" s="97">
        <v>1.4647106999999999</v>
      </c>
      <c r="C245" s="98">
        <v>-10</v>
      </c>
      <c r="D245" s="98">
        <v>10</v>
      </c>
      <c r="E245" s="100">
        <v>3.5830000000000001E-2</v>
      </c>
      <c r="F245" s="100">
        <f t="shared" si="0"/>
        <v>27.909572983533351</v>
      </c>
      <c r="G245" s="97">
        <v>613.36009999999999</v>
      </c>
      <c r="H245" s="97">
        <v>1.4647106999999999</v>
      </c>
    </row>
    <row r="246" spans="2:8" x14ac:dyDescent="0.25">
      <c r="B246" s="97">
        <v>1.4704442</v>
      </c>
      <c r="C246" s="98">
        <v>-5</v>
      </c>
      <c r="D246" s="98">
        <v>10</v>
      </c>
      <c r="E246" s="99">
        <v>3.5409999999999997E-2</v>
      </c>
      <c r="F246" s="99">
        <f t="shared" si="0"/>
        <v>28.240609997175941</v>
      </c>
      <c r="G246" s="97">
        <v>615.95259999999996</v>
      </c>
      <c r="H246" s="97">
        <v>1.4704442</v>
      </c>
    </row>
    <row r="247" spans="2:8" x14ac:dyDescent="0.25">
      <c r="B247" s="97">
        <v>1.4760991000000001</v>
      </c>
      <c r="C247" s="98">
        <v>0</v>
      </c>
      <c r="D247" s="98">
        <v>10</v>
      </c>
      <c r="E247" s="100">
        <v>3.5000000000000003E-2</v>
      </c>
      <c r="F247" s="100">
        <f t="shared" si="0"/>
        <v>28.571428571428569</v>
      </c>
      <c r="G247" s="97">
        <v>618.53779999999995</v>
      </c>
      <c r="H247" s="97">
        <v>1.4760991000000001</v>
      </c>
    </row>
    <row r="248" spans="2:8" x14ac:dyDescent="0.25">
      <c r="B248" s="97">
        <v>1.4816792999999999</v>
      </c>
      <c r="C248" s="98">
        <v>5</v>
      </c>
      <c r="D248" s="98">
        <v>10</v>
      </c>
      <c r="E248" s="99">
        <v>3.4599999999999999E-2</v>
      </c>
      <c r="F248" s="99">
        <f t="shared" si="0"/>
        <v>28.901734104046245</v>
      </c>
      <c r="G248" s="97">
        <v>621.11670000000004</v>
      </c>
      <c r="H248" s="97">
        <v>1.4816792999999999</v>
      </c>
    </row>
    <row r="249" spans="2:8" x14ac:dyDescent="0.25">
      <c r="B249" s="97">
        <v>1.4871881</v>
      </c>
      <c r="C249" s="98">
        <v>10</v>
      </c>
      <c r="D249" s="98">
        <v>10</v>
      </c>
      <c r="E249" s="100">
        <v>3.4209999999999997E-2</v>
      </c>
      <c r="F249" s="100">
        <f t="shared" si="0"/>
        <v>29.231218941829876</v>
      </c>
      <c r="G249" s="97">
        <v>623.6902</v>
      </c>
      <c r="H249" s="97">
        <v>1.4871881</v>
      </c>
    </row>
    <row r="250" spans="2:8" x14ac:dyDescent="0.25">
      <c r="B250" s="97">
        <v>1.4926288000000001</v>
      </c>
      <c r="C250" s="98">
        <v>15</v>
      </c>
      <c r="D250" s="98">
        <v>10</v>
      </c>
      <c r="E250" s="99">
        <v>3.3829999999999999E-2</v>
      </c>
      <c r="F250" s="99">
        <f t="shared" si="0"/>
        <v>29.559562518474728</v>
      </c>
      <c r="G250" s="97">
        <v>626.25919999999996</v>
      </c>
      <c r="H250" s="97">
        <v>1.4926288000000001</v>
      </c>
    </row>
    <row r="251" spans="2:8" x14ac:dyDescent="0.25">
      <c r="B251" s="97">
        <v>1.4980043000000001</v>
      </c>
      <c r="C251" s="98">
        <v>20</v>
      </c>
      <c r="D251" s="98">
        <v>10</v>
      </c>
      <c r="E251" s="100">
        <v>3.3459999999999997E-2</v>
      </c>
      <c r="F251" s="100">
        <f t="shared" si="0"/>
        <v>29.886431560071731</v>
      </c>
      <c r="G251" s="97">
        <v>628.82420000000002</v>
      </c>
      <c r="H251" s="97">
        <v>1.4980043000000001</v>
      </c>
    </row>
    <row r="252" spans="2:8" x14ac:dyDescent="0.25">
      <c r="B252" s="97">
        <v>1.5033175000000001</v>
      </c>
      <c r="C252" s="98">
        <v>25</v>
      </c>
      <c r="D252" s="98">
        <v>10</v>
      </c>
      <c r="E252" s="99">
        <v>3.3100000000000004E-2</v>
      </c>
      <c r="F252" s="99">
        <f t="shared" si="0"/>
        <v>30.21148036253776</v>
      </c>
      <c r="G252" s="97">
        <v>631.38599999999997</v>
      </c>
      <c r="H252" s="97">
        <v>1.5033175000000001</v>
      </c>
    </row>
    <row r="253" spans="2:8" x14ac:dyDescent="0.25">
      <c r="B253" s="97">
        <v>1.5085709</v>
      </c>
      <c r="C253" s="98">
        <v>30</v>
      </c>
      <c r="D253" s="98">
        <v>10</v>
      </c>
      <c r="E253" s="100">
        <v>3.2750000000000001E-2</v>
      </c>
      <c r="F253" s="100">
        <f t="shared" si="0"/>
        <v>30.534351145038165</v>
      </c>
      <c r="G253" s="97">
        <v>633.94529999999997</v>
      </c>
      <c r="H253" s="97">
        <v>1.5085709</v>
      </c>
    </row>
    <row r="254" spans="2:8" x14ac:dyDescent="0.25">
      <c r="B254" s="97">
        <v>1.5137668</v>
      </c>
      <c r="C254" s="98">
        <v>35</v>
      </c>
      <c r="D254" s="98">
        <v>10</v>
      </c>
      <c r="E254" s="99">
        <v>3.2399999999999998E-2</v>
      </c>
      <c r="F254" s="99">
        <f t="shared" si="0"/>
        <v>30.8641975308642</v>
      </c>
      <c r="G254" s="97">
        <v>636.50250000000005</v>
      </c>
      <c r="H254" s="97">
        <v>1.5137668</v>
      </c>
    </row>
    <row r="255" spans="2:8" x14ac:dyDescent="0.25">
      <c r="B255" s="97">
        <v>1.5189075000000001</v>
      </c>
      <c r="C255" s="98">
        <v>40</v>
      </c>
      <c r="D255" s="98">
        <v>10</v>
      </c>
      <c r="E255" s="100">
        <v>3.2070000000000001E-2</v>
      </c>
      <c r="F255" s="100">
        <f t="shared" si="0"/>
        <v>31.181789834736513</v>
      </c>
      <c r="G255" s="97">
        <v>639.05830000000003</v>
      </c>
      <c r="H255" s="97">
        <v>1.5189075000000001</v>
      </c>
    </row>
    <row r="256" spans="2:8" x14ac:dyDescent="0.25">
      <c r="B256" s="97">
        <v>1.523995</v>
      </c>
      <c r="C256" s="98">
        <v>45</v>
      </c>
      <c r="D256" s="98">
        <v>10</v>
      </c>
      <c r="E256" s="99">
        <v>3.1739999999999997E-2</v>
      </c>
      <c r="F256" s="99">
        <f t="shared" si="0"/>
        <v>31.505986137366101</v>
      </c>
      <c r="G256" s="97">
        <v>641.61310000000003</v>
      </c>
      <c r="H256" s="97">
        <v>1.523995</v>
      </c>
    </row>
    <row r="257" spans="2:8" x14ac:dyDescent="0.25">
      <c r="B257" s="97">
        <v>1.5290313</v>
      </c>
      <c r="C257" s="98">
        <v>50</v>
      </c>
      <c r="D257" s="98">
        <v>10</v>
      </c>
      <c r="E257" s="100">
        <v>3.141E-2</v>
      </c>
      <c r="F257" s="100">
        <f t="shared" si="0"/>
        <v>31.836994587710919</v>
      </c>
      <c r="G257" s="97">
        <v>644.16729999999995</v>
      </c>
      <c r="H257" s="97">
        <v>1.5290313</v>
      </c>
    </row>
    <row r="258" spans="2:8" x14ac:dyDescent="0.25">
      <c r="B258" s="97">
        <v>1.5340180999999999</v>
      </c>
      <c r="C258" s="98">
        <v>55</v>
      </c>
      <c r="D258" s="98">
        <v>10</v>
      </c>
      <c r="E258" s="99">
        <v>3.1100000000000003E-2</v>
      </c>
      <c r="F258" s="99">
        <f t="shared" si="0"/>
        <v>32.154340836012857</v>
      </c>
      <c r="G258" s="97">
        <v>646.72140000000002</v>
      </c>
      <c r="H258" s="97">
        <v>1.5340180999999999</v>
      </c>
    </row>
    <row r="259" spans="2:8" x14ac:dyDescent="0.25">
      <c r="B259" s="97">
        <v>1.5389573000000001</v>
      </c>
      <c r="C259" s="98">
        <v>60</v>
      </c>
      <c r="D259" s="98">
        <v>10</v>
      </c>
      <c r="E259" s="100">
        <v>3.0790000000000001E-2</v>
      </c>
      <c r="F259" s="100">
        <f t="shared" si="0"/>
        <v>32.478077297823965</v>
      </c>
      <c r="G259" s="97">
        <v>649.2758</v>
      </c>
      <c r="H259" s="97">
        <v>1.5389573000000001</v>
      </c>
    </row>
    <row r="260" spans="2:8" x14ac:dyDescent="0.25">
      <c r="B260" s="97">
        <v>1.5438502999999999</v>
      </c>
      <c r="C260" s="98">
        <v>65</v>
      </c>
      <c r="D260" s="98">
        <v>10</v>
      </c>
      <c r="E260" s="99">
        <v>3.048E-2</v>
      </c>
      <c r="F260" s="99">
        <f t="shared" si="0"/>
        <v>32.808398950131235</v>
      </c>
      <c r="G260" s="97">
        <v>651.83069999999998</v>
      </c>
      <c r="H260" s="97">
        <v>1.5438502999999999</v>
      </c>
    </row>
    <row r="261" spans="2:8" x14ac:dyDescent="0.25">
      <c r="B261" s="97">
        <v>1.5486987000000001</v>
      </c>
      <c r="C261" s="98">
        <v>70</v>
      </c>
      <c r="D261" s="98">
        <v>10</v>
      </c>
      <c r="E261" s="100">
        <v>3.0190000000000002E-2</v>
      </c>
      <c r="F261" s="100">
        <f t="shared" si="0"/>
        <v>33.123550844650545</v>
      </c>
      <c r="G261" s="97">
        <v>654.38670000000002</v>
      </c>
      <c r="H261" s="97">
        <v>1.5486987000000001</v>
      </c>
    </row>
    <row r="262" spans="2:8" x14ac:dyDescent="0.25">
      <c r="B262" s="97">
        <v>1.553504</v>
      </c>
      <c r="C262" s="98">
        <v>75</v>
      </c>
      <c r="D262" s="98">
        <v>10</v>
      </c>
      <c r="E262" s="99">
        <v>2.9900000000000003E-2</v>
      </c>
      <c r="F262" s="99">
        <f t="shared" si="0"/>
        <v>33.444816053511701</v>
      </c>
      <c r="G262" s="97">
        <v>656.94389999999999</v>
      </c>
      <c r="H262" s="97">
        <v>1.553504</v>
      </c>
    </row>
    <row r="263" spans="2:8" x14ac:dyDescent="0.25">
      <c r="B263" s="97">
        <v>1.5582674000000001</v>
      </c>
      <c r="C263" s="98">
        <v>80</v>
      </c>
      <c r="D263" s="98">
        <v>10</v>
      </c>
      <c r="E263" s="100">
        <v>2.9610000000000001E-2</v>
      </c>
      <c r="F263" s="100">
        <f t="shared" si="0"/>
        <v>33.77237419790611</v>
      </c>
      <c r="G263" s="97">
        <v>659.50260000000003</v>
      </c>
      <c r="H263" s="97">
        <v>1.5582674000000001</v>
      </c>
    </row>
    <row r="264" spans="2:8" x14ac:dyDescent="0.25">
      <c r="B264" s="97">
        <v>1.5629903000000001</v>
      </c>
      <c r="C264" s="98">
        <v>85</v>
      </c>
      <c r="D264" s="98">
        <v>10</v>
      </c>
      <c r="E264" s="99">
        <v>2.9329999999999998E-2</v>
      </c>
      <c r="F264" s="99">
        <f t="shared" si="0"/>
        <v>34.094783498124791</v>
      </c>
      <c r="G264" s="97">
        <v>662.06320000000005</v>
      </c>
      <c r="H264" s="97">
        <v>1.5629903000000001</v>
      </c>
    </row>
    <row r="265" spans="2:8" x14ac:dyDescent="0.25">
      <c r="B265" s="97">
        <v>1.5676737999999999</v>
      </c>
      <c r="C265" s="98">
        <v>90</v>
      </c>
      <c r="D265" s="98">
        <v>10</v>
      </c>
      <c r="E265" s="100">
        <v>2.9059999999999999E-2</v>
      </c>
      <c r="F265" s="100">
        <f t="shared" si="0"/>
        <v>34.41156228492774</v>
      </c>
      <c r="G265" s="97">
        <v>664.62580000000003</v>
      </c>
      <c r="H265" s="97">
        <v>1.5676737999999999</v>
      </c>
    </row>
    <row r="266" spans="2:8" x14ac:dyDescent="0.25">
      <c r="B266" s="97">
        <v>1.572319</v>
      </c>
      <c r="C266" s="98">
        <v>95</v>
      </c>
      <c r="D266" s="98">
        <v>10</v>
      </c>
      <c r="E266" s="99">
        <v>2.879E-2</v>
      </c>
      <c r="F266" s="99">
        <f t="shared" si="0"/>
        <v>34.734282737061477</v>
      </c>
      <c r="G266" s="97">
        <v>667.19079999999997</v>
      </c>
      <c r="H266" s="97">
        <v>1.572319</v>
      </c>
    </row>
    <row r="267" spans="2:8" x14ac:dyDescent="0.25">
      <c r="B267" s="97">
        <v>1.5769272000000001</v>
      </c>
      <c r="C267" s="98">
        <v>100</v>
      </c>
      <c r="D267" s="98">
        <v>10</v>
      </c>
      <c r="E267" s="100">
        <v>2.853E-2</v>
      </c>
      <c r="F267" s="100">
        <f t="shared" si="0"/>
        <v>35.050823694356815</v>
      </c>
      <c r="G267" s="97">
        <v>669.75829999999996</v>
      </c>
      <c r="H267" s="97">
        <v>1.5769272000000001</v>
      </c>
    </row>
    <row r="268" spans="2:8" x14ac:dyDescent="0.25">
      <c r="B268" s="97">
        <v>1.5814992999999999</v>
      </c>
      <c r="C268" s="98">
        <v>105</v>
      </c>
      <c r="D268" s="98">
        <v>10</v>
      </c>
      <c r="E268" s="99">
        <v>2.827E-2</v>
      </c>
      <c r="F268" s="99">
        <f t="shared" si="0"/>
        <v>35.373187124159884</v>
      </c>
      <c r="G268" s="97">
        <v>672.32860000000005</v>
      </c>
      <c r="H268" s="97">
        <v>1.5814992999999999</v>
      </c>
    </row>
    <row r="269" spans="2:8" x14ac:dyDescent="0.25">
      <c r="B269" s="97">
        <v>1.5860363</v>
      </c>
      <c r="C269" s="98">
        <v>110</v>
      </c>
      <c r="D269" s="98">
        <v>10</v>
      </c>
      <c r="E269" s="100">
        <v>2.802E-2</v>
      </c>
      <c r="F269" s="100">
        <f t="shared" si="0"/>
        <v>35.688793718772303</v>
      </c>
      <c r="G269" s="97">
        <v>674.90179999999998</v>
      </c>
      <c r="H269" s="97">
        <v>1.5860363</v>
      </c>
    </row>
    <row r="270" spans="2:8" x14ac:dyDescent="0.25">
      <c r="B270" s="97">
        <v>1.5905391</v>
      </c>
      <c r="C270" s="98">
        <v>115</v>
      </c>
      <c r="D270" s="98">
        <v>10</v>
      </c>
      <c r="E270" s="99">
        <v>2.777E-2</v>
      </c>
      <c r="F270" s="99">
        <f t="shared" si="0"/>
        <v>36.010082823190494</v>
      </c>
      <c r="G270" s="97">
        <v>677.47820000000002</v>
      </c>
      <c r="H270" s="97">
        <v>1.5905391</v>
      </c>
    </row>
    <row r="271" spans="2:8" x14ac:dyDescent="0.25">
      <c r="B271" s="97">
        <v>1.5950086999999999</v>
      </c>
      <c r="C271" s="98">
        <v>120</v>
      </c>
      <c r="D271" s="98">
        <v>10</v>
      </c>
      <c r="E271" s="100">
        <v>2.7519999999999999E-2</v>
      </c>
      <c r="F271" s="100">
        <f t="shared" si="0"/>
        <v>36.337209302325583</v>
      </c>
      <c r="G271" s="97">
        <v>680.05790000000002</v>
      </c>
      <c r="H271" s="97">
        <v>1.5950086999999999</v>
      </c>
    </row>
    <row r="272" spans="2:8" x14ac:dyDescent="0.25">
      <c r="B272" s="97">
        <v>1.5994458</v>
      </c>
      <c r="C272" s="98">
        <v>125</v>
      </c>
      <c r="D272" s="98">
        <v>10</v>
      </c>
      <c r="E272" s="99">
        <v>2.7279999999999999E-2</v>
      </c>
      <c r="F272" s="99">
        <f t="shared" si="0"/>
        <v>36.656891495601172</v>
      </c>
      <c r="G272" s="97">
        <v>682.64110000000005</v>
      </c>
      <c r="H272" s="97">
        <v>1.5994458</v>
      </c>
    </row>
    <row r="273" spans="1:8" x14ac:dyDescent="0.25">
      <c r="B273" s="97">
        <v>1.6038513999999999</v>
      </c>
      <c r="C273" s="98">
        <v>130</v>
      </c>
      <c r="D273" s="98">
        <v>10</v>
      </c>
      <c r="E273" s="100">
        <v>2.7050000000000001E-2</v>
      </c>
      <c r="F273" s="100">
        <f t="shared" si="0"/>
        <v>36.968576709796672</v>
      </c>
      <c r="G273" s="97">
        <v>685.22789999999998</v>
      </c>
      <c r="H273" s="97">
        <v>1.6038513999999999</v>
      </c>
    </row>
    <row r="274" spans="1:8" x14ac:dyDescent="0.25">
      <c r="B274" s="97">
        <v>1.6082263000000001</v>
      </c>
      <c r="C274" s="98">
        <v>135</v>
      </c>
      <c r="D274" s="98">
        <v>10</v>
      </c>
      <c r="E274" s="99">
        <v>2.681E-2</v>
      </c>
      <c r="F274" s="99">
        <f t="shared" si="0"/>
        <v>37.299515106303616</v>
      </c>
      <c r="G274" s="97">
        <v>687.81849999999997</v>
      </c>
      <c r="H274" s="97">
        <v>1.6082263000000001</v>
      </c>
    </row>
    <row r="275" spans="1:8" x14ac:dyDescent="0.25">
      <c r="B275" s="97">
        <v>1.612571</v>
      </c>
      <c r="C275" s="98">
        <v>140</v>
      </c>
      <c r="D275" s="98">
        <v>10</v>
      </c>
      <c r="E275" s="100">
        <v>2.6589999999999999E-2</v>
      </c>
      <c r="F275" s="100">
        <f t="shared" si="0"/>
        <v>37.608123354644604</v>
      </c>
      <c r="G275" s="97">
        <v>690.41309999999999</v>
      </c>
      <c r="H275" s="97">
        <v>1.612571</v>
      </c>
    </row>
    <row r="276" spans="1:8" x14ac:dyDescent="0.25">
      <c r="B276" s="97">
        <v>1.6168864999999999</v>
      </c>
      <c r="C276" s="98">
        <v>145</v>
      </c>
      <c r="D276" s="98">
        <v>10</v>
      </c>
      <c r="E276" s="99">
        <v>2.6360000000000001E-2</v>
      </c>
      <c r="F276" s="99">
        <f t="shared" si="0"/>
        <v>37.936267071320181</v>
      </c>
      <c r="G276" s="97">
        <v>693.01170000000002</v>
      </c>
      <c r="H276" s="97">
        <v>1.6168864999999999</v>
      </c>
    </row>
    <row r="277" spans="1:8" x14ac:dyDescent="0.25">
      <c r="B277" s="97">
        <v>1.6211732999999999</v>
      </c>
      <c r="C277" s="98">
        <v>150</v>
      </c>
      <c r="D277" s="98">
        <v>10</v>
      </c>
      <c r="E277" s="100">
        <v>2.614E-2</v>
      </c>
      <c r="F277" s="100">
        <f t="shared" si="0"/>
        <v>38.255547054322875</v>
      </c>
      <c r="G277" s="97">
        <v>695.61450000000002</v>
      </c>
      <c r="H277" s="97">
        <v>1.6211732999999999</v>
      </c>
    </row>
    <row r="278" spans="1:8" x14ac:dyDescent="0.25">
      <c r="B278" s="97">
        <v>1.6319999999999999</v>
      </c>
      <c r="C278" s="98">
        <v>160</v>
      </c>
      <c r="D278" s="101"/>
      <c r="E278" s="101"/>
      <c r="F278" s="101"/>
      <c r="G278" s="97">
        <v>701.82</v>
      </c>
      <c r="H278" s="97">
        <v>1.6319999999999999</v>
      </c>
    </row>
    <row r="279" spans="1:8" x14ac:dyDescent="0.25">
      <c r="B279" s="97">
        <v>1.6486000000000001</v>
      </c>
      <c r="C279" s="98">
        <v>180</v>
      </c>
      <c r="D279" s="101"/>
      <c r="E279" s="101"/>
      <c r="F279" s="101"/>
      <c r="G279" s="97">
        <v>712.33</v>
      </c>
      <c r="H279" s="97">
        <v>1.6486000000000001</v>
      </c>
    </row>
    <row r="280" spans="1:8" x14ac:dyDescent="0.25">
      <c r="B280" s="97">
        <v>1.6649</v>
      </c>
      <c r="C280" s="98">
        <v>200</v>
      </c>
      <c r="D280" s="101"/>
      <c r="E280" s="101"/>
      <c r="F280" s="101"/>
      <c r="G280" s="97">
        <v>722.91</v>
      </c>
      <c r="H280" s="97">
        <v>1.6649</v>
      </c>
    </row>
    <row r="281" spans="1:8" x14ac:dyDescent="0.25">
      <c r="B281" s="97">
        <v>1.6809000000000001</v>
      </c>
      <c r="C281" s="98">
        <v>220</v>
      </c>
      <c r="D281" s="101"/>
      <c r="E281" s="101"/>
      <c r="F281" s="101"/>
      <c r="G281" s="97">
        <v>733.58</v>
      </c>
      <c r="H281" s="97">
        <v>1.6809000000000001</v>
      </c>
    </row>
    <row r="282" spans="1:8" x14ac:dyDescent="0.25">
      <c r="B282" s="97">
        <v>1.698</v>
      </c>
      <c r="C282" t="s">
        <v>374</v>
      </c>
      <c r="E282" t="s">
        <v>374</v>
      </c>
      <c r="F282" t="s">
        <v>374</v>
      </c>
      <c r="G282" t="s">
        <v>374</v>
      </c>
      <c r="H282" t="s">
        <v>374</v>
      </c>
    </row>
    <row r="284" spans="1:8" x14ac:dyDescent="0.25">
      <c r="A284" s="92">
        <v>12</v>
      </c>
      <c r="B284" s="93" t="s">
        <v>266</v>
      </c>
      <c r="C284" s="93" t="s">
        <v>375</v>
      </c>
      <c r="E284" s="93" t="s">
        <v>376</v>
      </c>
      <c r="F284" s="93" t="s">
        <v>377</v>
      </c>
      <c r="G284" s="93" t="s">
        <v>378</v>
      </c>
      <c r="H284" s="93" t="s">
        <v>266</v>
      </c>
    </row>
    <row r="285" spans="1:8" x14ac:dyDescent="0.25">
      <c r="B285" s="94">
        <v>-1.4145000000000001</v>
      </c>
      <c r="C285" s="94">
        <v>-35.1</v>
      </c>
      <c r="E285" s="94">
        <v>-552.16</v>
      </c>
      <c r="F285" s="94">
        <v>-21.765000000000001</v>
      </c>
      <c r="G285" s="94">
        <v>-600.49</v>
      </c>
      <c r="H285" s="94">
        <v>-1.4145000000000001</v>
      </c>
    </row>
    <row r="286" spans="1:8" x14ac:dyDescent="0.25">
      <c r="B286" s="94">
        <v>1.4207000000000001</v>
      </c>
      <c r="C286" s="94">
        <v>-30</v>
      </c>
      <c r="E286" s="94">
        <v>554.19000000000005</v>
      </c>
      <c r="F286" s="94">
        <v>22.055</v>
      </c>
      <c r="G286" s="94">
        <v>603.16999999999996</v>
      </c>
      <c r="H286" s="94">
        <v>1.4207000000000001</v>
      </c>
    </row>
    <row r="287" spans="1:8" x14ac:dyDescent="0.25">
      <c r="B287" s="94">
        <v>1.4444999999999999</v>
      </c>
      <c r="C287" s="94">
        <v>-10</v>
      </c>
      <c r="E287" s="94">
        <v>562.14</v>
      </c>
      <c r="F287" s="94">
        <v>23.184000000000001</v>
      </c>
      <c r="G287" s="94">
        <v>613.63</v>
      </c>
      <c r="H287" s="94">
        <v>1.4444999999999999</v>
      </c>
    </row>
    <row r="288" spans="1:8" x14ac:dyDescent="0.25">
      <c r="B288" s="94">
        <v>1.4558</v>
      </c>
      <c r="C288" s="94">
        <v>0</v>
      </c>
      <c r="E288" s="94">
        <v>566.11</v>
      </c>
      <c r="F288" s="94">
        <v>23.74</v>
      </c>
      <c r="G288" s="94">
        <v>618.82000000000005</v>
      </c>
      <c r="H288" s="94">
        <v>1.4558</v>
      </c>
    </row>
    <row r="289" spans="1:8" x14ac:dyDescent="0.25">
      <c r="B289" s="94">
        <v>1.4671000000000001</v>
      </c>
      <c r="C289" s="94">
        <v>10</v>
      </c>
      <c r="E289" s="94">
        <v>570.05999999999995</v>
      </c>
      <c r="F289" s="94">
        <v>24.292999999999999</v>
      </c>
      <c r="G289" s="94">
        <v>624</v>
      </c>
      <c r="H289" s="94">
        <v>1.4671000000000001</v>
      </c>
    </row>
    <row r="290" spans="1:8" x14ac:dyDescent="0.25">
      <c r="B290" s="94">
        <v>1.4885999999999999</v>
      </c>
      <c r="C290" s="94">
        <v>30</v>
      </c>
      <c r="E290" s="94">
        <v>577.95000000000005</v>
      </c>
      <c r="F290" s="94">
        <v>25.391999999999999</v>
      </c>
      <c r="G290" s="94">
        <v>634.33000000000004</v>
      </c>
      <c r="H290" s="94">
        <v>1.4885999999999999</v>
      </c>
    </row>
    <row r="291" spans="1:8" x14ac:dyDescent="0.25">
      <c r="B291" s="94">
        <v>1.5093000000000001</v>
      </c>
      <c r="C291" s="94">
        <v>50</v>
      </c>
      <c r="E291" s="94">
        <v>585.83000000000004</v>
      </c>
      <c r="F291" s="94">
        <v>26.481000000000002</v>
      </c>
      <c r="G291" s="94">
        <v>644.63</v>
      </c>
      <c r="H291" s="94">
        <v>1.5093000000000001</v>
      </c>
    </row>
    <row r="292" spans="1:8" x14ac:dyDescent="0.25">
      <c r="B292" s="94">
        <v>1.5290999999999999</v>
      </c>
      <c r="C292" s="94">
        <v>70</v>
      </c>
      <c r="E292" s="94">
        <v>593.72</v>
      </c>
      <c r="F292" s="94">
        <v>27.562999999999999</v>
      </c>
      <c r="G292" s="94">
        <v>654.91999999999996</v>
      </c>
      <c r="H292" s="94">
        <v>1.5290999999999999</v>
      </c>
    </row>
    <row r="293" spans="1:8" x14ac:dyDescent="0.25">
      <c r="B293" s="94">
        <v>1.5482</v>
      </c>
      <c r="C293" s="94">
        <v>90</v>
      </c>
      <c r="E293" s="94">
        <v>601.63</v>
      </c>
      <c r="F293" s="94">
        <v>28.64</v>
      </c>
      <c r="G293" s="94">
        <v>665.23</v>
      </c>
      <c r="H293" s="94">
        <v>1.5482</v>
      </c>
    </row>
    <row r="294" spans="1:8" x14ac:dyDescent="0.25">
      <c r="B294" s="94">
        <v>1.5666</v>
      </c>
      <c r="C294" s="94">
        <v>110</v>
      </c>
      <c r="E294" s="94">
        <v>609.58000000000004</v>
      </c>
      <c r="F294" s="94">
        <v>29.712</v>
      </c>
      <c r="G294" s="94">
        <v>675.56</v>
      </c>
      <c r="H294" s="94">
        <v>1.5666</v>
      </c>
    </row>
    <row r="295" spans="1:8" x14ac:dyDescent="0.25">
      <c r="B295" s="94">
        <v>1.5845</v>
      </c>
      <c r="C295" s="94">
        <v>130</v>
      </c>
      <c r="E295" s="94">
        <v>617.58000000000004</v>
      </c>
      <c r="F295" s="94">
        <v>30.785</v>
      </c>
      <c r="G295" s="94">
        <v>685.94</v>
      </c>
      <c r="H295" s="94">
        <v>1.5845</v>
      </c>
    </row>
    <row r="296" spans="1:8" x14ac:dyDescent="0.25">
      <c r="B296" s="94">
        <v>1.6019000000000001</v>
      </c>
      <c r="C296" s="94">
        <v>150</v>
      </c>
      <c r="E296" s="94">
        <v>625.64</v>
      </c>
      <c r="F296" s="94">
        <v>31.847999999999999</v>
      </c>
      <c r="G296" s="94">
        <v>696.36</v>
      </c>
      <c r="H296" s="94">
        <v>1.6019000000000001</v>
      </c>
    </row>
    <row r="297" spans="1:8" x14ac:dyDescent="0.25">
      <c r="B297" s="94">
        <v>1.6188</v>
      </c>
      <c r="C297" s="94">
        <v>170</v>
      </c>
      <c r="E297" s="94">
        <v>633.77</v>
      </c>
      <c r="F297" s="94">
        <v>32.911999999999999</v>
      </c>
      <c r="G297" s="94">
        <v>706.86</v>
      </c>
      <c r="H297" s="94">
        <v>1.6188</v>
      </c>
    </row>
    <row r="298" spans="1:8" x14ac:dyDescent="0.25">
      <c r="B298" s="94">
        <v>1.6354</v>
      </c>
      <c r="C298" s="94">
        <v>190</v>
      </c>
      <c r="E298" s="94">
        <v>641.98</v>
      </c>
      <c r="F298" s="94">
        <v>33.975000000000001</v>
      </c>
      <c r="G298" s="94">
        <v>717.42</v>
      </c>
      <c r="H298" s="94">
        <v>1.6354</v>
      </c>
    </row>
    <row r="299" spans="1:8" x14ac:dyDescent="0.25">
      <c r="B299" s="94">
        <v>1.6515</v>
      </c>
      <c r="C299" s="94">
        <v>210</v>
      </c>
      <c r="E299" s="94">
        <v>650.26</v>
      </c>
      <c r="F299" s="94">
        <v>35.036000000000001</v>
      </c>
      <c r="G299" s="94">
        <v>728.06</v>
      </c>
      <c r="H299" s="94">
        <v>1.6515</v>
      </c>
    </row>
    <row r="300" spans="1:8" x14ac:dyDescent="0.25">
      <c r="B300" s="94">
        <v>1.6679999999999999</v>
      </c>
      <c r="C300" t="s">
        <v>374</v>
      </c>
      <c r="E300" t="s">
        <v>374</v>
      </c>
      <c r="F300" t="s">
        <v>374</v>
      </c>
      <c r="G300" t="s">
        <v>374</v>
      </c>
      <c r="H300" t="s">
        <v>374</v>
      </c>
    </row>
    <row r="303" spans="1:8" ht="15.75" x14ac:dyDescent="0.25">
      <c r="A303" s="92">
        <v>13.89</v>
      </c>
      <c r="C303" s="95" t="s">
        <v>389</v>
      </c>
      <c r="E303" s="102"/>
      <c r="G303" s="102"/>
    </row>
    <row r="304" spans="1:8" x14ac:dyDescent="0.25">
      <c r="B304" s="96" t="s">
        <v>266</v>
      </c>
      <c r="C304" s="96" t="s">
        <v>375</v>
      </c>
      <c r="D304" s="96" t="s">
        <v>380</v>
      </c>
      <c r="E304" s="96" t="s">
        <v>381</v>
      </c>
      <c r="F304" s="96" t="s">
        <v>382</v>
      </c>
      <c r="G304" s="96" t="s">
        <v>265</v>
      </c>
      <c r="H304" s="96" t="s">
        <v>266</v>
      </c>
    </row>
    <row r="305" spans="2:8" x14ac:dyDescent="0.25">
      <c r="B305" s="96" t="s">
        <v>383</v>
      </c>
      <c r="C305" s="96" t="s">
        <v>384</v>
      </c>
      <c r="D305" s="96" t="s">
        <v>385</v>
      </c>
      <c r="E305" s="96" t="s">
        <v>386</v>
      </c>
      <c r="F305" s="96" t="s">
        <v>387</v>
      </c>
      <c r="G305" s="96" t="s">
        <v>388</v>
      </c>
      <c r="H305" s="96" t="s">
        <v>383</v>
      </c>
    </row>
    <row r="306" spans="2:8" x14ac:dyDescent="0.25">
      <c r="B306" s="97">
        <v>-1.0000000000000001E-5</v>
      </c>
      <c r="C306" s="98">
        <v>-40</v>
      </c>
      <c r="D306" s="98">
        <v>13.89</v>
      </c>
      <c r="E306" s="103">
        <v>43.09</v>
      </c>
      <c r="F306" s="99">
        <f t="shared" ref="F306:F344" si="1">1/E306</f>
        <v>2.3207240659085634E-2</v>
      </c>
      <c r="G306" s="97">
        <v>8.8500000000000002E-3</v>
      </c>
      <c r="H306" s="97">
        <v>-1.0000000000000001E-5</v>
      </c>
    </row>
    <row r="307" spans="2:8" x14ac:dyDescent="0.25">
      <c r="B307" s="97">
        <v>1.2500000000000001E-2</v>
      </c>
      <c r="C307" s="98">
        <v>-35</v>
      </c>
      <c r="D307" s="98">
        <v>13.89</v>
      </c>
      <c r="E307" s="103">
        <v>42.87</v>
      </c>
      <c r="F307" s="99">
        <f t="shared" si="1"/>
        <v>2.3326335432703522E-2</v>
      </c>
      <c r="G307" s="97">
        <v>5.2919999999999998</v>
      </c>
      <c r="H307" s="97">
        <v>1.2500000000000001E-2</v>
      </c>
    </row>
    <row r="308" spans="2:8" x14ac:dyDescent="0.25">
      <c r="B308" s="97">
        <v>2.4910000000000002E-2</v>
      </c>
      <c r="C308" s="98">
        <v>-30</v>
      </c>
      <c r="D308" s="98">
        <v>13.89</v>
      </c>
      <c r="E308" s="103">
        <v>42.66</v>
      </c>
      <c r="F308" s="100">
        <f t="shared" si="1"/>
        <v>2.3441162681669011E-2</v>
      </c>
      <c r="G308" s="97">
        <v>10.59</v>
      </c>
      <c r="H308" s="97">
        <v>2.4910000000000002E-2</v>
      </c>
    </row>
    <row r="309" spans="2:8" x14ac:dyDescent="0.25">
      <c r="B309" s="97">
        <v>1.4059999999999999</v>
      </c>
      <c r="C309" s="98">
        <v>-25</v>
      </c>
      <c r="D309" s="98">
        <v>13.89</v>
      </c>
      <c r="E309" s="103">
        <v>5.1999999999999998E-2</v>
      </c>
      <c r="F309" s="99">
        <f t="shared" si="1"/>
        <v>19.23076923076923</v>
      </c>
      <c r="G309" s="97">
        <v>603.9</v>
      </c>
      <c r="H309" s="97">
        <v>1.4059999999999999</v>
      </c>
    </row>
    <row r="310" spans="2:8" x14ac:dyDescent="0.25">
      <c r="B310" s="97">
        <v>1.4119999999999999</v>
      </c>
      <c r="C310" s="98">
        <v>-20</v>
      </c>
      <c r="D310" s="98">
        <v>13.89</v>
      </c>
      <c r="E310" s="103">
        <v>5.1339999999999997E-2</v>
      </c>
      <c r="F310" s="100">
        <f t="shared" si="1"/>
        <v>19.477989871445267</v>
      </c>
      <c r="G310" s="97">
        <v>606.6</v>
      </c>
      <c r="H310" s="97">
        <v>1.4119999999999999</v>
      </c>
    </row>
    <row r="311" spans="2:8" x14ac:dyDescent="0.25">
      <c r="B311" s="97">
        <v>1.4179999999999999</v>
      </c>
      <c r="C311" s="98">
        <v>-15</v>
      </c>
      <c r="D311" s="98">
        <v>13.89</v>
      </c>
      <c r="E311" s="99">
        <v>5.0700000000000002E-2</v>
      </c>
      <c r="F311" s="99">
        <f t="shared" si="1"/>
        <v>19.723865877712029</v>
      </c>
      <c r="G311" s="97">
        <v>609.29999999999995</v>
      </c>
      <c r="H311" s="97">
        <v>1.4179999999999999</v>
      </c>
    </row>
    <row r="312" spans="2:8" x14ac:dyDescent="0.25">
      <c r="B312" s="97">
        <v>1.4239999999999999</v>
      </c>
      <c r="C312" s="98">
        <v>-10</v>
      </c>
      <c r="D312" s="98">
        <v>13.89</v>
      </c>
      <c r="E312" s="100">
        <v>5.008E-2</v>
      </c>
      <c r="F312" s="100">
        <f t="shared" si="1"/>
        <v>19.968051118210862</v>
      </c>
      <c r="G312" s="97">
        <v>612</v>
      </c>
      <c r="H312" s="97">
        <v>1.4239999999999999</v>
      </c>
    </row>
    <row r="313" spans="2:8" x14ac:dyDescent="0.25">
      <c r="B313" s="97">
        <v>1.43</v>
      </c>
      <c r="C313" s="98">
        <v>-5</v>
      </c>
      <c r="D313" s="98">
        <v>13.89</v>
      </c>
      <c r="E313" s="99">
        <v>4.9480000000000003E-2</v>
      </c>
      <c r="F313" s="99">
        <f t="shared" si="1"/>
        <v>20.210185933710587</v>
      </c>
      <c r="G313" s="97">
        <v>614.6</v>
      </c>
      <c r="H313" s="97">
        <v>1.43</v>
      </c>
    </row>
    <row r="314" spans="2:8" x14ac:dyDescent="0.25">
      <c r="B314" s="97">
        <v>1.4359999999999999</v>
      </c>
      <c r="C314" s="98">
        <v>0</v>
      </c>
      <c r="D314" s="98">
        <v>13.89</v>
      </c>
      <c r="E314" s="100">
        <v>4.8890000000000003E-2</v>
      </c>
      <c r="F314" s="100">
        <f t="shared" si="1"/>
        <v>20.45408058907752</v>
      </c>
      <c r="G314" s="97">
        <v>617.29999999999995</v>
      </c>
      <c r="H314" s="97">
        <v>1.4359999999999999</v>
      </c>
    </row>
    <row r="315" spans="2:8" x14ac:dyDescent="0.25">
      <c r="B315" s="97">
        <v>1.4410000000000001</v>
      </c>
      <c r="C315" s="98">
        <v>5</v>
      </c>
      <c r="D315" s="98">
        <v>13.89</v>
      </c>
      <c r="E315" s="99">
        <v>4.8320000000000002E-2</v>
      </c>
      <c r="F315" s="99">
        <f t="shared" si="1"/>
        <v>20.695364238410594</v>
      </c>
      <c r="G315" s="97">
        <v>619.9</v>
      </c>
      <c r="H315" s="97">
        <v>1.4410000000000001</v>
      </c>
    </row>
    <row r="316" spans="2:8" x14ac:dyDescent="0.25">
      <c r="B316" s="97">
        <v>1.4470000000000001</v>
      </c>
      <c r="C316" s="98">
        <v>10</v>
      </c>
      <c r="D316" s="98">
        <v>13.89</v>
      </c>
      <c r="E316" s="100">
        <v>4.7759999999999997E-2</v>
      </c>
      <c r="F316" s="100">
        <f t="shared" si="1"/>
        <v>20.938023450586265</v>
      </c>
      <c r="G316" s="97">
        <v>622.5</v>
      </c>
      <c r="H316" s="97">
        <v>1.4470000000000001</v>
      </c>
    </row>
    <row r="317" spans="2:8" x14ac:dyDescent="0.25">
      <c r="B317" s="97">
        <v>1.452</v>
      </c>
      <c r="C317" s="98">
        <v>15</v>
      </c>
      <c r="D317" s="98">
        <v>13.89</v>
      </c>
      <c r="E317" s="99">
        <v>4.7219999999999998E-2</v>
      </c>
      <c r="F317" s="99">
        <f t="shared" si="1"/>
        <v>21.17746717492588</v>
      </c>
      <c r="G317" s="97">
        <v>625.1</v>
      </c>
      <c r="H317" s="97">
        <v>1.452</v>
      </c>
    </row>
    <row r="318" spans="2:8" x14ac:dyDescent="0.25">
      <c r="B318" s="97">
        <v>1.458</v>
      </c>
      <c r="C318" s="98">
        <v>20</v>
      </c>
      <c r="D318" s="98">
        <v>13.89</v>
      </c>
      <c r="E318" s="100">
        <v>4.6699999999999998E-2</v>
      </c>
      <c r="F318" s="100">
        <f t="shared" si="1"/>
        <v>21.413276231263385</v>
      </c>
      <c r="G318" s="97">
        <v>627.79999999999995</v>
      </c>
      <c r="H318" s="97">
        <v>1.458</v>
      </c>
    </row>
    <row r="319" spans="2:8" x14ac:dyDescent="0.25">
      <c r="B319" s="97">
        <v>1.4630000000000001</v>
      </c>
      <c r="C319" s="98">
        <v>25</v>
      </c>
      <c r="D319" s="98">
        <v>13.89</v>
      </c>
      <c r="E319" s="99">
        <v>4.6179999999999999E-2</v>
      </c>
      <c r="F319" s="99">
        <f t="shared" si="1"/>
        <v>21.654395842355999</v>
      </c>
      <c r="G319" s="97">
        <v>630.4</v>
      </c>
      <c r="H319" s="97">
        <v>1.4630000000000001</v>
      </c>
    </row>
    <row r="320" spans="2:8" x14ac:dyDescent="0.25">
      <c r="B320" s="97">
        <v>1.4690000000000001</v>
      </c>
      <c r="C320" s="98">
        <v>30</v>
      </c>
      <c r="D320" s="98">
        <v>13.89</v>
      </c>
      <c r="E320" s="100">
        <v>4.5679999999999998E-2</v>
      </c>
      <c r="F320" s="100">
        <f t="shared" si="1"/>
        <v>21.891418563922944</v>
      </c>
      <c r="G320" s="97">
        <v>633</v>
      </c>
      <c r="H320" s="97">
        <v>1.4690000000000001</v>
      </c>
    </row>
    <row r="321" spans="2:8" x14ac:dyDescent="0.25">
      <c r="B321" s="97">
        <v>1.474</v>
      </c>
      <c r="C321" s="98">
        <v>35</v>
      </c>
      <c r="D321" s="98">
        <v>13.89</v>
      </c>
      <c r="E321" s="99">
        <v>4.5190000000000001E-2</v>
      </c>
      <c r="F321" s="99">
        <f t="shared" si="1"/>
        <v>22.128789555211331</v>
      </c>
      <c r="G321" s="97">
        <v>635.6</v>
      </c>
      <c r="H321" s="97">
        <v>1.474</v>
      </c>
    </row>
    <row r="322" spans="2:8" x14ac:dyDescent="0.25">
      <c r="B322" s="97">
        <v>1.4790000000000001</v>
      </c>
      <c r="C322" s="98">
        <v>40</v>
      </c>
      <c r="D322" s="98">
        <v>13.89</v>
      </c>
      <c r="E322" s="100">
        <v>4.471E-2</v>
      </c>
      <c r="F322" s="100">
        <f t="shared" si="1"/>
        <v>22.366360993066429</v>
      </c>
      <c r="G322" s="97">
        <v>638.1</v>
      </c>
      <c r="H322" s="97">
        <v>1.4790000000000001</v>
      </c>
    </row>
    <row r="323" spans="2:8" x14ac:dyDescent="0.25">
      <c r="B323" s="97">
        <v>1.484</v>
      </c>
      <c r="C323" s="98">
        <v>45</v>
      </c>
      <c r="D323" s="98">
        <v>13.89</v>
      </c>
      <c r="E323" s="99">
        <v>4.4240000000000002E-2</v>
      </c>
      <c r="F323" s="99">
        <f t="shared" si="1"/>
        <v>22.603978300180831</v>
      </c>
      <c r="G323" s="97">
        <v>640.70000000000005</v>
      </c>
      <c r="H323" s="97">
        <v>1.484</v>
      </c>
    </row>
    <row r="324" spans="2:8" x14ac:dyDescent="0.25">
      <c r="B324" s="97">
        <v>1.4890000000000001</v>
      </c>
      <c r="C324" s="98">
        <v>50</v>
      </c>
      <c r="D324" s="98">
        <v>13.89</v>
      </c>
      <c r="E324" s="100">
        <v>4.3790000000000003E-2</v>
      </c>
      <c r="F324" s="100">
        <f t="shared" si="1"/>
        <v>22.836263987211691</v>
      </c>
      <c r="G324" s="97">
        <v>643.29999999999995</v>
      </c>
      <c r="H324" s="97">
        <v>1.4890000000000001</v>
      </c>
    </row>
    <row r="325" spans="2:8" x14ac:dyDescent="0.25">
      <c r="B325" s="97">
        <v>1.494</v>
      </c>
      <c r="C325" s="98">
        <v>55</v>
      </c>
      <c r="D325" s="98">
        <v>13.89</v>
      </c>
      <c r="E325" s="99">
        <v>4.3339999999999997E-2</v>
      </c>
      <c r="F325" s="99">
        <f t="shared" si="1"/>
        <v>23.073373327180434</v>
      </c>
      <c r="G325" s="97">
        <v>645.9</v>
      </c>
      <c r="H325" s="97">
        <v>1.494</v>
      </c>
    </row>
    <row r="326" spans="2:8" x14ac:dyDescent="0.25">
      <c r="B326" s="97">
        <v>1.4990000000000001</v>
      </c>
      <c r="C326" s="98">
        <v>60</v>
      </c>
      <c r="D326" s="98">
        <v>13.89</v>
      </c>
      <c r="E326" s="100">
        <v>4.2900000000000001E-2</v>
      </c>
      <c r="F326" s="100">
        <f t="shared" si="1"/>
        <v>23.310023310023311</v>
      </c>
      <c r="G326" s="97">
        <v>648.5</v>
      </c>
      <c r="H326" s="97">
        <v>1.4990000000000001</v>
      </c>
    </row>
    <row r="327" spans="2:8" x14ac:dyDescent="0.25">
      <c r="B327" s="97">
        <v>1.504</v>
      </c>
      <c r="C327" s="98">
        <v>65</v>
      </c>
      <c r="D327" s="98">
        <v>13.89</v>
      </c>
      <c r="E327" s="99">
        <v>4.2479999999999997E-2</v>
      </c>
      <c r="F327" s="99">
        <f t="shared" si="1"/>
        <v>23.540489642184561</v>
      </c>
      <c r="G327" s="97">
        <v>651.1</v>
      </c>
      <c r="H327" s="97">
        <v>1.504</v>
      </c>
    </row>
    <row r="328" spans="2:8" x14ac:dyDescent="0.25">
      <c r="B328" s="97">
        <v>1.5089999999999999</v>
      </c>
      <c r="C328" s="98">
        <v>70</v>
      </c>
      <c r="D328" s="98">
        <v>13.89</v>
      </c>
      <c r="E328" s="100">
        <v>4.206E-2</v>
      </c>
      <c r="F328" s="100">
        <f t="shared" si="1"/>
        <v>23.775558725630052</v>
      </c>
      <c r="G328" s="97">
        <v>653.70000000000005</v>
      </c>
      <c r="H328" s="97">
        <v>1.5089999999999999</v>
      </c>
    </row>
    <row r="329" spans="2:8" x14ac:dyDescent="0.25">
      <c r="B329" s="97">
        <v>1.514</v>
      </c>
      <c r="C329" s="98">
        <v>75</v>
      </c>
      <c r="D329" s="98">
        <v>13.89</v>
      </c>
      <c r="E329" s="99">
        <v>4.165E-2</v>
      </c>
      <c r="F329" s="99">
        <f t="shared" si="1"/>
        <v>24.009603841536617</v>
      </c>
      <c r="G329" s="97">
        <v>656.2</v>
      </c>
      <c r="H329" s="97">
        <v>1.514</v>
      </c>
    </row>
    <row r="330" spans="2:8" x14ac:dyDescent="0.25">
      <c r="B330" s="97">
        <v>1.5189999999999999</v>
      </c>
      <c r="C330" s="98">
        <v>80</v>
      </c>
      <c r="D330" s="98">
        <v>13.89</v>
      </c>
      <c r="E330" s="100">
        <v>4.1250000000000002E-2</v>
      </c>
      <c r="F330" s="100">
        <f t="shared" si="1"/>
        <v>24.242424242424242</v>
      </c>
      <c r="G330" s="97">
        <v>658.8</v>
      </c>
      <c r="H330" s="97">
        <v>1.5189999999999999</v>
      </c>
    </row>
    <row r="331" spans="2:8" x14ac:dyDescent="0.25">
      <c r="B331" s="97">
        <v>1.524</v>
      </c>
      <c r="C331" s="98">
        <v>85</v>
      </c>
      <c r="D331" s="98">
        <v>13.89</v>
      </c>
      <c r="E331" s="99">
        <v>4.0849999999999997E-2</v>
      </c>
      <c r="F331" s="99">
        <f t="shared" si="1"/>
        <v>24.479804161566708</v>
      </c>
      <c r="G331" s="97">
        <v>661.4</v>
      </c>
      <c r="H331" s="97">
        <v>1.524</v>
      </c>
    </row>
    <row r="332" spans="2:8" x14ac:dyDescent="0.25">
      <c r="B332" s="97">
        <v>1.528</v>
      </c>
      <c r="C332" s="98">
        <v>90</v>
      </c>
      <c r="D332" s="98">
        <v>13.89</v>
      </c>
      <c r="E332" s="100">
        <v>4.0469999999999999E-2</v>
      </c>
      <c r="F332" s="100">
        <f t="shared" si="1"/>
        <v>24.709661477637756</v>
      </c>
      <c r="G332" s="97">
        <v>664</v>
      </c>
      <c r="H332" s="97">
        <v>1.528</v>
      </c>
    </row>
    <row r="333" spans="2:8" x14ac:dyDescent="0.25">
      <c r="B333" s="97">
        <v>1.5329999999999999</v>
      </c>
      <c r="C333" s="98">
        <v>95</v>
      </c>
      <c r="D333" s="98">
        <v>13.89</v>
      </c>
      <c r="E333" s="99">
        <v>4.0090000000000001E-2</v>
      </c>
      <c r="F333" s="99">
        <f t="shared" si="1"/>
        <v>24.943876278373658</v>
      </c>
      <c r="G333" s="97">
        <v>666.6</v>
      </c>
      <c r="H333" s="97">
        <v>1.5329999999999999</v>
      </c>
    </row>
    <row r="334" spans="2:8" x14ac:dyDescent="0.25">
      <c r="B334" s="97">
        <v>1.538</v>
      </c>
      <c r="C334" s="98">
        <v>100</v>
      </c>
      <c r="D334" s="98">
        <v>13.89</v>
      </c>
      <c r="E334" s="100">
        <v>3.9719999999999998E-2</v>
      </c>
      <c r="F334" s="100">
        <f t="shared" si="1"/>
        <v>25.176233635448138</v>
      </c>
      <c r="G334" s="97">
        <v>669.2</v>
      </c>
      <c r="H334" s="97">
        <v>1.538</v>
      </c>
    </row>
    <row r="335" spans="2:8" x14ac:dyDescent="0.25">
      <c r="B335" s="97">
        <v>1.542</v>
      </c>
      <c r="C335" s="98">
        <v>105</v>
      </c>
      <c r="D335" s="98">
        <v>13.89</v>
      </c>
      <c r="E335" s="99">
        <v>3.9359999999999999E-2</v>
      </c>
      <c r="F335" s="99">
        <f t="shared" si="1"/>
        <v>25.40650406504065</v>
      </c>
      <c r="G335" s="97">
        <v>671.7</v>
      </c>
      <c r="H335" s="97">
        <v>1.542</v>
      </c>
    </row>
    <row r="336" spans="2:8" x14ac:dyDescent="0.25">
      <c r="B336" s="97">
        <v>1.5469999999999999</v>
      </c>
      <c r="C336" s="98">
        <v>110</v>
      </c>
      <c r="D336" s="98">
        <v>13.89</v>
      </c>
      <c r="E336" s="100">
        <v>3.9E-2</v>
      </c>
      <c r="F336" s="100">
        <f t="shared" si="1"/>
        <v>25.641025641025642</v>
      </c>
      <c r="G336" s="97">
        <v>674.3</v>
      </c>
      <c r="H336" s="97">
        <v>1.5469999999999999</v>
      </c>
    </row>
    <row r="337" spans="1:8" x14ac:dyDescent="0.25">
      <c r="B337" s="97">
        <v>1.5509999999999999</v>
      </c>
      <c r="C337" s="98">
        <v>115</v>
      </c>
      <c r="D337" s="98">
        <v>13.89</v>
      </c>
      <c r="E337" s="99">
        <v>3.8649999999999997E-2</v>
      </c>
      <c r="F337" s="99">
        <f t="shared" si="1"/>
        <v>25.873221216041401</v>
      </c>
      <c r="G337" s="97">
        <v>676.9</v>
      </c>
      <c r="H337" s="97">
        <v>1.5509999999999999</v>
      </c>
    </row>
    <row r="338" spans="1:8" x14ac:dyDescent="0.25">
      <c r="B338" s="97">
        <v>1.556</v>
      </c>
      <c r="C338" s="98">
        <v>120</v>
      </c>
      <c r="D338" s="98">
        <v>13.89</v>
      </c>
      <c r="E338" s="100">
        <v>3.8309999999999997E-2</v>
      </c>
      <c r="F338" s="100">
        <f t="shared" si="1"/>
        <v>26.102845210127906</v>
      </c>
      <c r="G338" s="97">
        <v>679.5</v>
      </c>
      <c r="H338" s="97">
        <v>1.556</v>
      </c>
    </row>
    <row r="339" spans="1:8" x14ac:dyDescent="0.25">
      <c r="B339" s="97">
        <v>1.56</v>
      </c>
      <c r="C339" s="98">
        <v>125</v>
      </c>
      <c r="D339" s="98">
        <v>13.89</v>
      </c>
      <c r="E339" s="99">
        <v>3.7969999999999997E-2</v>
      </c>
      <c r="F339" s="99">
        <f t="shared" si="1"/>
        <v>26.336581511719782</v>
      </c>
      <c r="G339" s="97">
        <v>682.1</v>
      </c>
      <c r="H339" s="97">
        <v>1.56</v>
      </c>
    </row>
    <row r="340" spans="1:8" x14ac:dyDescent="0.25">
      <c r="B340" s="97">
        <v>1.5649999999999999</v>
      </c>
      <c r="C340" s="98">
        <v>130</v>
      </c>
      <c r="D340" s="98">
        <v>13.89</v>
      </c>
      <c r="E340" s="100">
        <v>3.764E-2</v>
      </c>
      <c r="F340" s="100">
        <f t="shared" si="1"/>
        <v>26.567481402763018</v>
      </c>
      <c r="G340" s="97">
        <v>684.7</v>
      </c>
      <c r="H340" s="97">
        <v>1.5649999999999999</v>
      </c>
    </row>
    <row r="341" spans="1:8" x14ac:dyDescent="0.25">
      <c r="B341" s="97">
        <v>1.569</v>
      </c>
      <c r="C341" s="98">
        <v>135</v>
      </c>
      <c r="D341" s="98">
        <v>13.89</v>
      </c>
      <c r="E341" s="99">
        <v>3.7319999999999999E-2</v>
      </c>
      <c r="F341" s="99">
        <f t="shared" si="1"/>
        <v>26.79528403001072</v>
      </c>
      <c r="G341" s="97">
        <v>687.3</v>
      </c>
      <c r="H341" s="97">
        <v>1.569</v>
      </c>
    </row>
    <row r="342" spans="1:8" x14ac:dyDescent="0.25">
      <c r="B342" s="97">
        <v>1.5740000000000001</v>
      </c>
      <c r="C342" s="98">
        <v>140</v>
      </c>
      <c r="D342" s="98">
        <v>13.89</v>
      </c>
      <c r="E342" s="100">
        <v>3.6999999999999998E-2</v>
      </c>
      <c r="F342" s="100">
        <f t="shared" si="1"/>
        <v>27.027027027027028</v>
      </c>
      <c r="G342" s="97">
        <v>689.9</v>
      </c>
      <c r="H342" s="97">
        <v>1.5740000000000001</v>
      </c>
    </row>
    <row r="343" spans="1:8" x14ac:dyDescent="0.25">
      <c r="B343" s="97">
        <v>1.5780000000000001</v>
      </c>
      <c r="C343" s="98">
        <v>145</v>
      </c>
      <c r="D343" s="98">
        <v>13.89</v>
      </c>
      <c r="E343" s="99">
        <v>3.6679999999999997E-2</v>
      </c>
      <c r="F343" s="99">
        <f t="shared" si="1"/>
        <v>27.262813522355508</v>
      </c>
      <c r="G343" s="97">
        <v>692.5</v>
      </c>
      <c r="H343" s="97">
        <v>1.5780000000000001</v>
      </c>
    </row>
    <row r="344" spans="1:8" x14ac:dyDescent="0.25">
      <c r="B344" s="97">
        <v>1.5820000000000001</v>
      </c>
      <c r="C344" s="98">
        <v>150</v>
      </c>
      <c r="D344" s="98">
        <v>13.89</v>
      </c>
      <c r="E344" s="100">
        <v>3.6380000000000003E-2</v>
      </c>
      <c r="F344" s="100">
        <f t="shared" si="1"/>
        <v>27.487630566245187</v>
      </c>
      <c r="G344" s="97">
        <v>695.2</v>
      </c>
      <c r="H344" s="97">
        <v>1.5820000000000001</v>
      </c>
    </row>
    <row r="345" spans="1:8" x14ac:dyDescent="0.25">
      <c r="B345" s="97">
        <v>1.587</v>
      </c>
      <c r="C345" t="s">
        <v>374</v>
      </c>
      <c r="D345" t="s">
        <v>374</v>
      </c>
      <c r="E345" t="s">
        <v>374</v>
      </c>
      <c r="F345" t="s">
        <v>374</v>
      </c>
      <c r="G345" t="s">
        <v>374</v>
      </c>
      <c r="H345" t="s">
        <v>374</v>
      </c>
    </row>
    <row r="347" spans="1:8" x14ac:dyDescent="0.25">
      <c r="A347" s="92">
        <v>14</v>
      </c>
      <c r="B347" s="93" t="s">
        <v>266</v>
      </c>
      <c r="C347" s="93" t="s">
        <v>375</v>
      </c>
      <c r="E347" s="93" t="s">
        <v>376</v>
      </c>
      <c r="F347" s="93" t="s">
        <v>377</v>
      </c>
      <c r="G347" s="93" t="s">
        <v>378</v>
      </c>
      <c r="H347" s="93" t="s">
        <v>266</v>
      </c>
    </row>
    <row r="348" spans="1:8" x14ac:dyDescent="0.25">
      <c r="B348" s="104">
        <v>-1.4015</v>
      </c>
      <c r="C348" s="104">
        <v>-29.7</v>
      </c>
      <c r="E348" s="104">
        <v>-553.64</v>
      </c>
      <c r="F348" s="104">
        <v>-18.843</v>
      </c>
      <c r="G348" s="104">
        <v>-602.46</v>
      </c>
      <c r="H348" s="104">
        <v>-1.4015</v>
      </c>
    </row>
    <row r="349" spans="1:8" x14ac:dyDescent="0.25">
      <c r="B349" s="104">
        <v>1.4134</v>
      </c>
      <c r="C349" s="104">
        <v>-20</v>
      </c>
      <c r="E349" s="104">
        <v>557.55999999999995</v>
      </c>
      <c r="F349" s="104">
        <v>19.32</v>
      </c>
      <c r="G349" s="104">
        <v>607.61</v>
      </c>
      <c r="H349" s="104">
        <v>1.4134</v>
      </c>
    </row>
    <row r="350" spans="1:8" x14ac:dyDescent="0.25">
      <c r="B350" s="104">
        <v>1.4369000000000001</v>
      </c>
      <c r="C350" s="104">
        <v>0</v>
      </c>
      <c r="E350" s="104">
        <v>565.59</v>
      </c>
      <c r="F350" s="104">
        <v>20.291</v>
      </c>
      <c r="G350" s="104">
        <v>618.16</v>
      </c>
      <c r="H350" s="104">
        <v>1.4369000000000001</v>
      </c>
    </row>
    <row r="351" spans="1:8" x14ac:dyDescent="0.25">
      <c r="B351" s="104">
        <v>1.4591000000000001</v>
      </c>
      <c r="C351" s="104">
        <v>20</v>
      </c>
      <c r="E351" s="104">
        <v>573.58000000000004</v>
      </c>
      <c r="F351" s="104">
        <v>21.245000000000001</v>
      </c>
      <c r="G351" s="104">
        <v>628.61</v>
      </c>
      <c r="H351" s="104">
        <v>1.4591000000000001</v>
      </c>
    </row>
    <row r="352" spans="1:8" x14ac:dyDescent="0.25">
      <c r="B352" s="104">
        <v>1.4803999999999999</v>
      </c>
      <c r="C352" s="104">
        <v>40</v>
      </c>
      <c r="E352" s="104">
        <v>581.52</v>
      </c>
      <c r="F352" s="104">
        <v>22.187999999999999</v>
      </c>
      <c r="G352" s="104">
        <v>639.01</v>
      </c>
      <c r="H352" s="104">
        <v>1.4803999999999999</v>
      </c>
    </row>
    <row r="353" spans="1:8" x14ac:dyDescent="0.25">
      <c r="B353" s="104">
        <v>1.5006999999999999</v>
      </c>
      <c r="C353" s="104">
        <v>60</v>
      </c>
      <c r="E353" s="104">
        <v>589.46</v>
      </c>
      <c r="F353" s="104">
        <v>23.123999999999999</v>
      </c>
      <c r="G353" s="104">
        <v>649.37</v>
      </c>
      <c r="H353" s="104">
        <v>1.5006999999999999</v>
      </c>
    </row>
    <row r="354" spans="1:8" x14ac:dyDescent="0.25">
      <c r="B354" s="104">
        <v>1.5202</v>
      </c>
      <c r="C354" s="104">
        <v>80</v>
      </c>
      <c r="E354" s="104">
        <v>597.4</v>
      </c>
      <c r="F354" s="104">
        <v>24.053000000000001</v>
      </c>
      <c r="G354" s="104">
        <v>659.72</v>
      </c>
      <c r="H354" s="104">
        <v>1.5202</v>
      </c>
    </row>
    <row r="355" spans="1:8" x14ac:dyDescent="0.25">
      <c r="B355" s="104">
        <v>1.5390999999999999</v>
      </c>
      <c r="C355" s="104">
        <v>100</v>
      </c>
      <c r="E355" s="104">
        <v>605.37</v>
      </c>
      <c r="F355" s="104">
        <v>24.978000000000002</v>
      </c>
      <c r="G355" s="104">
        <v>670.08</v>
      </c>
      <c r="H355" s="104">
        <v>1.5390999999999999</v>
      </c>
    </row>
    <row r="356" spans="1:8" x14ac:dyDescent="0.25">
      <c r="B356" s="104">
        <v>1.5572999999999999</v>
      </c>
      <c r="C356" s="104">
        <v>120</v>
      </c>
      <c r="E356" s="104">
        <v>613.37</v>
      </c>
      <c r="F356" s="104">
        <v>25.899000000000001</v>
      </c>
      <c r="G356" s="104">
        <v>680.47</v>
      </c>
      <c r="H356" s="104">
        <v>1.5572999999999999</v>
      </c>
    </row>
    <row r="357" spans="1:8" x14ac:dyDescent="0.25">
      <c r="B357" s="104">
        <v>1.575</v>
      </c>
      <c r="C357" s="104">
        <v>140</v>
      </c>
      <c r="E357" s="104">
        <v>621.41999999999996</v>
      </c>
      <c r="F357" s="104">
        <v>26.812000000000001</v>
      </c>
      <c r="G357" s="104">
        <v>690.89</v>
      </c>
      <c r="H357" s="104">
        <v>1.575</v>
      </c>
    </row>
    <row r="358" spans="1:8" x14ac:dyDescent="0.25">
      <c r="B358" s="104">
        <v>1.5922000000000001</v>
      </c>
      <c r="C358" s="104">
        <v>160</v>
      </c>
      <c r="E358" s="104">
        <v>629.54</v>
      </c>
      <c r="F358" s="104">
        <v>27.731999999999999</v>
      </c>
      <c r="G358" s="104">
        <v>701.38</v>
      </c>
      <c r="H358" s="104">
        <v>1.5922000000000001</v>
      </c>
    </row>
    <row r="359" spans="1:8" x14ac:dyDescent="0.25">
      <c r="B359" s="104">
        <v>1.609</v>
      </c>
      <c r="C359" s="104">
        <v>180</v>
      </c>
      <c r="E359" s="104">
        <v>637.72</v>
      </c>
      <c r="F359" s="104">
        <v>28.645</v>
      </c>
      <c r="G359" s="104">
        <v>711.93</v>
      </c>
      <c r="H359" s="104">
        <v>1.609</v>
      </c>
    </row>
    <row r="360" spans="1:8" x14ac:dyDescent="0.25">
      <c r="B360" s="104">
        <v>1.6253</v>
      </c>
      <c r="C360" s="104">
        <v>200</v>
      </c>
      <c r="E360" s="104">
        <v>645.98</v>
      </c>
      <c r="F360" s="104">
        <v>29.556999999999999</v>
      </c>
      <c r="G360" s="104">
        <v>722.55</v>
      </c>
      <c r="H360" s="104">
        <v>1.6253</v>
      </c>
    </row>
    <row r="361" spans="1:8" x14ac:dyDescent="0.25">
      <c r="B361" s="104">
        <v>1.6413</v>
      </c>
      <c r="C361" s="104">
        <v>220</v>
      </c>
      <c r="E361" s="104">
        <v>654.30999999999995</v>
      </c>
      <c r="F361" s="104">
        <v>30.466999999999999</v>
      </c>
      <c r="G361" s="104">
        <v>733.25</v>
      </c>
      <c r="H361" s="104">
        <v>1.6413</v>
      </c>
    </row>
    <row r="362" spans="1:8" x14ac:dyDescent="0.25">
      <c r="B362" s="104">
        <v>1.659</v>
      </c>
      <c r="C362" t="s">
        <v>374</v>
      </c>
      <c r="E362" t="s">
        <v>374</v>
      </c>
      <c r="F362" t="s">
        <v>374</v>
      </c>
      <c r="G362" t="s">
        <v>374</v>
      </c>
      <c r="H362" t="s">
        <v>374</v>
      </c>
    </row>
    <row r="365" spans="1:8" ht="15.75" x14ac:dyDescent="0.25">
      <c r="A365" s="92">
        <v>15</v>
      </c>
      <c r="C365" s="95" t="s">
        <v>390</v>
      </c>
      <c r="E365" s="102"/>
      <c r="F365" s="102"/>
      <c r="G365" s="105"/>
    </row>
    <row r="366" spans="1:8" x14ac:dyDescent="0.25">
      <c r="B366" s="96" t="s">
        <v>266</v>
      </c>
      <c r="C366" s="96" t="s">
        <v>375</v>
      </c>
      <c r="D366" s="96" t="s">
        <v>380</v>
      </c>
      <c r="E366" s="96" t="s">
        <v>381</v>
      </c>
      <c r="F366" s="96" t="s">
        <v>382</v>
      </c>
      <c r="G366" s="96" t="s">
        <v>265</v>
      </c>
      <c r="H366" s="96" t="s">
        <v>266</v>
      </c>
    </row>
    <row r="367" spans="1:8" x14ac:dyDescent="0.25">
      <c r="B367" s="96" t="s">
        <v>383</v>
      </c>
      <c r="C367" s="96" t="s">
        <v>384</v>
      </c>
      <c r="D367" s="96" t="s">
        <v>385</v>
      </c>
      <c r="E367" s="96" t="s">
        <v>386</v>
      </c>
      <c r="F367" s="96" t="s">
        <v>387</v>
      </c>
      <c r="G367" s="96" t="s">
        <v>388</v>
      </c>
      <c r="H367" s="96" t="s">
        <v>383</v>
      </c>
    </row>
    <row r="368" spans="1:8" x14ac:dyDescent="0.25">
      <c r="B368" s="97">
        <v>-2.53742E-2</v>
      </c>
      <c r="C368" s="98">
        <v>-50</v>
      </c>
      <c r="D368" s="98">
        <v>15</v>
      </c>
      <c r="E368" s="99">
        <v>43.503055000000003</v>
      </c>
      <c r="F368" s="99">
        <f t="shared" ref="F368:F408" si="2">1/E368</f>
        <v>2.298689138038696E-2</v>
      </c>
      <c r="G368" s="97">
        <v>-10.50188</v>
      </c>
      <c r="H368" s="97">
        <v>-2.53742E-2</v>
      </c>
    </row>
    <row r="369" spans="2:8" x14ac:dyDescent="0.25">
      <c r="B369" s="97">
        <v>-1.2641599999999999E-2</v>
      </c>
      <c r="C369" s="98">
        <v>-45</v>
      </c>
      <c r="D369" s="98">
        <v>15</v>
      </c>
      <c r="E369" s="99">
        <v>43.295282</v>
      </c>
      <c r="F369" s="99">
        <f t="shared" si="2"/>
        <v>2.3097204910225554E-2</v>
      </c>
      <c r="G369" s="97">
        <v>-5.2539340000000001</v>
      </c>
      <c r="H369" s="97">
        <v>-1.2641599999999999E-2</v>
      </c>
    </row>
    <row r="370" spans="2:8" x14ac:dyDescent="0.25">
      <c r="B370" s="97">
        <v>-1.9300000000000002E-5</v>
      </c>
      <c r="C370" s="98">
        <v>-40</v>
      </c>
      <c r="D370" s="98">
        <v>15</v>
      </c>
      <c r="E370" s="99">
        <v>43.085597</v>
      </c>
      <c r="F370" s="99">
        <f t="shared" si="2"/>
        <v>2.3209612251630169E-2</v>
      </c>
      <c r="G370" s="97">
        <v>1.1662E-2</v>
      </c>
      <c r="H370" s="97">
        <v>-1.9300000000000002E-5</v>
      </c>
    </row>
    <row r="371" spans="2:8" x14ac:dyDescent="0.25">
      <c r="B371" s="97">
        <v>1.24946E-2</v>
      </c>
      <c r="C371" s="98">
        <v>-35</v>
      </c>
      <c r="D371" s="98">
        <v>15</v>
      </c>
      <c r="E371" s="99">
        <v>42.874017000000002</v>
      </c>
      <c r="F371" s="99">
        <f t="shared" si="2"/>
        <v>2.332414991578699E-2</v>
      </c>
      <c r="G371" s="97">
        <v>5.2946280000000003</v>
      </c>
      <c r="H371" s="97">
        <v>1.24946E-2</v>
      </c>
    </row>
    <row r="372" spans="2:8" x14ac:dyDescent="0.25">
      <c r="B372" s="97">
        <v>2.49021E-2</v>
      </c>
      <c r="C372" s="98">
        <v>-30</v>
      </c>
      <c r="D372" s="98">
        <v>15</v>
      </c>
      <c r="E372" s="99">
        <v>42.660550999999998</v>
      </c>
      <c r="F372" s="99">
        <f t="shared" si="2"/>
        <v>2.34408599176321E-2</v>
      </c>
      <c r="G372" s="97">
        <v>10.594707</v>
      </c>
      <c r="H372" s="97">
        <v>2.49021E-2</v>
      </c>
    </row>
    <row r="373" spans="2:8" x14ac:dyDescent="0.25">
      <c r="B373" s="97">
        <v>1.3958542</v>
      </c>
      <c r="C373" s="98">
        <v>-25</v>
      </c>
      <c r="D373" s="98">
        <v>15</v>
      </c>
      <c r="E373" s="99">
        <v>5.6273999999999998E-2</v>
      </c>
      <c r="F373" s="99">
        <f t="shared" si="2"/>
        <v>17.77019582755802</v>
      </c>
      <c r="G373" s="97">
        <v>603.41288099999997</v>
      </c>
      <c r="H373" s="97">
        <v>1.3958542</v>
      </c>
    </row>
    <row r="374" spans="2:8" x14ac:dyDescent="0.25">
      <c r="B374" s="97">
        <v>1.4020969000000001</v>
      </c>
      <c r="C374" s="98">
        <v>-20</v>
      </c>
      <c r="D374" s="98">
        <v>15</v>
      </c>
      <c r="E374" s="100">
        <v>5.5553999999999999E-2</v>
      </c>
      <c r="F374" s="100">
        <f t="shared" si="2"/>
        <v>18.000504014112394</v>
      </c>
      <c r="G374" s="97">
        <v>606.14195099999995</v>
      </c>
      <c r="H374" s="97">
        <v>1.4020969000000001</v>
      </c>
    </row>
    <row r="375" spans="2:8" x14ac:dyDescent="0.25">
      <c r="B375" s="97">
        <v>1.4082264</v>
      </c>
      <c r="C375" s="98">
        <v>-15</v>
      </c>
      <c r="D375" s="98">
        <v>15</v>
      </c>
      <c r="E375" s="99">
        <v>5.4855000000000001E-2</v>
      </c>
      <c r="F375" s="99">
        <f t="shared" si="2"/>
        <v>18.229878771306172</v>
      </c>
      <c r="G375" s="97">
        <v>608.85218499999996</v>
      </c>
      <c r="H375" s="97">
        <v>1.4082264</v>
      </c>
    </row>
    <row r="376" spans="2:8" x14ac:dyDescent="0.25">
      <c r="B376" s="97">
        <v>1.4142497999999999</v>
      </c>
      <c r="C376" s="98">
        <v>-10</v>
      </c>
      <c r="D376" s="98">
        <v>15</v>
      </c>
      <c r="E376" s="100">
        <v>5.4177999999999997E-2</v>
      </c>
      <c r="F376" s="100">
        <f t="shared" si="2"/>
        <v>18.457676547676179</v>
      </c>
      <c r="G376" s="97">
        <v>611.54562299999998</v>
      </c>
      <c r="H376" s="97">
        <v>1.4142497999999999</v>
      </c>
    </row>
    <row r="377" spans="2:8" x14ac:dyDescent="0.25">
      <c r="B377" s="97">
        <v>1.4201735</v>
      </c>
      <c r="C377" s="98">
        <v>-5</v>
      </c>
      <c r="D377" s="98">
        <v>15</v>
      </c>
      <c r="E377" s="99">
        <v>5.3520999999999999E-2</v>
      </c>
      <c r="F377" s="99">
        <f t="shared" si="2"/>
        <v>18.684254778498161</v>
      </c>
      <c r="G377" s="97">
        <v>614.22410300000001</v>
      </c>
      <c r="H377" s="97">
        <v>1.4201735</v>
      </c>
    </row>
    <row r="378" spans="2:8" x14ac:dyDescent="0.25">
      <c r="B378" s="97">
        <v>1.4260033000000001</v>
      </c>
      <c r="C378" s="98">
        <v>0</v>
      </c>
      <c r="D378" s="98">
        <v>15</v>
      </c>
      <c r="E378" s="100">
        <v>5.2881999999999998E-2</v>
      </c>
      <c r="F378" s="100">
        <f t="shared" si="2"/>
        <v>18.910026095836013</v>
      </c>
      <c r="G378" s="97">
        <v>616.88928299999998</v>
      </c>
      <c r="H378" s="97">
        <v>1.4260033000000001</v>
      </c>
    </row>
    <row r="379" spans="2:8" x14ac:dyDescent="0.25">
      <c r="B379" s="97">
        <v>1.4317445</v>
      </c>
      <c r="C379" s="98">
        <v>5</v>
      </c>
      <c r="D379" s="98">
        <v>15</v>
      </c>
      <c r="E379" s="99">
        <v>5.2260000000000001E-2</v>
      </c>
      <c r="F379" s="99">
        <f t="shared" si="2"/>
        <v>19.135093761959432</v>
      </c>
      <c r="G379" s="97">
        <v>619.54266199999995</v>
      </c>
      <c r="H379" s="97">
        <v>1.4317445</v>
      </c>
    </row>
    <row r="380" spans="2:8" x14ac:dyDescent="0.25">
      <c r="B380" s="97">
        <v>1.4374019</v>
      </c>
      <c r="C380" s="98">
        <v>10</v>
      </c>
      <c r="D380" s="98">
        <v>15</v>
      </c>
      <c r="E380" s="100">
        <v>5.1656000000000001E-2</v>
      </c>
      <c r="F380" s="100">
        <f t="shared" si="2"/>
        <v>19.358835372463993</v>
      </c>
      <c r="G380" s="97">
        <v>622.18559900000002</v>
      </c>
      <c r="H380" s="97">
        <v>1.4374019</v>
      </c>
    </row>
    <row r="381" spans="2:8" x14ac:dyDescent="0.25">
      <c r="B381" s="97">
        <v>1.4429799000000001</v>
      </c>
      <c r="C381" s="98">
        <v>15</v>
      </c>
      <c r="D381" s="98">
        <v>15</v>
      </c>
      <c r="E381" s="99">
        <v>5.1067000000000001E-2</v>
      </c>
      <c r="F381" s="99">
        <f t="shared" si="2"/>
        <v>19.582117610198367</v>
      </c>
      <c r="G381" s="97">
        <v>624.81932900000004</v>
      </c>
      <c r="H381" s="97">
        <v>1.4429799000000001</v>
      </c>
    </row>
    <row r="382" spans="2:8" x14ac:dyDescent="0.25">
      <c r="B382" s="97">
        <v>1.4484824999999999</v>
      </c>
      <c r="C382" s="98">
        <v>20</v>
      </c>
      <c r="D382" s="98">
        <v>15</v>
      </c>
      <c r="E382" s="100">
        <v>5.0493000000000003E-2</v>
      </c>
      <c r="F382" s="100">
        <f t="shared" si="2"/>
        <v>19.804725407482223</v>
      </c>
      <c r="G382" s="97">
        <v>627.444976</v>
      </c>
      <c r="H382" s="97">
        <v>1.4484824999999999</v>
      </c>
    </row>
    <row r="383" spans="2:8" x14ac:dyDescent="0.25">
      <c r="B383" s="97">
        <v>1.4539134</v>
      </c>
      <c r="C383" s="98">
        <v>25</v>
      </c>
      <c r="D383" s="98">
        <v>15</v>
      </c>
      <c r="E383" s="99">
        <v>4.9933999999999999E-2</v>
      </c>
      <c r="F383" s="99">
        <f t="shared" si="2"/>
        <v>20.026434894060159</v>
      </c>
      <c r="G383" s="97">
        <v>630.06356300000004</v>
      </c>
      <c r="H383" s="97">
        <v>1.4539134</v>
      </c>
    </row>
    <row r="384" spans="2:8" x14ac:dyDescent="0.25">
      <c r="B384" s="97">
        <v>1.459276</v>
      </c>
      <c r="C384" s="98">
        <v>30</v>
      </c>
      <c r="D384" s="98">
        <v>15</v>
      </c>
      <c r="E384" s="100">
        <v>4.9389000000000002E-2</v>
      </c>
      <c r="F384" s="100">
        <f t="shared" si="2"/>
        <v>20.247423515357671</v>
      </c>
      <c r="G384" s="97">
        <v>632.67602499999998</v>
      </c>
      <c r="H384" s="97">
        <v>1.459276</v>
      </c>
    </row>
    <row r="385" spans="2:8" x14ac:dyDescent="0.25">
      <c r="B385" s="97">
        <v>1.4645733999999999</v>
      </c>
      <c r="C385" s="98">
        <v>35</v>
      </c>
      <c r="D385" s="98">
        <v>15</v>
      </c>
      <c r="E385" s="99">
        <v>4.8856999999999998E-2</v>
      </c>
      <c r="F385" s="99">
        <f t="shared" si="2"/>
        <v>20.467896104959372</v>
      </c>
      <c r="G385" s="97">
        <v>635.28321900000003</v>
      </c>
      <c r="H385" s="97">
        <v>1.4645733999999999</v>
      </c>
    </row>
    <row r="386" spans="2:8" x14ac:dyDescent="0.25">
      <c r="B386" s="97">
        <v>1.4698085000000001</v>
      </c>
      <c r="C386" s="98">
        <v>40</v>
      </c>
      <c r="D386" s="98">
        <v>15</v>
      </c>
      <c r="E386" s="100">
        <v>4.8336999999999998E-2</v>
      </c>
      <c r="F386" s="100">
        <f t="shared" si="2"/>
        <v>20.688085731427272</v>
      </c>
      <c r="G386" s="97">
        <v>637.88592600000004</v>
      </c>
      <c r="H386" s="97">
        <v>1.4698085000000001</v>
      </c>
    </row>
    <row r="387" spans="2:8" x14ac:dyDescent="0.25">
      <c r="B387" s="97">
        <v>1.4749839</v>
      </c>
      <c r="C387" s="98">
        <v>45</v>
      </c>
      <c r="D387" s="98">
        <v>15</v>
      </c>
      <c r="E387" s="99">
        <v>4.7829000000000003E-2</v>
      </c>
      <c r="F387" s="99">
        <f t="shared" si="2"/>
        <v>20.907817432938174</v>
      </c>
      <c r="G387" s="97">
        <v>640.48486800000001</v>
      </c>
      <c r="H387" s="97">
        <v>1.4749839</v>
      </c>
    </row>
    <row r="388" spans="2:8" x14ac:dyDescent="0.25">
      <c r="B388" s="97">
        <v>1.4801023</v>
      </c>
      <c r="C388" s="98">
        <v>50</v>
      </c>
      <c r="D388" s="98">
        <v>15</v>
      </c>
      <c r="E388" s="100">
        <v>4.7333E-2</v>
      </c>
      <c r="F388" s="100">
        <f t="shared" si="2"/>
        <v>21.126909344432004</v>
      </c>
      <c r="G388" s="97">
        <v>643.08070499999997</v>
      </c>
      <c r="H388" s="97">
        <v>1.4801023</v>
      </c>
    </row>
    <row r="389" spans="2:8" x14ac:dyDescent="0.25">
      <c r="B389" s="97">
        <v>1.4851657</v>
      </c>
      <c r="C389" s="98">
        <v>55</v>
      </c>
      <c r="D389" s="98">
        <v>15</v>
      </c>
      <c r="E389" s="99">
        <v>4.6849000000000002E-2</v>
      </c>
      <c r="F389" s="99">
        <f t="shared" si="2"/>
        <v>21.345172789173727</v>
      </c>
      <c r="G389" s="97">
        <v>645.67404499999998</v>
      </c>
      <c r="H389" s="97">
        <v>1.4851657</v>
      </c>
    </row>
    <row r="390" spans="2:8" x14ac:dyDescent="0.25">
      <c r="B390" s="97">
        <v>1.4901765</v>
      </c>
      <c r="C390" s="98">
        <v>60</v>
      </c>
      <c r="D390" s="98">
        <v>15</v>
      </c>
      <c r="E390" s="100">
        <v>4.6373999999999999E-2</v>
      </c>
      <c r="F390" s="100">
        <f t="shared" si="2"/>
        <v>21.563807305817917</v>
      </c>
      <c r="G390" s="97">
        <v>648.26545099999998</v>
      </c>
      <c r="H390" s="97">
        <v>1.4901765</v>
      </c>
    </row>
    <row r="391" spans="2:8" x14ac:dyDescent="0.25">
      <c r="B391" s="97">
        <v>1.4951365999999999</v>
      </c>
      <c r="C391" s="98">
        <v>65</v>
      </c>
      <c r="D391" s="98">
        <v>15</v>
      </c>
      <c r="E391" s="99">
        <v>4.5911E-2</v>
      </c>
      <c r="F391" s="99">
        <f t="shared" si="2"/>
        <v>21.781272461937228</v>
      </c>
      <c r="G391" s="97">
        <v>650.85544100000004</v>
      </c>
      <c r="H391" s="97">
        <v>1.4951365999999999</v>
      </c>
    </row>
    <row r="392" spans="2:8" x14ac:dyDescent="0.25">
      <c r="B392" s="97">
        <v>1.5000479</v>
      </c>
      <c r="C392" s="98">
        <v>70</v>
      </c>
      <c r="D392" s="98">
        <v>15</v>
      </c>
      <c r="E392" s="100">
        <v>4.5456999999999997E-2</v>
      </c>
      <c r="F392" s="100">
        <f t="shared" si="2"/>
        <v>21.998812064148538</v>
      </c>
      <c r="G392" s="97">
        <v>653.44449499999996</v>
      </c>
      <c r="H392" s="97">
        <v>1.5000479</v>
      </c>
    </row>
    <row r="393" spans="2:8" x14ac:dyDescent="0.25">
      <c r="B393" s="97">
        <v>1.5049121000000001</v>
      </c>
      <c r="C393" s="98">
        <v>75</v>
      </c>
      <c r="D393" s="98">
        <v>15</v>
      </c>
      <c r="E393" s="99">
        <v>4.5012000000000003E-2</v>
      </c>
      <c r="F393" s="99">
        <f t="shared" si="2"/>
        <v>22.216297876121921</v>
      </c>
      <c r="G393" s="97">
        <v>656.03305799999998</v>
      </c>
      <c r="H393" s="97">
        <v>1.5049121000000001</v>
      </c>
    </row>
    <row r="394" spans="2:8" x14ac:dyDescent="0.25">
      <c r="B394" s="97">
        <v>1.5097309000000001</v>
      </c>
      <c r="C394" s="98">
        <v>80</v>
      </c>
      <c r="D394" s="98">
        <v>15</v>
      </c>
      <c r="E394" s="100">
        <v>4.4576999999999999E-2</v>
      </c>
      <c r="F394" s="100">
        <f t="shared" si="2"/>
        <v>22.433093299235033</v>
      </c>
      <c r="G394" s="97">
        <v>658.62154299999997</v>
      </c>
      <c r="H394" s="97">
        <v>1.5097309000000001</v>
      </c>
    </row>
    <row r="395" spans="2:8" x14ac:dyDescent="0.25">
      <c r="B395" s="97">
        <v>1.5145058</v>
      </c>
      <c r="C395" s="98">
        <v>85</v>
      </c>
      <c r="D395" s="98">
        <v>15</v>
      </c>
      <c r="E395" s="99">
        <v>4.4151000000000003E-2</v>
      </c>
      <c r="F395" s="99">
        <f t="shared" si="2"/>
        <v>22.649543611696224</v>
      </c>
      <c r="G395" s="97">
        <v>661.21033399999999</v>
      </c>
      <c r="H395" s="97">
        <v>1.5145058</v>
      </c>
    </row>
    <row r="396" spans="2:8" x14ac:dyDescent="0.25">
      <c r="B396" s="97">
        <v>1.5192383</v>
      </c>
      <c r="C396" s="98">
        <v>90</v>
      </c>
      <c r="D396" s="98">
        <v>15</v>
      </c>
      <c r="E396" s="100">
        <v>4.3734000000000002E-2</v>
      </c>
      <c r="F396" s="100">
        <f t="shared" si="2"/>
        <v>22.865505099007635</v>
      </c>
      <c r="G396" s="97">
        <v>663.79978800000004</v>
      </c>
      <c r="H396" s="97">
        <v>1.5192383</v>
      </c>
    </row>
    <row r="397" spans="2:8" x14ac:dyDescent="0.25">
      <c r="B397" s="97">
        <v>1.5239297000000001</v>
      </c>
      <c r="C397" s="98">
        <v>95</v>
      </c>
      <c r="D397" s="98">
        <v>15</v>
      </c>
      <c r="E397" s="99">
        <v>4.3324000000000001E-2</v>
      </c>
      <c r="F397" s="99">
        <f t="shared" si="2"/>
        <v>23.081894561905642</v>
      </c>
      <c r="G397" s="97">
        <v>666.39023699999996</v>
      </c>
      <c r="H397" s="97">
        <v>1.5239297000000001</v>
      </c>
    </row>
    <row r="398" spans="2:8" x14ac:dyDescent="0.25">
      <c r="B398" s="97">
        <v>1.5285814</v>
      </c>
      <c r="C398" s="98">
        <v>100</v>
      </c>
      <c r="D398" s="98">
        <v>15</v>
      </c>
      <c r="E398" s="100">
        <v>4.2923000000000003E-2</v>
      </c>
      <c r="F398" s="100">
        <f t="shared" si="2"/>
        <v>23.297532791277401</v>
      </c>
      <c r="G398" s="97">
        <v>668.98199399999999</v>
      </c>
      <c r="H398" s="97">
        <v>1.5285814</v>
      </c>
    </row>
    <row r="399" spans="2:8" x14ac:dyDescent="0.25">
      <c r="B399" s="97">
        <v>1.5331945</v>
      </c>
      <c r="C399" s="98">
        <v>105</v>
      </c>
      <c r="D399" s="98">
        <v>15</v>
      </c>
      <c r="E399" s="99">
        <v>4.2529999999999998E-2</v>
      </c>
      <c r="F399" s="99">
        <f t="shared" si="2"/>
        <v>23.512814483893724</v>
      </c>
      <c r="G399" s="97">
        <v>671.57534899999996</v>
      </c>
      <c r="H399" s="97">
        <v>1.5331945</v>
      </c>
    </row>
    <row r="400" spans="2:8" x14ac:dyDescent="0.25">
      <c r="B400" s="97">
        <v>1.5377703</v>
      </c>
      <c r="C400" s="98">
        <v>110</v>
      </c>
      <c r="D400" s="98">
        <v>15</v>
      </c>
      <c r="E400" s="100">
        <v>4.2144000000000001E-2</v>
      </c>
      <c r="F400" s="100">
        <f t="shared" si="2"/>
        <v>23.728170083523157</v>
      </c>
      <c r="G400" s="97">
        <v>674.17057499999999</v>
      </c>
      <c r="H400" s="97">
        <v>1.5377703</v>
      </c>
    </row>
    <row r="401" spans="1:8" x14ac:dyDescent="0.25">
      <c r="B401" s="97">
        <v>1.5423098</v>
      </c>
      <c r="C401" s="98">
        <v>115</v>
      </c>
      <c r="D401" s="98">
        <v>15</v>
      </c>
      <c r="E401" s="99">
        <v>4.1764999999999997E-2</v>
      </c>
      <c r="F401" s="99">
        <f t="shared" si="2"/>
        <v>23.943493355680594</v>
      </c>
      <c r="G401" s="97">
        <v>676.76792699999999</v>
      </c>
      <c r="H401" s="97">
        <v>1.5423098</v>
      </c>
    </row>
    <row r="402" spans="1:8" x14ac:dyDescent="0.25">
      <c r="B402" s="97">
        <v>1.5468141</v>
      </c>
      <c r="C402" s="98">
        <v>120</v>
      </c>
      <c r="D402" s="98">
        <v>15</v>
      </c>
      <c r="E402" s="100">
        <v>4.1392999999999999E-2</v>
      </c>
      <c r="F402" s="100">
        <f t="shared" si="2"/>
        <v>24.158674171961444</v>
      </c>
      <c r="G402" s="97">
        <v>679.36764400000004</v>
      </c>
      <c r="H402" s="97">
        <v>1.5468141</v>
      </c>
    </row>
    <row r="403" spans="1:8" x14ac:dyDescent="0.25">
      <c r="B403" s="97">
        <v>1.5512840999999999</v>
      </c>
      <c r="C403" s="98">
        <v>125</v>
      </c>
      <c r="D403" s="98">
        <v>15</v>
      </c>
      <c r="E403" s="99">
        <v>4.1029000000000003E-2</v>
      </c>
      <c r="F403" s="99">
        <f t="shared" si="2"/>
        <v>24.373004460259814</v>
      </c>
      <c r="G403" s="97">
        <v>681.96995300000003</v>
      </c>
      <c r="H403" s="97">
        <v>1.5512840999999999</v>
      </c>
    </row>
    <row r="404" spans="1:8" x14ac:dyDescent="0.25">
      <c r="B404" s="97">
        <v>1.5557208</v>
      </c>
      <c r="C404" s="98">
        <v>130</v>
      </c>
      <c r="D404" s="98">
        <v>15</v>
      </c>
      <c r="E404" s="100">
        <v>4.0670999999999999E-2</v>
      </c>
      <c r="F404" s="100">
        <f t="shared" si="2"/>
        <v>24.58754395023481</v>
      </c>
      <c r="G404" s="97">
        <v>684.57506599999999</v>
      </c>
      <c r="H404" s="97">
        <v>1.5557208</v>
      </c>
    </row>
    <row r="405" spans="1:8" x14ac:dyDescent="0.25">
      <c r="B405" s="97">
        <v>1.5601252000000001</v>
      </c>
      <c r="C405" s="98">
        <v>135</v>
      </c>
      <c r="D405" s="98">
        <v>15</v>
      </c>
      <c r="E405" s="99">
        <v>4.0319000000000001E-2</v>
      </c>
      <c r="F405" s="99">
        <f t="shared" si="2"/>
        <v>24.80220243557628</v>
      </c>
      <c r="G405" s="97">
        <v>687.18318299999999</v>
      </c>
      <c r="H405" s="97">
        <v>1.5601252000000001</v>
      </c>
    </row>
    <row r="406" spans="1:8" x14ac:dyDescent="0.25">
      <c r="B406" s="97">
        <v>1.5644979999999999</v>
      </c>
      <c r="C406" s="98">
        <v>140</v>
      </c>
      <c r="D406" s="98">
        <v>15</v>
      </c>
      <c r="E406" s="100">
        <v>3.9974000000000003E-2</v>
      </c>
      <c r="F406" s="100">
        <f t="shared" si="2"/>
        <v>25.01626056937009</v>
      </c>
      <c r="G406" s="97">
        <v>689.79449299999999</v>
      </c>
      <c r="H406" s="97">
        <v>1.5644979999999999</v>
      </c>
    </row>
    <row r="407" spans="1:8" x14ac:dyDescent="0.25">
      <c r="B407" s="97">
        <v>1.5688401999999999</v>
      </c>
      <c r="C407" s="98">
        <v>145</v>
      </c>
      <c r="D407" s="98">
        <v>15</v>
      </c>
      <c r="E407" s="99">
        <v>3.9634999999999997E-2</v>
      </c>
      <c r="F407" s="99">
        <f t="shared" si="2"/>
        <v>25.230225810521006</v>
      </c>
      <c r="G407" s="97">
        <v>692.409175</v>
      </c>
      <c r="H407" s="97">
        <v>1.5688401999999999</v>
      </c>
    </row>
    <row r="408" spans="1:8" x14ac:dyDescent="0.25">
      <c r="B408" s="97">
        <v>1.5731523000000001</v>
      </c>
      <c r="C408" s="98">
        <v>150</v>
      </c>
      <c r="D408" s="98">
        <v>15</v>
      </c>
      <c r="E408" s="100">
        <v>3.9301000000000003E-2</v>
      </c>
      <c r="F408" s="100">
        <f t="shared" si="2"/>
        <v>25.444645174423041</v>
      </c>
      <c r="G408" s="97">
        <v>695.02739699999995</v>
      </c>
      <c r="H408" s="97">
        <v>1.5731523000000001</v>
      </c>
    </row>
    <row r="409" spans="1:8" x14ac:dyDescent="0.25">
      <c r="B409" s="97">
        <v>1.5780000000000001</v>
      </c>
      <c r="C409" t="s">
        <v>374</v>
      </c>
      <c r="D409" t="s">
        <v>374</v>
      </c>
      <c r="E409" t="s">
        <v>374</v>
      </c>
      <c r="F409" t="s">
        <v>374</v>
      </c>
      <c r="G409" t="s">
        <v>374</v>
      </c>
      <c r="H409" t="s">
        <v>374</v>
      </c>
    </row>
    <row r="412" spans="1:8" x14ac:dyDescent="0.25">
      <c r="A412" s="92">
        <v>16</v>
      </c>
      <c r="B412" s="93" t="s">
        <v>266</v>
      </c>
      <c r="C412" s="93" t="s">
        <v>375</v>
      </c>
      <c r="E412" s="93" t="s">
        <v>376</v>
      </c>
      <c r="F412" s="93" t="s">
        <v>377</v>
      </c>
      <c r="G412" s="93" t="s">
        <v>378</v>
      </c>
      <c r="H412" s="93" t="s">
        <v>266</v>
      </c>
    </row>
    <row r="413" spans="1:8" x14ac:dyDescent="0.25">
      <c r="B413" s="104">
        <v>-1.3904000000000001</v>
      </c>
      <c r="C413" s="104">
        <v>-24.9</v>
      </c>
      <c r="E413" s="104">
        <v>-554.92999999999995</v>
      </c>
      <c r="F413" s="104">
        <v>-16.631</v>
      </c>
      <c r="G413" s="104">
        <v>-604.16999999999996</v>
      </c>
      <c r="H413" s="104">
        <v>-1.3904000000000001</v>
      </c>
    </row>
    <row r="414" spans="1:8" x14ac:dyDescent="0.25">
      <c r="B414" s="104">
        <v>1.3964000000000001</v>
      </c>
      <c r="C414" s="104">
        <v>-20</v>
      </c>
      <c r="E414" s="104">
        <v>556.94000000000005</v>
      </c>
      <c r="F414" s="104">
        <v>16.844000000000001</v>
      </c>
      <c r="G414" s="104">
        <v>606.82000000000005</v>
      </c>
      <c r="H414" s="104">
        <v>1.3964000000000001</v>
      </c>
    </row>
    <row r="415" spans="1:8" x14ac:dyDescent="0.25">
      <c r="B415" s="104">
        <v>1.4201999999999999</v>
      </c>
      <c r="C415" s="104">
        <v>0</v>
      </c>
      <c r="E415" s="104">
        <v>565.08000000000004</v>
      </c>
      <c r="F415" s="104">
        <v>17.704000000000001</v>
      </c>
      <c r="G415" s="104">
        <v>617.5</v>
      </c>
      <c r="H415" s="104">
        <v>1.4201999999999999</v>
      </c>
    </row>
    <row r="416" spans="1:8" x14ac:dyDescent="0.25">
      <c r="B416" s="104">
        <v>1.4426000000000001</v>
      </c>
      <c r="C416" s="104">
        <v>20</v>
      </c>
      <c r="E416" s="104">
        <v>573.14</v>
      </c>
      <c r="F416" s="104">
        <v>18.545000000000002</v>
      </c>
      <c r="G416" s="104">
        <v>628.04999999999995</v>
      </c>
      <c r="H416" s="104">
        <v>1.4426000000000001</v>
      </c>
    </row>
    <row r="417" spans="1:8" x14ac:dyDescent="0.25">
      <c r="B417" s="104">
        <v>1.464</v>
      </c>
      <c r="C417" s="104">
        <v>40</v>
      </c>
      <c r="E417" s="104">
        <v>581.16</v>
      </c>
      <c r="F417" s="104">
        <v>19.376000000000001</v>
      </c>
      <c r="G417" s="104">
        <v>638.53</v>
      </c>
      <c r="H417" s="104">
        <v>1.464</v>
      </c>
    </row>
    <row r="418" spans="1:8" x14ac:dyDescent="0.25">
      <c r="B418" s="104">
        <v>1.4844999999999999</v>
      </c>
      <c r="C418" s="104">
        <v>60</v>
      </c>
      <c r="E418" s="104">
        <v>589.15</v>
      </c>
      <c r="F418" s="104">
        <v>20.2</v>
      </c>
      <c r="G418" s="104">
        <v>648.96</v>
      </c>
      <c r="H418" s="104">
        <v>1.4844999999999999</v>
      </c>
    </row>
    <row r="419" spans="1:8" x14ac:dyDescent="0.25">
      <c r="B419" s="104">
        <v>1.5042</v>
      </c>
      <c r="C419" s="104">
        <v>80</v>
      </c>
      <c r="E419" s="104">
        <v>597.14</v>
      </c>
      <c r="F419" s="104">
        <v>21.016999999999999</v>
      </c>
      <c r="G419" s="104">
        <v>659.36</v>
      </c>
      <c r="H419" s="104">
        <v>1.5042</v>
      </c>
    </row>
    <row r="420" spans="1:8" x14ac:dyDescent="0.25">
      <c r="B420" s="104">
        <v>1.5230999999999999</v>
      </c>
      <c r="C420" s="104">
        <v>100</v>
      </c>
      <c r="E420" s="104">
        <v>605.14</v>
      </c>
      <c r="F420" s="104">
        <v>21.829000000000001</v>
      </c>
      <c r="G420" s="104">
        <v>669.77</v>
      </c>
      <c r="H420" s="104">
        <v>1.5230999999999999</v>
      </c>
    </row>
    <row r="421" spans="1:8" x14ac:dyDescent="0.25">
      <c r="B421" s="104">
        <v>1.5414000000000001</v>
      </c>
      <c r="C421" s="104">
        <v>120</v>
      </c>
      <c r="E421" s="104">
        <v>613.16999999999996</v>
      </c>
      <c r="F421" s="104">
        <v>22.637</v>
      </c>
      <c r="G421" s="104">
        <v>680.19</v>
      </c>
      <c r="H421" s="104">
        <v>1.5414000000000001</v>
      </c>
    </row>
    <row r="422" spans="1:8" x14ac:dyDescent="0.25">
      <c r="B422" s="104">
        <v>1.5590999999999999</v>
      </c>
      <c r="C422" s="104">
        <v>140</v>
      </c>
      <c r="E422" s="104">
        <v>621.25</v>
      </c>
      <c r="F422" s="104">
        <v>23.437999999999999</v>
      </c>
      <c r="G422" s="104">
        <v>690.64</v>
      </c>
      <c r="H422" s="104">
        <v>1.5590999999999999</v>
      </c>
    </row>
    <row r="423" spans="1:8" x14ac:dyDescent="0.25">
      <c r="B423" s="104">
        <v>1.5764</v>
      </c>
      <c r="C423" s="104">
        <v>160</v>
      </c>
      <c r="E423" s="104">
        <v>629.38</v>
      </c>
      <c r="F423" s="104">
        <v>24.245000000000001</v>
      </c>
      <c r="G423" s="104">
        <v>701.16</v>
      </c>
      <c r="H423" s="104">
        <v>1.5764</v>
      </c>
    </row>
    <row r="424" spans="1:8" x14ac:dyDescent="0.25">
      <c r="B424" s="104">
        <v>1.5931999999999999</v>
      </c>
      <c r="C424" s="104">
        <v>180</v>
      </c>
      <c r="E424" s="104">
        <v>637.57000000000005</v>
      </c>
      <c r="F424" s="104">
        <v>25.045999999999999</v>
      </c>
      <c r="G424" s="104">
        <v>711.73</v>
      </c>
      <c r="H424" s="104">
        <v>1.5931999999999999</v>
      </c>
    </row>
    <row r="425" spans="1:8" x14ac:dyDescent="0.25">
      <c r="B425" s="104">
        <v>1.6094999999999999</v>
      </c>
      <c r="C425" s="104">
        <v>200</v>
      </c>
      <c r="E425" s="104">
        <v>645.84</v>
      </c>
      <c r="F425" s="104">
        <v>25.844999999999999</v>
      </c>
      <c r="G425" s="104">
        <v>722.37</v>
      </c>
      <c r="H425" s="104">
        <v>1.6094999999999999</v>
      </c>
    </row>
    <row r="426" spans="1:8" x14ac:dyDescent="0.25">
      <c r="B426" s="104">
        <v>1.6254999999999999</v>
      </c>
      <c r="C426" s="104">
        <v>220</v>
      </c>
      <c r="E426" s="104">
        <v>654.19000000000005</v>
      </c>
      <c r="F426" s="104">
        <v>26.643000000000001</v>
      </c>
      <c r="G426" s="104">
        <v>733.08</v>
      </c>
      <c r="H426" s="104">
        <v>1.6254999999999999</v>
      </c>
    </row>
    <row r="427" spans="1:8" x14ac:dyDescent="0.25">
      <c r="B427" s="104">
        <v>1.6419999999999999</v>
      </c>
      <c r="C427" t="s">
        <v>374</v>
      </c>
      <c r="E427" t="s">
        <v>374</v>
      </c>
      <c r="F427" t="s">
        <v>374</v>
      </c>
      <c r="G427" t="s">
        <v>374</v>
      </c>
      <c r="H427" t="s">
        <v>374</v>
      </c>
    </row>
    <row r="430" spans="1:8" x14ac:dyDescent="0.25">
      <c r="A430" s="92">
        <v>18</v>
      </c>
      <c r="B430" s="93" t="s">
        <v>266</v>
      </c>
      <c r="C430" s="93" t="s">
        <v>375</v>
      </c>
      <c r="E430" s="93" t="s">
        <v>376</v>
      </c>
      <c r="F430" s="93" t="s">
        <v>377</v>
      </c>
      <c r="G430" s="93" t="s">
        <v>378</v>
      </c>
      <c r="H430" s="93" t="s">
        <v>266</v>
      </c>
    </row>
    <row r="431" spans="1:8" x14ac:dyDescent="0.25">
      <c r="B431" s="104">
        <v>-1.3805000000000001</v>
      </c>
      <c r="C431" s="104">
        <v>-20.6</v>
      </c>
      <c r="E431" s="104">
        <v>-556.08000000000004</v>
      </c>
      <c r="F431" s="104">
        <v>-14.895</v>
      </c>
      <c r="G431" s="104">
        <v>-605.69000000000005</v>
      </c>
      <c r="H431" s="104">
        <v>-1.3805000000000001</v>
      </c>
    </row>
    <row r="432" spans="1:8" x14ac:dyDescent="0.25">
      <c r="B432" s="104">
        <v>1.3812</v>
      </c>
      <c r="C432" s="104">
        <v>-20</v>
      </c>
      <c r="E432" s="104">
        <v>556.32000000000005</v>
      </c>
      <c r="F432" s="104">
        <v>14.917999999999999</v>
      </c>
      <c r="G432" s="104">
        <v>606.01</v>
      </c>
      <c r="H432" s="104">
        <v>1.3812</v>
      </c>
    </row>
    <row r="433" spans="1:8" x14ac:dyDescent="0.25">
      <c r="B433" s="104">
        <v>1.4053</v>
      </c>
      <c r="C433" s="104">
        <v>0</v>
      </c>
      <c r="E433" s="104">
        <v>564.55999999999995</v>
      </c>
      <c r="F433" s="104">
        <v>15.688000000000001</v>
      </c>
      <c r="G433" s="104">
        <v>616.80999999999995</v>
      </c>
      <c r="H433" s="104">
        <v>1.4053</v>
      </c>
    </row>
    <row r="434" spans="1:8" x14ac:dyDescent="0.25">
      <c r="B434" s="104">
        <v>1.4279999999999999</v>
      </c>
      <c r="C434" s="104">
        <v>20</v>
      </c>
      <c r="E434" s="104">
        <v>572.71</v>
      </c>
      <c r="F434" s="104">
        <v>16.445</v>
      </c>
      <c r="G434" s="104">
        <v>627.49</v>
      </c>
      <c r="H434" s="104">
        <v>1.4279999999999999</v>
      </c>
    </row>
    <row r="435" spans="1:8" x14ac:dyDescent="0.25">
      <c r="B435" s="104">
        <v>1.4496</v>
      </c>
      <c r="C435" s="104">
        <v>40</v>
      </c>
      <c r="E435" s="104">
        <v>580.79</v>
      </c>
      <c r="F435" s="104">
        <v>17.189</v>
      </c>
      <c r="G435" s="104">
        <v>638.04999999999995</v>
      </c>
      <c r="H435" s="104">
        <v>1.4496</v>
      </c>
    </row>
    <row r="436" spans="1:8" x14ac:dyDescent="0.25">
      <c r="B436" s="104">
        <v>1.4702</v>
      </c>
      <c r="C436" s="104">
        <v>60</v>
      </c>
      <c r="E436" s="104">
        <v>588.84</v>
      </c>
      <c r="F436" s="104">
        <v>17.925000000000001</v>
      </c>
      <c r="G436" s="104">
        <v>648.54999999999995</v>
      </c>
      <c r="H436" s="104">
        <v>1.4702</v>
      </c>
    </row>
    <row r="437" spans="1:8" x14ac:dyDescent="0.25">
      <c r="B437" s="104">
        <v>1.4899</v>
      </c>
      <c r="C437" s="104">
        <v>80</v>
      </c>
      <c r="E437" s="104">
        <v>596.87</v>
      </c>
      <c r="F437" s="104">
        <v>18.655000000000001</v>
      </c>
      <c r="G437" s="104">
        <v>659.01</v>
      </c>
      <c r="H437" s="104">
        <v>1.4899</v>
      </c>
    </row>
    <row r="438" spans="1:8" x14ac:dyDescent="0.25">
      <c r="B438" s="104">
        <v>1.5088999999999999</v>
      </c>
      <c r="C438" s="104">
        <v>100</v>
      </c>
      <c r="E438" s="104">
        <v>604.91</v>
      </c>
      <c r="F438" s="104">
        <v>19.379000000000001</v>
      </c>
      <c r="G438" s="104">
        <v>669.46</v>
      </c>
      <c r="H438" s="104">
        <v>1.5088999999999999</v>
      </c>
    </row>
    <row r="439" spans="1:8" x14ac:dyDescent="0.25">
      <c r="B439" s="104">
        <v>1.5273000000000001</v>
      </c>
      <c r="C439" s="104">
        <v>120</v>
      </c>
      <c r="E439" s="104">
        <v>612.97</v>
      </c>
      <c r="F439" s="104">
        <v>20.100000000000001</v>
      </c>
      <c r="G439" s="104">
        <v>679.92</v>
      </c>
      <c r="H439" s="104">
        <v>1.5273000000000001</v>
      </c>
    </row>
    <row r="440" spans="1:8" x14ac:dyDescent="0.25">
      <c r="B440" s="104">
        <v>1.5450999999999999</v>
      </c>
      <c r="C440" s="104">
        <v>140</v>
      </c>
      <c r="E440" s="104">
        <v>621.07000000000005</v>
      </c>
      <c r="F440" s="104">
        <v>20.818000000000001</v>
      </c>
      <c r="G440" s="104">
        <v>690.41</v>
      </c>
      <c r="H440" s="104">
        <v>1.5450999999999999</v>
      </c>
    </row>
    <row r="441" spans="1:8" x14ac:dyDescent="0.25">
      <c r="B441" s="104">
        <v>1.5624</v>
      </c>
      <c r="C441" s="104">
        <v>160</v>
      </c>
      <c r="E441" s="104">
        <v>629.22</v>
      </c>
      <c r="F441" s="104">
        <v>21.533000000000001</v>
      </c>
      <c r="G441" s="104">
        <v>700.94</v>
      </c>
      <c r="H441" s="104">
        <v>1.5624</v>
      </c>
    </row>
    <row r="442" spans="1:8" x14ac:dyDescent="0.25">
      <c r="B442" s="104">
        <v>1.5791999999999999</v>
      </c>
      <c r="C442" s="104">
        <v>180</v>
      </c>
      <c r="E442" s="104">
        <v>637.42999999999995</v>
      </c>
      <c r="F442" s="104">
        <v>22.247</v>
      </c>
      <c r="G442" s="104">
        <v>711.53</v>
      </c>
      <c r="H442" s="104">
        <v>1.5791999999999999</v>
      </c>
    </row>
    <row r="443" spans="1:8" x14ac:dyDescent="0.25">
      <c r="B443" s="104">
        <v>1.5955999999999999</v>
      </c>
      <c r="C443" s="104">
        <v>200</v>
      </c>
      <c r="E443" s="104">
        <v>645.71</v>
      </c>
      <c r="F443" s="104">
        <v>22.957999999999998</v>
      </c>
      <c r="G443" s="104">
        <v>722.18</v>
      </c>
      <c r="H443" s="104">
        <v>1.5955999999999999</v>
      </c>
    </row>
    <row r="444" spans="1:8" x14ac:dyDescent="0.25">
      <c r="B444" s="104">
        <v>1.6115999999999999</v>
      </c>
      <c r="C444" s="104">
        <v>220</v>
      </c>
      <c r="E444" s="104">
        <v>654.07000000000005</v>
      </c>
      <c r="F444" s="104">
        <v>23.669</v>
      </c>
      <c r="G444" s="104">
        <v>732.91</v>
      </c>
      <c r="H444" s="104">
        <v>1.6115999999999999</v>
      </c>
    </row>
    <row r="445" spans="1:8" x14ac:dyDescent="0.25">
      <c r="B445" s="104">
        <v>1.6279999999999999</v>
      </c>
      <c r="C445" t="s">
        <v>374</v>
      </c>
      <c r="E445" t="s">
        <v>374</v>
      </c>
      <c r="F445" t="s">
        <v>374</v>
      </c>
      <c r="G445" t="s">
        <v>374</v>
      </c>
      <c r="H445" t="s">
        <v>374</v>
      </c>
    </row>
    <row r="448" spans="1:8" ht="15.75" x14ac:dyDescent="0.25">
      <c r="A448" s="92">
        <v>18.279</v>
      </c>
      <c r="C448" s="95" t="s">
        <v>391</v>
      </c>
      <c r="E448" s="102"/>
      <c r="G448" s="102"/>
    </row>
    <row r="449" spans="2:8" x14ac:dyDescent="0.25">
      <c r="B449" s="96" t="s">
        <v>266</v>
      </c>
      <c r="C449" s="96" t="s">
        <v>375</v>
      </c>
      <c r="D449" s="96" t="s">
        <v>380</v>
      </c>
      <c r="E449" s="96" t="s">
        <v>381</v>
      </c>
      <c r="F449" s="96" t="s">
        <v>382</v>
      </c>
      <c r="G449" s="96" t="s">
        <v>265</v>
      </c>
      <c r="H449" s="96" t="s">
        <v>266</v>
      </c>
    </row>
    <row r="450" spans="2:8" x14ac:dyDescent="0.25">
      <c r="B450" s="96" t="s">
        <v>383</v>
      </c>
      <c r="C450" s="96" t="s">
        <v>384</v>
      </c>
      <c r="D450" s="96" t="s">
        <v>385</v>
      </c>
      <c r="E450" s="96" t="s">
        <v>386</v>
      </c>
      <c r="F450" s="96" t="s">
        <v>387</v>
      </c>
      <c r="G450" s="96" t="s">
        <v>388</v>
      </c>
      <c r="H450" s="96" t="s">
        <v>383</v>
      </c>
    </row>
    <row r="451" spans="2:8" x14ac:dyDescent="0.25">
      <c r="B451" s="97">
        <v>-2.5389999999999999E-2</v>
      </c>
      <c r="C451" s="98">
        <v>-50</v>
      </c>
      <c r="D451" s="98">
        <v>18.28</v>
      </c>
      <c r="E451" s="99">
        <v>43.5</v>
      </c>
      <c r="F451" s="99">
        <f t="shared" ref="F451:F491" si="3">1/E451</f>
        <v>2.2988505747126436E-2</v>
      </c>
      <c r="G451" s="97">
        <v>-10.49</v>
      </c>
      <c r="H451" s="97">
        <v>-2.5389999999999999E-2</v>
      </c>
    </row>
    <row r="452" spans="2:8" x14ac:dyDescent="0.25">
      <c r="B452" s="97">
        <v>-1.2659999999999999E-2</v>
      </c>
      <c r="C452" s="98">
        <v>-45</v>
      </c>
      <c r="D452" s="98">
        <v>18.28</v>
      </c>
      <c r="E452" s="99">
        <v>43.3</v>
      </c>
      <c r="F452" s="99">
        <f t="shared" si="3"/>
        <v>2.3094688221709007E-2</v>
      </c>
      <c r="G452" s="97">
        <v>-5.2460000000000004</v>
      </c>
      <c r="H452" s="97">
        <v>-1.2659999999999999E-2</v>
      </c>
    </row>
    <row r="453" spans="2:8" x14ac:dyDescent="0.25">
      <c r="B453" s="97">
        <v>-3.0000000000000001E-5</v>
      </c>
      <c r="C453" s="98">
        <v>-40</v>
      </c>
      <c r="D453" s="98">
        <v>18.28</v>
      </c>
      <c r="E453" s="99">
        <v>43.09</v>
      </c>
      <c r="F453" s="99">
        <f t="shared" si="3"/>
        <v>2.3207240659085634E-2</v>
      </c>
      <c r="G453" s="97">
        <v>1.9970000000000002E-2</v>
      </c>
      <c r="H453" s="97">
        <v>-3.0000000000000001E-5</v>
      </c>
    </row>
    <row r="454" spans="2:8" x14ac:dyDescent="0.25">
      <c r="B454" s="97">
        <v>1.248E-2</v>
      </c>
      <c r="C454" s="98">
        <v>-35</v>
      </c>
      <c r="D454" s="98">
        <v>18.28</v>
      </c>
      <c r="E454" s="99">
        <v>42.87</v>
      </c>
      <c r="F454" s="99">
        <f t="shared" si="3"/>
        <v>2.3326335432703522E-2</v>
      </c>
      <c r="G454" s="97">
        <v>5.3029999999999999</v>
      </c>
      <c r="H454" s="97">
        <v>1.248E-2</v>
      </c>
    </row>
    <row r="455" spans="2:8" x14ac:dyDescent="0.25">
      <c r="B455" s="97">
        <v>2.4889999999999999E-2</v>
      </c>
      <c r="C455" s="98">
        <v>-30</v>
      </c>
      <c r="D455" s="98">
        <v>18.28</v>
      </c>
      <c r="E455" s="99">
        <v>42.66</v>
      </c>
      <c r="F455" s="99">
        <f t="shared" si="3"/>
        <v>2.3441162681669011E-2</v>
      </c>
      <c r="G455" s="97">
        <v>10.6</v>
      </c>
      <c r="H455" s="97">
        <v>2.4889999999999999E-2</v>
      </c>
    </row>
    <row r="456" spans="2:8" x14ac:dyDescent="0.25">
      <c r="B456" s="97">
        <v>3.7190000000000001E-2</v>
      </c>
      <c r="C456" s="98">
        <v>-25</v>
      </c>
      <c r="D456" s="98">
        <v>18.28</v>
      </c>
      <c r="E456" s="99">
        <v>42.45</v>
      </c>
      <c r="F456" s="99">
        <f t="shared" si="3"/>
        <v>2.3557126030624261E-2</v>
      </c>
      <c r="G456" s="97">
        <v>15.92</v>
      </c>
      <c r="H456" s="97">
        <v>3.7190000000000001E-2</v>
      </c>
    </row>
    <row r="457" spans="2:8" x14ac:dyDescent="0.25">
      <c r="B457" s="97">
        <v>4.9390000000000003E-2</v>
      </c>
      <c r="C457" s="98">
        <v>-20</v>
      </c>
      <c r="D457" s="98">
        <v>18.28</v>
      </c>
      <c r="E457" s="100">
        <v>42.23</v>
      </c>
      <c r="F457" s="100">
        <f t="shared" si="3"/>
        <v>2.3679848448969927E-2</v>
      </c>
      <c r="G457" s="97">
        <v>21.25</v>
      </c>
      <c r="H457" s="97">
        <v>4.9390000000000003E-2</v>
      </c>
    </row>
    <row r="458" spans="2:8" x14ac:dyDescent="0.25">
      <c r="B458" s="97">
        <v>1.383</v>
      </c>
      <c r="C458" s="98">
        <v>-15</v>
      </c>
      <c r="D458" s="98">
        <v>18.28</v>
      </c>
      <c r="E458" s="99">
        <v>6.7229999999999998E-2</v>
      </c>
      <c r="F458" s="99">
        <f t="shared" si="3"/>
        <v>14.874312063067084</v>
      </c>
      <c r="G458" s="97">
        <v>607.6</v>
      </c>
      <c r="H458" s="97">
        <v>1.383</v>
      </c>
    </row>
    <row r="459" spans="2:8" x14ac:dyDescent="0.25">
      <c r="B459" s="97">
        <v>1.389</v>
      </c>
      <c r="C459" s="98">
        <v>-10</v>
      </c>
      <c r="D459" s="98">
        <v>18.28</v>
      </c>
      <c r="E459" s="100">
        <v>6.6379999999999995E-2</v>
      </c>
      <c r="F459" s="100">
        <f t="shared" si="3"/>
        <v>15.064778547755349</v>
      </c>
      <c r="G459" s="97">
        <v>610.29999999999995</v>
      </c>
      <c r="H459" s="97">
        <v>1.389</v>
      </c>
    </row>
    <row r="460" spans="2:8" x14ac:dyDescent="0.25">
      <c r="B460" s="97">
        <v>1.395</v>
      </c>
      <c r="C460" s="98">
        <v>-5</v>
      </c>
      <c r="D460" s="98">
        <v>18.28</v>
      </c>
      <c r="E460" s="99">
        <v>6.5549999999999997E-2</v>
      </c>
      <c r="F460" s="99">
        <f t="shared" si="3"/>
        <v>15.255530129672007</v>
      </c>
      <c r="G460" s="97">
        <v>613.1</v>
      </c>
      <c r="H460" s="97">
        <v>1.395</v>
      </c>
    </row>
    <row r="461" spans="2:8" x14ac:dyDescent="0.25">
      <c r="B461" s="97">
        <v>1.401</v>
      </c>
      <c r="C461" s="98">
        <v>0</v>
      </c>
      <c r="D461" s="98">
        <v>18.28</v>
      </c>
      <c r="E461" s="100">
        <v>6.4750000000000002E-2</v>
      </c>
      <c r="F461" s="100">
        <f t="shared" si="3"/>
        <v>15.444015444015443</v>
      </c>
      <c r="G461" s="97">
        <v>615.79999999999995</v>
      </c>
      <c r="H461" s="97">
        <v>1.401</v>
      </c>
    </row>
    <row r="462" spans="2:8" x14ac:dyDescent="0.25">
      <c r="B462" s="97">
        <v>1.407</v>
      </c>
      <c r="C462" s="98">
        <v>5</v>
      </c>
      <c r="D462" s="98">
        <v>18.28</v>
      </c>
      <c r="E462" s="99">
        <v>6.3979999999999995E-2</v>
      </c>
      <c r="F462" s="99">
        <f t="shared" si="3"/>
        <v>15.629884338855893</v>
      </c>
      <c r="G462" s="97">
        <v>618.5</v>
      </c>
      <c r="H462" s="97">
        <v>1.407</v>
      </c>
    </row>
    <row r="463" spans="2:8" x14ac:dyDescent="0.25">
      <c r="B463" s="97">
        <v>1.413</v>
      </c>
      <c r="C463" s="98">
        <v>10</v>
      </c>
      <c r="D463" s="98">
        <v>18.28</v>
      </c>
      <c r="E463" s="100">
        <v>6.3219999999999998E-2</v>
      </c>
      <c r="F463" s="100">
        <f t="shared" si="3"/>
        <v>15.817779183802594</v>
      </c>
      <c r="G463" s="97">
        <v>621.20000000000005</v>
      </c>
      <c r="H463" s="97">
        <v>1.413</v>
      </c>
    </row>
    <row r="464" spans="2:8" x14ac:dyDescent="0.25">
      <c r="B464" s="97">
        <v>1.4179999999999999</v>
      </c>
      <c r="C464" s="98">
        <v>15</v>
      </c>
      <c r="D464" s="98">
        <v>18.28</v>
      </c>
      <c r="E464" s="99">
        <v>6.2489999999999997E-2</v>
      </c>
      <c r="F464" s="99">
        <f t="shared" si="3"/>
        <v>16.002560409665548</v>
      </c>
      <c r="G464" s="97">
        <v>623.9</v>
      </c>
      <c r="H464" s="97">
        <v>1.4179999999999999</v>
      </c>
    </row>
    <row r="465" spans="2:8" x14ac:dyDescent="0.25">
      <c r="B465" s="97">
        <v>1.4239999999999999</v>
      </c>
      <c r="C465" s="98">
        <v>20</v>
      </c>
      <c r="D465" s="98">
        <v>18.28</v>
      </c>
      <c r="E465" s="100">
        <v>6.1769999999999999E-2</v>
      </c>
      <c r="F465" s="100">
        <f t="shared" si="3"/>
        <v>16.189088554314392</v>
      </c>
      <c r="G465" s="97">
        <v>626.5</v>
      </c>
      <c r="H465" s="97">
        <v>1.4239999999999999</v>
      </c>
    </row>
    <row r="466" spans="2:8" x14ac:dyDescent="0.25">
      <c r="B466" s="97">
        <v>1.429</v>
      </c>
      <c r="C466" s="98">
        <v>25</v>
      </c>
      <c r="D466" s="98">
        <v>18.28</v>
      </c>
      <c r="E466" s="99">
        <v>6.1080000000000002E-2</v>
      </c>
      <c r="F466" s="99">
        <f t="shared" si="3"/>
        <v>16.371971185330715</v>
      </c>
      <c r="G466" s="97">
        <v>629.20000000000005</v>
      </c>
      <c r="H466" s="97">
        <v>1.429</v>
      </c>
    </row>
    <row r="467" spans="2:8" x14ac:dyDescent="0.25">
      <c r="B467" s="97">
        <v>1.4350000000000001</v>
      </c>
      <c r="C467" s="98">
        <v>30</v>
      </c>
      <c r="D467" s="98">
        <v>18.28</v>
      </c>
      <c r="E467" s="100">
        <v>6.0400000000000002E-2</v>
      </c>
      <c r="F467" s="100">
        <f t="shared" si="3"/>
        <v>16.556291390728475</v>
      </c>
      <c r="G467" s="97">
        <v>631.79999999999995</v>
      </c>
      <c r="H467" s="97">
        <v>1.4350000000000001</v>
      </c>
    </row>
    <row r="468" spans="2:8" x14ac:dyDescent="0.25">
      <c r="B468" s="97">
        <v>1.44</v>
      </c>
      <c r="C468" s="98">
        <v>35</v>
      </c>
      <c r="D468" s="98">
        <v>18.28</v>
      </c>
      <c r="E468" s="99">
        <v>5.9740000000000001E-2</v>
      </c>
      <c r="F468" s="99">
        <f t="shared" si="3"/>
        <v>16.739203213927016</v>
      </c>
      <c r="G468" s="97">
        <v>634.5</v>
      </c>
      <c r="H468" s="97">
        <v>1.44</v>
      </c>
    </row>
    <row r="469" spans="2:8" x14ac:dyDescent="0.25">
      <c r="B469" s="97">
        <v>1.446</v>
      </c>
      <c r="C469" s="98">
        <v>40</v>
      </c>
      <c r="D469" s="98">
        <v>18.28</v>
      </c>
      <c r="E469" s="100">
        <v>5.91E-2</v>
      </c>
      <c r="F469" s="100">
        <f t="shared" si="3"/>
        <v>16.920473773265652</v>
      </c>
      <c r="G469" s="97">
        <v>637.1</v>
      </c>
      <c r="H469" s="97">
        <v>1.446</v>
      </c>
    </row>
    <row r="470" spans="2:8" x14ac:dyDescent="0.25">
      <c r="B470" s="97">
        <v>1.4510000000000001</v>
      </c>
      <c r="C470" s="98">
        <v>45</v>
      </c>
      <c r="D470" s="98">
        <v>18.28</v>
      </c>
      <c r="E470" s="99">
        <v>5.8470000000000001E-2</v>
      </c>
      <c r="F470" s="99">
        <f t="shared" si="3"/>
        <v>17.102787754403966</v>
      </c>
      <c r="G470" s="97">
        <v>639.70000000000005</v>
      </c>
      <c r="H470" s="97">
        <v>1.4510000000000001</v>
      </c>
    </row>
    <row r="471" spans="2:8" x14ac:dyDescent="0.25">
      <c r="B471" s="97">
        <v>1.456</v>
      </c>
      <c r="C471" s="98">
        <v>50</v>
      </c>
      <c r="D471" s="98">
        <v>18.28</v>
      </c>
      <c r="E471" s="100">
        <v>5.7849999999999999E-2</v>
      </c>
      <c r="F471" s="100">
        <f t="shared" si="3"/>
        <v>17.286084701815039</v>
      </c>
      <c r="G471" s="97">
        <v>642.4</v>
      </c>
      <c r="H471" s="97">
        <v>1.456</v>
      </c>
    </row>
    <row r="472" spans="2:8" x14ac:dyDescent="0.25">
      <c r="B472" s="97">
        <v>1.4610000000000001</v>
      </c>
      <c r="C472" s="98">
        <v>55</v>
      </c>
      <c r="D472" s="98">
        <v>18.28</v>
      </c>
      <c r="E472" s="99">
        <v>5.7250000000000002E-2</v>
      </c>
      <c r="F472" s="99">
        <f t="shared" si="3"/>
        <v>17.467248908296941</v>
      </c>
      <c r="G472" s="97">
        <v>645</v>
      </c>
      <c r="H472" s="97">
        <v>1.4610000000000001</v>
      </c>
    </row>
    <row r="473" spans="2:8" x14ac:dyDescent="0.25">
      <c r="B473" s="97">
        <v>1.466</v>
      </c>
      <c r="C473" s="98">
        <v>60</v>
      </c>
      <c r="D473" s="98">
        <v>18.28</v>
      </c>
      <c r="E473" s="100">
        <v>5.6669999999999998E-2</v>
      </c>
      <c r="F473" s="100">
        <f t="shared" si="3"/>
        <v>17.646020822304571</v>
      </c>
      <c r="G473" s="97">
        <v>647.6</v>
      </c>
      <c r="H473" s="97">
        <v>1.466</v>
      </c>
    </row>
    <row r="474" spans="2:8" x14ac:dyDescent="0.25">
      <c r="B474" s="97">
        <v>1.4710000000000001</v>
      </c>
      <c r="C474" s="98">
        <v>65</v>
      </c>
      <c r="D474" s="98">
        <v>18.28</v>
      </c>
      <c r="E474" s="99">
        <v>5.6099999999999997E-2</v>
      </c>
      <c r="F474" s="99">
        <f t="shared" si="3"/>
        <v>17.825311942959004</v>
      </c>
      <c r="G474" s="97">
        <v>650.20000000000005</v>
      </c>
      <c r="H474" s="97">
        <v>1.4710000000000001</v>
      </c>
    </row>
    <row r="475" spans="2:8" x14ac:dyDescent="0.25">
      <c r="B475" s="97">
        <v>1.476</v>
      </c>
      <c r="C475" s="98">
        <v>70</v>
      </c>
      <c r="D475" s="98">
        <v>18.28</v>
      </c>
      <c r="E475" s="100">
        <v>5.5539999999999999E-2</v>
      </c>
      <c r="F475" s="100">
        <f t="shared" si="3"/>
        <v>18.005041411595247</v>
      </c>
      <c r="G475" s="97">
        <v>652.79999999999995</v>
      </c>
      <c r="H475" s="97">
        <v>1.476</v>
      </c>
    </row>
    <row r="476" spans="2:8" x14ac:dyDescent="0.25">
      <c r="B476" s="97">
        <v>1.4810000000000001</v>
      </c>
      <c r="C476" s="98">
        <v>75</v>
      </c>
      <c r="D476" s="98">
        <v>18.28</v>
      </c>
      <c r="E476" s="99">
        <v>5.4989999999999997E-2</v>
      </c>
      <c r="F476" s="99">
        <f t="shared" si="3"/>
        <v>18.185124568103291</v>
      </c>
      <c r="G476" s="97">
        <v>655.4</v>
      </c>
      <c r="H476" s="97">
        <v>1.4810000000000001</v>
      </c>
    </row>
    <row r="477" spans="2:8" x14ac:dyDescent="0.25">
      <c r="B477" s="97">
        <v>1.486</v>
      </c>
      <c r="C477" s="98">
        <v>80</v>
      </c>
      <c r="D477" s="98">
        <v>18.28</v>
      </c>
      <c r="E477" s="100">
        <v>5.4449999999999998E-2</v>
      </c>
      <c r="F477" s="100">
        <f t="shared" si="3"/>
        <v>18.365472910927458</v>
      </c>
      <c r="G477" s="97">
        <v>658</v>
      </c>
      <c r="H477" s="97">
        <v>1.486</v>
      </c>
    </row>
    <row r="478" spans="2:8" x14ac:dyDescent="0.25">
      <c r="B478" s="97">
        <v>1.4910000000000001</v>
      </c>
      <c r="C478" s="98">
        <v>85</v>
      </c>
      <c r="D478" s="98">
        <v>18.28</v>
      </c>
      <c r="E478" s="99">
        <v>5.3920000000000003E-2</v>
      </c>
      <c r="F478" s="99">
        <f t="shared" si="3"/>
        <v>18.545994065281899</v>
      </c>
      <c r="G478" s="97">
        <v>660.6</v>
      </c>
      <c r="H478" s="97">
        <v>1.4910000000000001</v>
      </c>
    </row>
    <row r="479" spans="2:8" x14ac:dyDescent="0.25">
      <c r="B479" s="97">
        <v>1.4950000000000001</v>
      </c>
      <c r="C479" s="98">
        <v>90</v>
      </c>
      <c r="D479" s="98">
        <v>18.28</v>
      </c>
      <c r="E479" s="100">
        <v>5.3409999999999999E-2</v>
      </c>
      <c r="F479" s="100">
        <f t="shared" si="3"/>
        <v>18.72308556450103</v>
      </c>
      <c r="G479" s="97">
        <v>663.3</v>
      </c>
      <c r="H479" s="97">
        <v>1.4950000000000001</v>
      </c>
    </row>
    <row r="480" spans="2:8" x14ac:dyDescent="0.25">
      <c r="B480" s="97">
        <v>1.5</v>
      </c>
      <c r="C480" s="98">
        <v>95</v>
      </c>
      <c r="D480" s="98">
        <v>18.28</v>
      </c>
      <c r="E480" s="99">
        <v>5.2909999999999999E-2</v>
      </c>
      <c r="F480" s="99">
        <f t="shared" si="3"/>
        <v>18.9000189000189</v>
      </c>
      <c r="G480" s="97">
        <v>665.9</v>
      </c>
      <c r="H480" s="97">
        <v>1.5</v>
      </c>
    </row>
    <row r="481" spans="1:8" x14ac:dyDescent="0.25">
      <c r="B481" s="97">
        <v>1.5049999999999999</v>
      </c>
      <c r="C481" s="98">
        <v>100</v>
      </c>
      <c r="D481" s="98">
        <v>18.28</v>
      </c>
      <c r="E481" s="100">
        <v>5.2409999999999998E-2</v>
      </c>
      <c r="F481" s="100">
        <f t="shared" si="3"/>
        <v>19.080328181644724</v>
      </c>
      <c r="G481" s="97">
        <v>668.5</v>
      </c>
      <c r="H481" s="97">
        <v>1.5049999999999999</v>
      </c>
    </row>
    <row r="482" spans="1:8" x14ac:dyDescent="0.25">
      <c r="B482" s="97">
        <v>1.5089999999999999</v>
      </c>
      <c r="C482" s="98">
        <v>105</v>
      </c>
      <c r="D482" s="98">
        <v>18.28</v>
      </c>
      <c r="E482" s="99">
        <v>5.1929999999999997E-2</v>
      </c>
      <c r="F482" s="99">
        <f t="shared" si="3"/>
        <v>19.256691700365877</v>
      </c>
      <c r="G482" s="97">
        <v>671.1</v>
      </c>
      <c r="H482" s="97">
        <v>1.5089999999999999</v>
      </c>
    </row>
    <row r="483" spans="1:8" x14ac:dyDescent="0.25">
      <c r="B483" s="97">
        <v>1.514</v>
      </c>
      <c r="C483" s="98">
        <v>110</v>
      </c>
      <c r="D483" s="98">
        <v>18.28</v>
      </c>
      <c r="E483" s="100">
        <v>5.1450000000000003E-2</v>
      </c>
      <c r="F483" s="100">
        <f t="shared" si="3"/>
        <v>19.436345966958211</v>
      </c>
      <c r="G483" s="97">
        <v>673.7</v>
      </c>
      <c r="H483" s="97">
        <v>1.514</v>
      </c>
    </row>
    <row r="484" spans="1:8" x14ac:dyDescent="0.25">
      <c r="B484" s="97">
        <v>1.5189999999999999</v>
      </c>
      <c r="C484" s="98">
        <v>115</v>
      </c>
      <c r="D484" s="98">
        <v>18.28</v>
      </c>
      <c r="E484" s="99">
        <v>5.0990000000000001E-2</v>
      </c>
      <c r="F484" s="99">
        <f t="shared" si="3"/>
        <v>19.611688566385567</v>
      </c>
      <c r="G484" s="97">
        <v>676.3</v>
      </c>
      <c r="H484" s="97">
        <v>1.5189999999999999</v>
      </c>
    </row>
    <row r="485" spans="1:8" x14ac:dyDescent="0.25">
      <c r="B485" s="97">
        <v>1.5229999999999999</v>
      </c>
      <c r="C485" s="98">
        <v>120</v>
      </c>
      <c r="D485" s="98">
        <v>18.28</v>
      </c>
      <c r="E485" s="100">
        <v>5.0529999999999999E-2</v>
      </c>
      <c r="F485" s="100">
        <f t="shared" si="3"/>
        <v>19.790223629527013</v>
      </c>
      <c r="G485" s="97">
        <v>678.9</v>
      </c>
      <c r="H485" s="97">
        <v>1.5229999999999999</v>
      </c>
    </row>
    <row r="486" spans="1:8" x14ac:dyDescent="0.25">
      <c r="B486" s="97">
        <v>1.528</v>
      </c>
      <c r="C486" s="98">
        <v>125</v>
      </c>
      <c r="D486" s="98">
        <v>18.28</v>
      </c>
      <c r="E486" s="99">
        <v>5.008E-2</v>
      </c>
      <c r="F486" s="99">
        <f t="shared" si="3"/>
        <v>19.968051118210862</v>
      </c>
      <c r="G486" s="97">
        <v>681.5</v>
      </c>
      <c r="H486" s="97">
        <v>1.528</v>
      </c>
    </row>
    <row r="487" spans="1:8" x14ac:dyDescent="0.25">
      <c r="B487" s="97">
        <v>1.532</v>
      </c>
      <c r="C487" s="98">
        <v>130</v>
      </c>
      <c r="D487" s="98">
        <v>18.28</v>
      </c>
      <c r="E487" s="100">
        <v>4.9639999999999997E-2</v>
      </c>
      <c r="F487" s="100">
        <f t="shared" si="3"/>
        <v>20.145044319097504</v>
      </c>
      <c r="G487" s="97">
        <v>684.1</v>
      </c>
      <c r="H487" s="97">
        <v>1.532</v>
      </c>
    </row>
    <row r="488" spans="1:8" x14ac:dyDescent="0.25">
      <c r="B488" s="97">
        <v>1.5369999999999999</v>
      </c>
      <c r="C488" s="98">
        <v>135</v>
      </c>
      <c r="D488" s="98">
        <v>18.28</v>
      </c>
      <c r="E488" s="99">
        <v>4.9209999999999997E-2</v>
      </c>
      <c r="F488" s="99">
        <f t="shared" si="3"/>
        <v>20.3210729526519</v>
      </c>
      <c r="G488" s="97">
        <v>686.8</v>
      </c>
      <c r="H488" s="97">
        <v>1.5369999999999999</v>
      </c>
    </row>
    <row r="489" spans="1:8" x14ac:dyDescent="0.25">
      <c r="B489" s="97">
        <v>1.5409999999999999</v>
      </c>
      <c r="C489" s="98">
        <v>140</v>
      </c>
      <c r="D489" s="98">
        <v>18.28</v>
      </c>
      <c r="E489" s="100">
        <v>4.879E-2</v>
      </c>
      <c r="F489" s="100">
        <f t="shared" si="3"/>
        <v>20.496003279360526</v>
      </c>
      <c r="G489" s="97">
        <v>689.4</v>
      </c>
      <c r="H489" s="97">
        <v>1.5409999999999999</v>
      </c>
    </row>
    <row r="490" spans="1:8" x14ac:dyDescent="0.25">
      <c r="B490" s="97">
        <v>1.5449999999999999</v>
      </c>
      <c r="C490" s="98">
        <v>145</v>
      </c>
      <c r="D490" s="98">
        <v>18.28</v>
      </c>
      <c r="E490" s="99">
        <v>4.8370000000000003E-2</v>
      </c>
      <c r="F490" s="99">
        <f t="shared" si="3"/>
        <v>20.673971469919369</v>
      </c>
      <c r="G490" s="97">
        <v>692</v>
      </c>
      <c r="H490" s="97">
        <v>1.5449999999999999</v>
      </c>
    </row>
    <row r="491" spans="1:8" x14ac:dyDescent="0.25">
      <c r="B491" s="97">
        <v>1.55</v>
      </c>
      <c r="C491" s="98">
        <v>150</v>
      </c>
      <c r="D491" s="98">
        <v>18.28</v>
      </c>
      <c r="E491" s="100">
        <v>4.7960000000000003E-2</v>
      </c>
      <c r="F491" s="100">
        <f t="shared" si="3"/>
        <v>20.850708924103419</v>
      </c>
      <c r="G491" s="97">
        <v>694.6</v>
      </c>
      <c r="H491" s="97">
        <v>1.55</v>
      </c>
    </row>
    <row r="492" spans="1:8" x14ac:dyDescent="0.25">
      <c r="B492" s="97">
        <v>1.556</v>
      </c>
      <c r="C492" t="s">
        <v>374</v>
      </c>
      <c r="D492" t="s">
        <v>374</v>
      </c>
      <c r="E492" t="s">
        <v>374</v>
      </c>
      <c r="F492" t="s">
        <v>374</v>
      </c>
      <c r="G492" t="s">
        <v>374</v>
      </c>
      <c r="H492" t="s">
        <v>374</v>
      </c>
    </row>
    <row r="495" spans="1:8" ht="15.75" x14ac:dyDescent="0.25">
      <c r="A495" s="92">
        <v>20</v>
      </c>
      <c r="C495" s="95" t="s">
        <v>392</v>
      </c>
      <c r="E495" s="102"/>
      <c r="F495" s="102"/>
      <c r="G495" s="105"/>
    </row>
    <row r="496" spans="1:8" x14ac:dyDescent="0.25">
      <c r="B496" s="96" t="s">
        <v>266</v>
      </c>
      <c r="C496" s="96" t="s">
        <v>375</v>
      </c>
      <c r="D496" s="96" t="s">
        <v>380</v>
      </c>
      <c r="E496" s="96" t="s">
        <v>381</v>
      </c>
      <c r="F496" s="96" t="s">
        <v>382</v>
      </c>
      <c r="G496" s="96" t="s">
        <v>265</v>
      </c>
      <c r="H496" s="96" t="s">
        <v>266</v>
      </c>
    </row>
    <row r="497" spans="2:8" x14ac:dyDescent="0.25">
      <c r="B497" s="96" t="s">
        <v>383</v>
      </c>
      <c r="C497" s="96" t="s">
        <v>384</v>
      </c>
      <c r="D497" s="96" t="s">
        <v>385</v>
      </c>
      <c r="E497" s="96" t="s">
        <v>386</v>
      </c>
      <c r="F497" s="96" t="s">
        <v>387</v>
      </c>
      <c r="G497" s="96" t="s">
        <v>388</v>
      </c>
      <c r="H497" s="96" t="s">
        <v>383</v>
      </c>
    </row>
    <row r="498" spans="2:8" x14ac:dyDescent="0.25">
      <c r="B498" s="97">
        <v>-2.5389999999999999E-2</v>
      </c>
      <c r="C498" s="98">
        <v>-50</v>
      </c>
      <c r="D498" s="98">
        <v>20</v>
      </c>
      <c r="E498" s="99">
        <v>43.504006400000002</v>
      </c>
      <c r="F498" s="99">
        <f t="shared" ref="F498:F538" si="4">1/E498</f>
        <v>2.2986388674308397E-2</v>
      </c>
      <c r="G498" s="97">
        <v>-10.488899999999999</v>
      </c>
      <c r="H498" s="97">
        <v>-2.5389999999999999E-2</v>
      </c>
    </row>
    <row r="499" spans="2:8" x14ac:dyDescent="0.25">
      <c r="B499" s="97">
        <v>-1.2659999999999999E-2</v>
      </c>
      <c r="C499" s="98">
        <v>-45</v>
      </c>
      <c r="D499" s="98">
        <v>20</v>
      </c>
      <c r="E499" s="99">
        <v>43.296259020000001</v>
      </c>
      <c r="F499" s="99">
        <f t="shared" si="4"/>
        <v>2.3096683700503232E-2</v>
      </c>
      <c r="G499" s="97">
        <v>-5.2411000000000003</v>
      </c>
      <c r="H499" s="97">
        <v>-1.2659999999999999E-2</v>
      </c>
    </row>
    <row r="500" spans="2:8" x14ac:dyDescent="0.25">
      <c r="B500" s="97">
        <v>-4.0000000000000003E-5</v>
      </c>
      <c r="C500" s="98">
        <v>-40</v>
      </c>
      <c r="D500" s="98">
        <v>20</v>
      </c>
      <c r="E500" s="99">
        <v>43.086601389999998</v>
      </c>
      <c r="F500" s="99">
        <f t="shared" si="4"/>
        <v>2.3209071213309732E-2</v>
      </c>
      <c r="G500" s="97">
        <v>2.4300000000000002E-2</v>
      </c>
      <c r="H500" s="97">
        <v>-4.0000000000000003E-5</v>
      </c>
    </row>
    <row r="501" spans="2:8" x14ac:dyDescent="0.25">
      <c r="B501" s="97">
        <v>1.247E-2</v>
      </c>
      <c r="C501" s="98">
        <v>-35</v>
      </c>
      <c r="D501" s="98">
        <v>20</v>
      </c>
      <c r="E501" s="99">
        <v>42.87504904</v>
      </c>
      <c r="F501" s="99">
        <f t="shared" si="4"/>
        <v>2.3323588483060542E-2</v>
      </c>
      <c r="G501" s="97">
        <v>5.3071000000000002</v>
      </c>
      <c r="H501" s="97">
        <v>1.247E-2</v>
      </c>
    </row>
    <row r="502" spans="2:8" x14ac:dyDescent="0.25">
      <c r="B502" s="97">
        <v>2.4879999999999999E-2</v>
      </c>
      <c r="C502" s="98">
        <v>-30</v>
      </c>
      <c r="D502" s="98">
        <v>20</v>
      </c>
      <c r="E502" s="99">
        <v>42.661611690000001</v>
      </c>
      <c r="F502" s="99">
        <f t="shared" si="4"/>
        <v>2.3440277110637214E-2</v>
      </c>
      <c r="G502" s="97">
        <v>10.606999999999999</v>
      </c>
      <c r="H502" s="97">
        <v>2.4879999999999999E-2</v>
      </c>
    </row>
    <row r="503" spans="2:8" x14ac:dyDescent="0.25">
      <c r="B503" s="97">
        <v>3.7179999999999998E-2</v>
      </c>
      <c r="C503" s="98">
        <v>-25</v>
      </c>
      <c r="D503" s="98">
        <v>20</v>
      </c>
      <c r="E503" s="99">
        <v>42.446292870000001</v>
      </c>
      <c r="F503" s="99">
        <f t="shared" si="4"/>
        <v>2.3559183438296809E-2</v>
      </c>
      <c r="G503" s="97">
        <v>15.9238</v>
      </c>
      <c r="H503" s="97">
        <v>3.7179999999999998E-2</v>
      </c>
    </row>
    <row r="504" spans="2:8" x14ac:dyDescent="0.25">
      <c r="B504" s="97">
        <v>4.938E-2</v>
      </c>
      <c r="C504" s="98">
        <v>-20</v>
      </c>
      <c r="D504" s="98">
        <v>20</v>
      </c>
      <c r="E504" s="99">
        <v>42.229089729999998</v>
      </c>
      <c r="F504" s="99">
        <f t="shared" si="4"/>
        <v>2.3680358880423351E-2</v>
      </c>
      <c r="G504" s="97">
        <v>21.257300000000001</v>
      </c>
      <c r="H504" s="97">
        <v>4.938E-2</v>
      </c>
    </row>
    <row r="505" spans="2:8" x14ac:dyDescent="0.25">
      <c r="B505" s="97">
        <v>1.371</v>
      </c>
      <c r="C505" s="98">
        <v>-15</v>
      </c>
      <c r="D505" s="98">
        <v>20</v>
      </c>
      <c r="E505" s="99">
        <v>7.3778730000000001E-2</v>
      </c>
      <c r="F505" s="99">
        <f t="shared" si="4"/>
        <v>13.554041930513035</v>
      </c>
      <c r="G505" s="97">
        <v>606.8895</v>
      </c>
      <c r="H505" s="97">
        <v>1.371</v>
      </c>
    </row>
    <row r="506" spans="2:8" x14ac:dyDescent="0.25">
      <c r="B506" s="97">
        <v>1.377</v>
      </c>
      <c r="C506" s="98">
        <v>-10</v>
      </c>
      <c r="D506" s="98">
        <v>20</v>
      </c>
      <c r="E506" s="100">
        <v>7.2833149999999999E-2</v>
      </c>
      <c r="F506" s="100">
        <f t="shared" si="4"/>
        <v>13.730011677374932</v>
      </c>
      <c r="G506" s="97">
        <v>609.68190000000004</v>
      </c>
      <c r="H506" s="97">
        <v>1.377</v>
      </c>
    </row>
    <row r="507" spans="2:8" x14ac:dyDescent="0.25">
      <c r="B507" s="97">
        <v>1.3839999999999999</v>
      </c>
      <c r="C507" s="98">
        <v>-5</v>
      </c>
      <c r="D507" s="98">
        <v>20</v>
      </c>
      <c r="E507" s="99">
        <v>7.1917620000000002E-2</v>
      </c>
      <c r="F507" s="99">
        <f t="shared" si="4"/>
        <v>13.904798295605444</v>
      </c>
      <c r="G507" s="97">
        <v>612.45180000000005</v>
      </c>
      <c r="H507" s="97">
        <v>1.3839999999999999</v>
      </c>
    </row>
    <row r="508" spans="2:8" x14ac:dyDescent="0.25">
      <c r="B508" s="97">
        <v>1.39</v>
      </c>
      <c r="C508" s="98">
        <v>0</v>
      </c>
      <c r="D508" s="98">
        <v>20</v>
      </c>
      <c r="E508" s="100">
        <v>7.1030250000000003E-2</v>
      </c>
      <c r="F508" s="100">
        <f t="shared" si="4"/>
        <v>14.078508804347443</v>
      </c>
      <c r="G508" s="97">
        <v>615.20169999999996</v>
      </c>
      <c r="H508" s="97">
        <v>1.39</v>
      </c>
    </row>
    <row r="509" spans="2:8" x14ac:dyDescent="0.25">
      <c r="B509" s="97">
        <v>1.395</v>
      </c>
      <c r="C509" s="98">
        <v>5</v>
      </c>
      <c r="D509" s="98">
        <v>20</v>
      </c>
      <c r="E509" s="99">
        <v>7.0169380000000003E-2</v>
      </c>
      <c r="F509" s="99">
        <f t="shared" si="4"/>
        <v>14.251230379974855</v>
      </c>
      <c r="G509" s="97">
        <v>617.93370000000004</v>
      </c>
      <c r="H509" s="97">
        <v>1.395</v>
      </c>
    </row>
    <row r="510" spans="2:8" x14ac:dyDescent="0.25">
      <c r="B510" s="97">
        <v>1.401</v>
      </c>
      <c r="C510" s="98">
        <v>10</v>
      </c>
      <c r="D510" s="98">
        <v>20</v>
      </c>
      <c r="E510" s="100">
        <v>6.9333469999999994E-2</v>
      </c>
      <c r="F510" s="100">
        <f t="shared" si="4"/>
        <v>14.423048493029414</v>
      </c>
      <c r="G510" s="97">
        <v>620.64970000000005</v>
      </c>
      <c r="H510" s="97">
        <v>1.401</v>
      </c>
    </row>
    <row r="511" spans="2:8" x14ac:dyDescent="0.25">
      <c r="B511" s="97">
        <v>1.407</v>
      </c>
      <c r="C511" s="98">
        <v>15</v>
      </c>
      <c r="D511" s="98">
        <v>20</v>
      </c>
      <c r="E511" s="99">
        <v>6.8521150000000003E-2</v>
      </c>
      <c r="F511" s="99">
        <f t="shared" si="4"/>
        <v>14.594034104798299</v>
      </c>
      <c r="G511" s="97">
        <v>623.35149999999999</v>
      </c>
      <c r="H511" s="97">
        <v>1.407</v>
      </c>
    </row>
    <row r="512" spans="2:8" x14ac:dyDescent="0.25">
      <c r="B512" s="97">
        <v>1.413</v>
      </c>
      <c r="C512" s="98">
        <v>20</v>
      </c>
      <c r="D512" s="98">
        <v>20</v>
      </c>
      <c r="E512" s="100">
        <v>6.7731159999999999E-2</v>
      </c>
      <c r="F512" s="100">
        <f t="shared" si="4"/>
        <v>14.764253262457043</v>
      </c>
      <c r="G512" s="97">
        <v>626.04060000000004</v>
      </c>
      <c r="H512" s="97">
        <v>1.413</v>
      </c>
    </row>
    <row r="513" spans="2:8" x14ac:dyDescent="0.25">
      <c r="B513" s="97">
        <v>1.4179999999999999</v>
      </c>
      <c r="C513" s="98">
        <v>25</v>
      </c>
      <c r="D513" s="98">
        <v>20</v>
      </c>
      <c r="E513" s="99">
        <v>6.6962339999999995E-2</v>
      </c>
      <c r="F513" s="99">
        <f t="shared" si="4"/>
        <v>14.933767248874517</v>
      </c>
      <c r="G513" s="97">
        <v>628.71849999999995</v>
      </c>
      <c r="H513" s="97">
        <v>1.4179999999999999</v>
      </c>
    </row>
    <row r="514" spans="2:8" x14ac:dyDescent="0.25">
      <c r="B514" s="97">
        <v>1.4239999999999999</v>
      </c>
      <c r="C514" s="98">
        <v>30</v>
      </c>
      <c r="D514" s="98">
        <v>20</v>
      </c>
      <c r="E514" s="100">
        <v>6.6213640000000004E-2</v>
      </c>
      <c r="F514" s="100">
        <f t="shared" si="4"/>
        <v>15.102628401036402</v>
      </c>
      <c r="G514" s="97">
        <v>631.38639999999998</v>
      </c>
      <c r="H514" s="97">
        <v>1.4239999999999999</v>
      </c>
    </row>
    <row r="515" spans="2:8" x14ac:dyDescent="0.25">
      <c r="B515" s="97">
        <v>1.429</v>
      </c>
      <c r="C515" s="98">
        <v>35</v>
      </c>
      <c r="D515" s="98">
        <v>20</v>
      </c>
      <c r="E515" s="99">
        <v>6.5484089999999995E-2</v>
      </c>
      <c r="F515" s="99">
        <f t="shared" si="4"/>
        <v>15.270884882114114</v>
      </c>
      <c r="G515" s="97">
        <v>634.04549999999995</v>
      </c>
      <c r="H515" s="97">
        <v>1.429</v>
      </c>
    </row>
    <row r="516" spans="2:8" x14ac:dyDescent="0.25">
      <c r="B516" s="97">
        <v>1.4339999999999999</v>
      </c>
      <c r="C516" s="98">
        <v>40</v>
      </c>
      <c r="D516" s="98">
        <v>20</v>
      </c>
      <c r="E516" s="100">
        <v>6.4772789999999997E-2</v>
      </c>
      <c r="F516" s="100">
        <f t="shared" si="4"/>
        <v>15.438581540180685</v>
      </c>
      <c r="G516" s="97">
        <v>636.69690000000003</v>
      </c>
      <c r="H516" s="97">
        <v>1.4339999999999999</v>
      </c>
    </row>
    <row r="517" spans="2:8" x14ac:dyDescent="0.25">
      <c r="B517" s="97">
        <v>1.44</v>
      </c>
      <c r="C517" s="98">
        <v>45</v>
      </c>
      <c r="D517" s="98">
        <v>20</v>
      </c>
      <c r="E517" s="99">
        <v>6.4078910000000003E-2</v>
      </c>
      <c r="F517" s="99">
        <f t="shared" si="4"/>
        <v>15.605758587341763</v>
      </c>
      <c r="G517" s="97">
        <v>639.34159999999997</v>
      </c>
      <c r="H517" s="97">
        <v>1.44</v>
      </c>
    </row>
    <row r="518" spans="2:8" x14ac:dyDescent="0.25">
      <c r="B518" s="97">
        <v>1.4450000000000001</v>
      </c>
      <c r="C518" s="98">
        <v>50</v>
      </c>
      <c r="D518" s="98">
        <v>20</v>
      </c>
      <c r="E518" s="100">
        <v>6.3401680000000002E-2</v>
      </c>
      <c r="F518" s="100">
        <f t="shared" si="4"/>
        <v>15.772452717341244</v>
      </c>
      <c r="G518" s="97">
        <v>641.98040000000003</v>
      </c>
      <c r="H518" s="97">
        <v>1.4450000000000001</v>
      </c>
    </row>
    <row r="519" spans="2:8" x14ac:dyDescent="0.25">
      <c r="B519" s="97">
        <v>1.45</v>
      </c>
      <c r="C519" s="98">
        <v>55</v>
      </c>
      <c r="D519" s="98">
        <v>20</v>
      </c>
      <c r="E519" s="99">
        <v>6.2740389999999993E-2</v>
      </c>
      <c r="F519" s="99">
        <f t="shared" si="4"/>
        <v>15.938695950088931</v>
      </c>
      <c r="G519" s="97">
        <v>644.61429999999996</v>
      </c>
      <c r="H519" s="97">
        <v>1.45</v>
      </c>
    </row>
    <row r="520" spans="2:8" x14ac:dyDescent="0.25">
      <c r="B520" s="97">
        <v>1.4550000000000001</v>
      </c>
      <c r="C520" s="98">
        <v>60</v>
      </c>
      <c r="D520" s="98">
        <v>20</v>
      </c>
      <c r="E520" s="100">
        <v>6.2094360000000001E-2</v>
      </c>
      <c r="F520" s="100">
        <f t="shared" si="4"/>
        <v>16.104522214255852</v>
      </c>
      <c r="G520" s="97">
        <v>647.24390000000005</v>
      </c>
      <c r="H520" s="97">
        <v>1.4550000000000001</v>
      </c>
    </row>
    <row r="521" spans="2:8" x14ac:dyDescent="0.25">
      <c r="B521" s="97">
        <v>1.46</v>
      </c>
      <c r="C521" s="98">
        <v>65</v>
      </c>
      <c r="D521" s="98">
        <v>20</v>
      </c>
      <c r="E521" s="99">
        <v>6.146298E-2</v>
      </c>
      <c r="F521" s="99">
        <f t="shared" si="4"/>
        <v>16.269956321675259</v>
      </c>
      <c r="G521" s="97">
        <v>649.86990000000003</v>
      </c>
      <c r="H521" s="97">
        <v>1.46</v>
      </c>
    </row>
    <row r="522" spans="2:8" x14ac:dyDescent="0.25">
      <c r="B522" s="97">
        <v>1.4650000000000001</v>
      </c>
      <c r="C522" s="98">
        <v>70</v>
      </c>
      <c r="D522" s="98">
        <v>20</v>
      </c>
      <c r="E522" s="100">
        <v>6.0845660000000003E-2</v>
      </c>
      <c r="F522" s="100">
        <f t="shared" si="4"/>
        <v>16.435025932827418</v>
      </c>
      <c r="G522" s="97">
        <v>652.49289999999996</v>
      </c>
      <c r="H522" s="97">
        <v>1.4650000000000001</v>
      </c>
    </row>
    <row r="523" spans="2:8" x14ac:dyDescent="0.25">
      <c r="B523" s="97">
        <v>1.47</v>
      </c>
      <c r="C523" s="98">
        <v>75</v>
      </c>
      <c r="D523" s="98">
        <v>20</v>
      </c>
      <c r="E523" s="99">
        <v>6.0241860000000001E-2</v>
      </c>
      <c r="F523" s="99">
        <f t="shared" si="4"/>
        <v>16.599753062073447</v>
      </c>
      <c r="G523" s="97">
        <v>655.11369999999999</v>
      </c>
      <c r="H523" s="97">
        <v>1.47</v>
      </c>
    </row>
    <row r="524" spans="2:8" x14ac:dyDescent="0.25">
      <c r="B524" s="97">
        <v>1.4750000000000001</v>
      </c>
      <c r="C524" s="98">
        <v>80</v>
      </c>
      <c r="D524" s="98">
        <v>20</v>
      </c>
      <c r="E524" s="100">
        <v>5.965107E-2</v>
      </c>
      <c r="F524" s="100">
        <f t="shared" si="4"/>
        <v>16.76415863118633</v>
      </c>
      <c r="G524" s="97">
        <v>657.73270000000002</v>
      </c>
      <c r="H524" s="97">
        <v>1.4750000000000001</v>
      </c>
    </row>
    <row r="525" spans="2:8" x14ac:dyDescent="0.25">
      <c r="B525" s="97">
        <v>1.48</v>
      </c>
      <c r="C525" s="98">
        <v>85</v>
      </c>
      <c r="D525" s="98">
        <v>20</v>
      </c>
      <c r="E525" s="99">
        <v>5.9072800000000002E-2</v>
      </c>
      <c r="F525" s="99">
        <f t="shared" si="4"/>
        <v>16.928264785146464</v>
      </c>
      <c r="G525" s="97">
        <v>660.35029999999995</v>
      </c>
      <c r="H525" s="97">
        <v>1.48</v>
      </c>
    </row>
    <row r="526" spans="2:8" x14ac:dyDescent="0.25">
      <c r="B526" s="97">
        <v>1.4850000000000001</v>
      </c>
      <c r="C526" s="98">
        <v>90</v>
      </c>
      <c r="D526" s="98">
        <v>20</v>
      </c>
      <c r="E526" s="100">
        <v>5.8506599999999999E-2</v>
      </c>
      <c r="F526" s="100">
        <f t="shared" si="4"/>
        <v>17.092088755798493</v>
      </c>
      <c r="G526" s="97">
        <v>662.96720000000005</v>
      </c>
      <c r="H526" s="97">
        <v>1.4850000000000001</v>
      </c>
    </row>
    <row r="527" spans="2:8" x14ac:dyDescent="0.25">
      <c r="B527" s="97">
        <v>1.4890000000000001</v>
      </c>
      <c r="C527" s="98">
        <v>95</v>
      </c>
      <c r="D527" s="98">
        <v>20</v>
      </c>
      <c r="E527" s="99">
        <v>5.7952040000000003E-2</v>
      </c>
      <c r="F527" s="99">
        <f t="shared" si="4"/>
        <v>17.255647946129248</v>
      </c>
      <c r="G527" s="97">
        <v>665.58360000000005</v>
      </c>
      <c r="H527" s="97">
        <v>1.4890000000000001</v>
      </c>
    </row>
    <row r="528" spans="2:8" x14ac:dyDescent="0.25">
      <c r="B528" s="97">
        <v>1.494</v>
      </c>
      <c r="C528" s="98">
        <v>100</v>
      </c>
      <c r="D528" s="98">
        <v>20</v>
      </c>
      <c r="E528" s="100">
        <v>5.7408720000000003E-2</v>
      </c>
      <c r="F528" s="100">
        <f t="shared" si="4"/>
        <v>17.418956562696398</v>
      </c>
      <c r="G528" s="97">
        <v>668.20010000000002</v>
      </c>
      <c r="H528" s="97">
        <v>1.494</v>
      </c>
    </row>
    <row r="529" spans="2:8" x14ac:dyDescent="0.25">
      <c r="B529" s="97">
        <v>1.4990000000000001</v>
      </c>
      <c r="C529" s="98">
        <v>105</v>
      </c>
      <c r="D529" s="98">
        <v>20</v>
      </c>
      <c r="E529" s="99">
        <v>5.6876250000000003E-2</v>
      </c>
      <c r="F529" s="99">
        <f t="shared" si="4"/>
        <v>17.582031164150237</v>
      </c>
      <c r="G529" s="97">
        <v>670.81700000000001</v>
      </c>
      <c r="H529" s="97">
        <v>1.4990000000000001</v>
      </c>
    </row>
    <row r="530" spans="2:8" x14ac:dyDescent="0.25">
      <c r="B530" s="97">
        <v>1.5029999999999999</v>
      </c>
      <c r="C530" s="98">
        <v>110</v>
      </c>
      <c r="D530" s="98">
        <v>20</v>
      </c>
      <c r="E530" s="100">
        <v>5.6354269999999998E-2</v>
      </c>
      <c r="F530" s="100">
        <f t="shared" si="4"/>
        <v>17.744884282947858</v>
      </c>
      <c r="G530" s="97">
        <v>673.43460000000005</v>
      </c>
      <c r="H530" s="97">
        <v>1.5029999999999999</v>
      </c>
    </row>
    <row r="531" spans="2:8" x14ac:dyDescent="0.25">
      <c r="B531" s="97">
        <v>1.508</v>
      </c>
      <c r="C531" s="98">
        <v>115</v>
      </c>
      <c r="D531" s="98">
        <v>20</v>
      </c>
      <c r="E531" s="99">
        <v>5.5842429999999998E-2</v>
      </c>
      <c r="F531" s="99">
        <f t="shared" si="4"/>
        <v>17.907530170159141</v>
      </c>
      <c r="G531" s="97">
        <v>676.05330000000004</v>
      </c>
      <c r="H531" s="97">
        <v>1.508</v>
      </c>
    </row>
    <row r="532" spans="2:8" x14ac:dyDescent="0.25">
      <c r="B532" s="97">
        <v>1.512</v>
      </c>
      <c r="C532" s="98">
        <v>120</v>
      </c>
      <c r="D532" s="98">
        <v>20</v>
      </c>
      <c r="E532" s="100">
        <v>5.5340420000000001E-2</v>
      </c>
      <c r="F532" s="100">
        <f t="shared" si="4"/>
        <v>18.069974893576884</v>
      </c>
      <c r="G532" s="97">
        <v>678.67340000000002</v>
      </c>
      <c r="H532" s="97">
        <v>1.512</v>
      </c>
    </row>
    <row r="533" spans="2:8" x14ac:dyDescent="0.25">
      <c r="B533" s="97">
        <v>1.5169999999999999</v>
      </c>
      <c r="C533" s="98">
        <v>125</v>
      </c>
      <c r="D533" s="98">
        <v>20</v>
      </c>
      <c r="E533" s="99">
        <v>5.484791E-2</v>
      </c>
      <c r="F533" s="99">
        <f t="shared" si="4"/>
        <v>18.232235284808482</v>
      </c>
      <c r="G533" s="97">
        <v>681.29510000000005</v>
      </c>
      <c r="H533" s="97">
        <v>1.5169999999999999</v>
      </c>
    </row>
    <row r="534" spans="2:8" x14ac:dyDescent="0.25">
      <c r="B534" s="97">
        <v>1.5209999999999999</v>
      </c>
      <c r="C534" s="98">
        <v>130</v>
      </c>
      <c r="D534" s="98">
        <v>20</v>
      </c>
      <c r="E534" s="100">
        <v>5.4364620000000002E-2</v>
      </c>
      <c r="F534" s="100">
        <f t="shared" si="4"/>
        <v>18.394316009198629</v>
      </c>
      <c r="G534" s="97">
        <v>683.91880000000003</v>
      </c>
      <c r="H534" s="97">
        <v>1.5209999999999999</v>
      </c>
    </row>
    <row r="535" spans="2:8" x14ac:dyDescent="0.25">
      <c r="B535" s="97">
        <v>1.526</v>
      </c>
      <c r="C535" s="98">
        <v>135</v>
      </c>
      <c r="D535" s="98">
        <v>20</v>
      </c>
      <c r="E535" s="99">
        <v>5.3890250000000001E-2</v>
      </c>
      <c r="F535" s="99">
        <f t="shared" si="4"/>
        <v>18.556232342585162</v>
      </c>
      <c r="G535" s="97">
        <v>686.54470000000003</v>
      </c>
      <c r="H535" s="97">
        <v>1.526</v>
      </c>
    </row>
    <row r="536" spans="2:8" x14ac:dyDescent="0.25">
      <c r="B536" s="97">
        <v>1.53</v>
      </c>
      <c r="C536" s="98">
        <v>140</v>
      </c>
      <c r="D536" s="98">
        <v>20</v>
      </c>
      <c r="E536" s="100">
        <v>5.342454E-2</v>
      </c>
      <c r="F536" s="100">
        <f t="shared" si="4"/>
        <v>18.717989897526493</v>
      </c>
      <c r="G536" s="97">
        <v>689.173</v>
      </c>
      <c r="H536" s="97">
        <v>1.53</v>
      </c>
    </row>
    <row r="537" spans="2:8" x14ac:dyDescent="0.25">
      <c r="B537" s="97">
        <v>1.5349999999999999</v>
      </c>
      <c r="C537" s="98">
        <v>145</v>
      </c>
      <c r="D537" s="98">
        <v>20</v>
      </c>
      <c r="E537" s="99">
        <v>5.2967239999999999E-2</v>
      </c>
      <c r="F537" s="99">
        <f t="shared" si="4"/>
        <v>18.879594254863949</v>
      </c>
      <c r="G537" s="97">
        <v>691.8039</v>
      </c>
      <c r="H537" s="97">
        <v>1.5349999999999999</v>
      </c>
    </row>
    <row r="538" spans="2:8" x14ac:dyDescent="0.25">
      <c r="B538" s="97">
        <v>1.5389999999999999</v>
      </c>
      <c r="C538" s="98">
        <v>150</v>
      </c>
      <c r="D538" s="98">
        <v>20</v>
      </c>
      <c r="E538" s="100">
        <v>5.2518090000000003E-2</v>
      </c>
      <c r="F538" s="100">
        <f t="shared" si="4"/>
        <v>19.041058043047641</v>
      </c>
      <c r="G538" s="97">
        <v>694.43769999999995</v>
      </c>
      <c r="H538" s="97">
        <v>1.5389999999999999</v>
      </c>
    </row>
    <row r="539" spans="2:8" x14ac:dyDescent="0.25">
      <c r="B539" s="106">
        <v>1.5498000000000001</v>
      </c>
      <c r="C539" s="106">
        <v>160</v>
      </c>
      <c r="D539" s="107"/>
      <c r="E539" s="106"/>
      <c r="F539" s="106">
        <v>19.364000000000001</v>
      </c>
      <c r="G539" s="106">
        <v>700.72</v>
      </c>
      <c r="H539" s="106">
        <v>1.5498000000000001</v>
      </c>
    </row>
    <row r="540" spans="2:8" x14ac:dyDescent="0.25">
      <c r="B540" s="106">
        <v>1.5667</v>
      </c>
      <c r="C540" s="106">
        <v>180</v>
      </c>
      <c r="D540" s="107"/>
      <c r="E540" s="106"/>
      <c r="F540" s="106">
        <v>20.007000000000001</v>
      </c>
      <c r="G540" s="106">
        <v>711.33</v>
      </c>
      <c r="H540" s="106">
        <v>1.5667</v>
      </c>
    </row>
    <row r="541" spans="2:8" x14ac:dyDescent="0.25">
      <c r="B541" s="106">
        <v>1.5831</v>
      </c>
      <c r="C541" s="106">
        <v>200</v>
      </c>
      <c r="D541" s="107"/>
      <c r="E541" s="106"/>
      <c r="F541" s="106">
        <v>20.649000000000001</v>
      </c>
      <c r="G541" s="106">
        <v>722</v>
      </c>
      <c r="H541" s="106">
        <v>1.5831</v>
      </c>
    </row>
    <row r="542" spans="2:8" x14ac:dyDescent="0.25">
      <c r="B542" s="106">
        <v>1.5991</v>
      </c>
      <c r="C542" s="106">
        <v>220</v>
      </c>
      <c r="D542" s="107"/>
      <c r="E542" s="106"/>
      <c r="F542" s="106">
        <v>21.289000000000001</v>
      </c>
      <c r="G542" s="106">
        <v>732.74</v>
      </c>
      <c r="H542" s="106">
        <v>1.5991</v>
      </c>
    </row>
    <row r="543" spans="2:8" x14ac:dyDescent="0.25">
      <c r="B543" s="106">
        <v>1.6160000000000001</v>
      </c>
      <c r="C543" t="s">
        <v>374</v>
      </c>
      <c r="D543" t="s">
        <v>374</v>
      </c>
      <c r="E543" t="s">
        <v>374</v>
      </c>
      <c r="F543" t="s">
        <v>374</v>
      </c>
      <c r="G543" t="s">
        <v>374</v>
      </c>
      <c r="H543" t="s">
        <v>374</v>
      </c>
    </row>
    <row r="546" spans="1:8" ht="15.75" x14ac:dyDescent="0.25">
      <c r="A546" s="92">
        <v>23.724</v>
      </c>
      <c r="C546" s="95" t="s">
        <v>393</v>
      </c>
      <c r="E546" s="102"/>
      <c r="G546" s="102"/>
    </row>
    <row r="547" spans="1:8" x14ac:dyDescent="0.25">
      <c r="B547" s="96" t="s">
        <v>266</v>
      </c>
      <c r="C547" s="96" t="s">
        <v>375</v>
      </c>
      <c r="D547" s="96" t="s">
        <v>380</v>
      </c>
      <c r="E547" s="96" t="s">
        <v>381</v>
      </c>
      <c r="F547" s="96" t="s">
        <v>382</v>
      </c>
      <c r="G547" s="96" t="s">
        <v>265</v>
      </c>
      <c r="H547" s="96" t="s">
        <v>266</v>
      </c>
    </row>
    <row r="548" spans="1:8" x14ac:dyDescent="0.25">
      <c r="B548" s="96" t="s">
        <v>383</v>
      </c>
      <c r="C548" s="96" t="s">
        <v>384</v>
      </c>
      <c r="D548" s="96" t="s">
        <v>385</v>
      </c>
      <c r="E548" s="96" t="s">
        <v>386</v>
      </c>
      <c r="F548" s="96" t="s">
        <v>387</v>
      </c>
      <c r="G548" s="96" t="s">
        <v>388</v>
      </c>
      <c r="H548" s="96" t="s">
        <v>383</v>
      </c>
    </row>
    <row r="549" spans="1:8" x14ac:dyDescent="0.25">
      <c r="B549" s="97">
        <v>-2.5409999999999999E-2</v>
      </c>
      <c r="C549" s="98">
        <v>-50</v>
      </c>
      <c r="D549" s="98">
        <v>23.72</v>
      </c>
      <c r="E549" s="99">
        <v>43.5</v>
      </c>
      <c r="F549" s="99">
        <f t="shared" ref="F549:F589" si="5">1/E549</f>
        <v>2.2988505747126436E-2</v>
      </c>
      <c r="G549" s="97">
        <v>-10.48</v>
      </c>
      <c r="H549" s="97">
        <v>-2.5409999999999999E-2</v>
      </c>
    </row>
    <row r="550" spans="1:8" x14ac:dyDescent="0.25">
      <c r="B550" s="97">
        <v>-1.268E-2</v>
      </c>
      <c r="C550" s="98">
        <v>-45</v>
      </c>
      <c r="D550" s="98">
        <v>23.72</v>
      </c>
      <c r="E550" s="99">
        <v>43.3</v>
      </c>
      <c r="F550" s="99">
        <f t="shared" si="5"/>
        <v>2.3094688221709007E-2</v>
      </c>
      <c r="G550" s="97">
        <v>-5.2320000000000002</v>
      </c>
      <c r="H550" s="97">
        <v>-1.268E-2</v>
      </c>
    </row>
    <row r="551" spans="1:8" x14ac:dyDescent="0.25">
      <c r="B551" s="97">
        <v>-6.0000000000000002E-5</v>
      </c>
      <c r="C551" s="98">
        <v>-40</v>
      </c>
      <c r="D551" s="98">
        <v>23.72</v>
      </c>
      <c r="E551" s="99">
        <v>43.09</v>
      </c>
      <c r="F551" s="99">
        <f t="shared" si="5"/>
        <v>2.3207240659085634E-2</v>
      </c>
      <c r="G551" s="97">
        <v>3.3770000000000001E-2</v>
      </c>
      <c r="H551" s="97">
        <v>-6.0000000000000002E-5</v>
      </c>
    </row>
    <row r="552" spans="1:8" x14ac:dyDescent="0.25">
      <c r="B552" s="97">
        <v>1.2460000000000001E-2</v>
      </c>
      <c r="C552" s="98">
        <v>-35</v>
      </c>
      <c r="D552" s="98">
        <v>23.72</v>
      </c>
      <c r="E552" s="99">
        <v>42.88</v>
      </c>
      <c r="F552" s="99">
        <f t="shared" si="5"/>
        <v>2.3320895522388058E-2</v>
      </c>
      <c r="G552" s="97">
        <v>5.3159999999999998</v>
      </c>
      <c r="H552" s="97">
        <v>1.2460000000000001E-2</v>
      </c>
    </row>
    <row r="553" spans="1:8" x14ac:dyDescent="0.25">
      <c r="B553" s="97">
        <v>2.486E-2</v>
      </c>
      <c r="C553" s="98">
        <v>-30</v>
      </c>
      <c r="D553" s="98">
        <v>23.72</v>
      </c>
      <c r="E553" s="99">
        <v>42.66</v>
      </c>
      <c r="F553" s="99">
        <f t="shared" si="5"/>
        <v>2.3441162681669011E-2</v>
      </c>
      <c r="G553" s="97">
        <v>10.62</v>
      </c>
      <c r="H553" s="97">
        <v>2.486E-2</v>
      </c>
    </row>
    <row r="554" spans="1:8" x14ac:dyDescent="0.25">
      <c r="B554" s="97">
        <v>3.7170000000000002E-2</v>
      </c>
      <c r="C554" s="98">
        <v>-25</v>
      </c>
      <c r="D554" s="98">
        <v>23.72</v>
      </c>
      <c r="E554" s="99">
        <v>42.45</v>
      </c>
      <c r="F554" s="99">
        <f t="shared" si="5"/>
        <v>2.3557126030624261E-2</v>
      </c>
      <c r="G554" s="97">
        <v>15.93</v>
      </c>
      <c r="H554" s="97">
        <v>3.7170000000000002E-2</v>
      </c>
    </row>
    <row r="555" spans="1:8" x14ac:dyDescent="0.25">
      <c r="B555" s="97">
        <v>4.9369999999999997E-2</v>
      </c>
      <c r="C555" s="98">
        <v>-20</v>
      </c>
      <c r="D555" s="98">
        <v>23.72</v>
      </c>
      <c r="E555" s="100">
        <v>42.23</v>
      </c>
      <c r="F555" s="100">
        <f t="shared" si="5"/>
        <v>2.3679848448969927E-2</v>
      </c>
      <c r="G555" s="97">
        <v>21.27</v>
      </c>
      <c r="H555" s="97">
        <v>4.9369999999999997E-2</v>
      </c>
    </row>
    <row r="556" spans="1:8" x14ac:dyDescent="0.25">
      <c r="B556" s="97">
        <v>6.1469999999999997E-2</v>
      </c>
      <c r="C556" s="98">
        <v>-15</v>
      </c>
      <c r="D556" s="98">
        <v>23.72</v>
      </c>
      <c r="E556" s="99">
        <v>42.01</v>
      </c>
      <c r="F556" s="99">
        <f t="shared" si="5"/>
        <v>2.3803856224708403E-2</v>
      </c>
      <c r="G556" s="97">
        <v>26.62</v>
      </c>
      <c r="H556" s="97">
        <v>6.1469999999999997E-2</v>
      </c>
    </row>
    <row r="557" spans="1:8" x14ac:dyDescent="0.25">
      <c r="B557" s="97">
        <v>7.3469999999999994E-2</v>
      </c>
      <c r="C557" s="98">
        <v>-10</v>
      </c>
      <c r="D557" s="98">
        <v>23.72</v>
      </c>
      <c r="E557" s="100">
        <v>41.79</v>
      </c>
      <c r="F557" s="100">
        <f t="shared" si="5"/>
        <v>2.3929169657812874E-2</v>
      </c>
      <c r="G557" s="97">
        <v>31.98</v>
      </c>
      <c r="H557" s="97">
        <v>7.3469999999999994E-2</v>
      </c>
    </row>
    <row r="558" spans="1:8" x14ac:dyDescent="0.25">
      <c r="B558" s="97">
        <v>1.361</v>
      </c>
      <c r="C558" s="98">
        <v>-5</v>
      </c>
      <c r="D558" s="98">
        <v>23.72</v>
      </c>
      <c r="E558" s="99">
        <v>8.5819999999999994E-2</v>
      </c>
      <c r="F558" s="99">
        <f t="shared" si="5"/>
        <v>11.652295502213937</v>
      </c>
      <c r="G558" s="97">
        <v>611.1</v>
      </c>
      <c r="H558" s="97">
        <v>1.361</v>
      </c>
    </row>
    <row r="559" spans="1:8" x14ac:dyDescent="0.25">
      <c r="B559" s="97">
        <v>1.367</v>
      </c>
      <c r="C559" s="98">
        <v>0</v>
      </c>
      <c r="D559" s="98">
        <v>23.72</v>
      </c>
      <c r="E559" s="100">
        <v>8.473E-2</v>
      </c>
      <c r="F559" s="100">
        <f t="shared" si="5"/>
        <v>11.802195208308746</v>
      </c>
      <c r="G559" s="97">
        <v>613.9</v>
      </c>
      <c r="H559" s="97">
        <v>1.367</v>
      </c>
    </row>
    <row r="560" spans="1:8" x14ac:dyDescent="0.25">
      <c r="B560" s="97">
        <v>1.3740000000000001</v>
      </c>
      <c r="C560" s="98">
        <v>5</v>
      </c>
      <c r="D560" s="98">
        <v>23.72</v>
      </c>
      <c r="E560" s="99">
        <v>8.3680000000000004E-2</v>
      </c>
      <c r="F560" s="99">
        <f t="shared" si="5"/>
        <v>11.950286806883364</v>
      </c>
      <c r="G560" s="97">
        <v>616.70000000000005</v>
      </c>
      <c r="H560" s="97">
        <v>1.3740000000000001</v>
      </c>
    </row>
    <row r="561" spans="2:8" x14ac:dyDescent="0.25">
      <c r="B561" s="97">
        <v>1.379</v>
      </c>
      <c r="C561" s="98">
        <v>10</v>
      </c>
      <c r="D561" s="98">
        <v>23.72</v>
      </c>
      <c r="E561" s="100">
        <v>8.2659999999999997E-2</v>
      </c>
      <c r="F561" s="100">
        <f t="shared" si="5"/>
        <v>12.097749818533753</v>
      </c>
      <c r="G561" s="97">
        <v>619.5</v>
      </c>
      <c r="H561" s="97">
        <v>1.379</v>
      </c>
    </row>
    <row r="562" spans="2:8" x14ac:dyDescent="0.25">
      <c r="B562" s="97">
        <v>1.385</v>
      </c>
      <c r="C562" s="98">
        <v>15</v>
      </c>
      <c r="D562" s="98">
        <v>23.72</v>
      </c>
      <c r="E562" s="99">
        <v>8.1670000000000006E-2</v>
      </c>
      <c r="F562" s="99">
        <f t="shared" si="5"/>
        <v>12.244398187829066</v>
      </c>
      <c r="G562" s="97">
        <v>622.20000000000005</v>
      </c>
      <c r="H562" s="97">
        <v>1.385</v>
      </c>
    </row>
    <row r="563" spans="2:8" x14ac:dyDescent="0.25">
      <c r="B563" s="97">
        <v>1.391</v>
      </c>
      <c r="C563" s="98">
        <v>20</v>
      </c>
      <c r="D563" s="98">
        <v>23.72</v>
      </c>
      <c r="E563" s="100">
        <v>8.0710000000000004E-2</v>
      </c>
      <c r="F563" s="100">
        <f t="shared" si="5"/>
        <v>12.390038409119068</v>
      </c>
      <c r="G563" s="97">
        <v>625</v>
      </c>
      <c r="H563" s="97">
        <v>1.391</v>
      </c>
    </row>
    <row r="564" spans="2:8" x14ac:dyDescent="0.25">
      <c r="B564" s="97">
        <v>1.397</v>
      </c>
      <c r="C564" s="98">
        <v>25</v>
      </c>
      <c r="D564" s="98">
        <v>23.72</v>
      </c>
      <c r="E564" s="99">
        <v>7.9780000000000004E-2</v>
      </c>
      <c r="F564" s="99">
        <f t="shared" si="5"/>
        <v>12.534469791927801</v>
      </c>
      <c r="G564" s="97">
        <v>627.70000000000005</v>
      </c>
      <c r="H564" s="97">
        <v>1.397</v>
      </c>
    </row>
    <row r="565" spans="2:8" x14ac:dyDescent="0.25">
      <c r="B565" s="97">
        <v>1.4019999999999999</v>
      </c>
      <c r="C565" s="98">
        <v>30</v>
      </c>
      <c r="D565" s="98">
        <v>23.72</v>
      </c>
      <c r="E565" s="100">
        <v>7.8869999999999996E-2</v>
      </c>
      <c r="F565" s="100">
        <f t="shared" si="5"/>
        <v>12.679092177000127</v>
      </c>
      <c r="G565" s="97">
        <v>630.4</v>
      </c>
      <c r="H565" s="97">
        <v>1.4019999999999999</v>
      </c>
    </row>
    <row r="566" spans="2:8" x14ac:dyDescent="0.25">
      <c r="B566" s="97">
        <v>1.4079999999999999</v>
      </c>
      <c r="C566" s="98">
        <v>35</v>
      </c>
      <c r="D566" s="98">
        <v>23.72</v>
      </c>
      <c r="E566" s="99">
        <v>7.7990000000000004E-2</v>
      </c>
      <c r="F566" s="99">
        <f t="shared" si="5"/>
        <v>12.822156686754711</v>
      </c>
      <c r="G566" s="97">
        <v>633.1</v>
      </c>
      <c r="H566" s="97">
        <v>1.4079999999999999</v>
      </c>
    </row>
    <row r="567" spans="2:8" x14ac:dyDescent="0.25">
      <c r="B567" s="97">
        <v>1.413</v>
      </c>
      <c r="C567" s="98">
        <v>40</v>
      </c>
      <c r="D567" s="98">
        <v>23.72</v>
      </c>
      <c r="E567" s="100">
        <v>7.7119999999999994E-2</v>
      </c>
      <c r="F567" s="100">
        <f t="shared" si="5"/>
        <v>12.966804979253112</v>
      </c>
      <c r="G567" s="97">
        <v>635.79999999999995</v>
      </c>
      <c r="H567" s="97">
        <v>1.413</v>
      </c>
    </row>
    <row r="568" spans="2:8" x14ac:dyDescent="0.25">
      <c r="B568" s="97">
        <v>1.4179999999999999</v>
      </c>
      <c r="C568" s="98">
        <v>45</v>
      </c>
      <c r="D568" s="98">
        <v>23.72</v>
      </c>
      <c r="E568" s="99">
        <v>7.6289999999999997E-2</v>
      </c>
      <c r="F568" s="99">
        <f t="shared" si="5"/>
        <v>13.107877834578582</v>
      </c>
      <c r="G568" s="97">
        <v>638.5</v>
      </c>
      <c r="H568" s="97">
        <v>1.4179999999999999</v>
      </c>
    </row>
    <row r="569" spans="2:8" x14ac:dyDescent="0.25">
      <c r="B569" s="97">
        <v>1.4239999999999999</v>
      </c>
      <c r="C569" s="98">
        <v>50</v>
      </c>
      <c r="D569" s="98">
        <v>23.72</v>
      </c>
      <c r="E569" s="100">
        <v>7.5469999999999995E-2</v>
      </c>
      <c r="F569" s="100">
        <f t="shared" si="5"/>
        <v>13.250298131707964</v>
      </c>
      <c r="G569" s="97">
        <v>641.20000000000005</v>
      </c>
      <c r="H569" s="97">
        <v>1.4239999999999999</v>
      </c>
    </row>
    <row r="570" spans="2:8" x14ac:dyDescent="0.25">
      <c r="B570" s="97">
        <v>1.429</v>
      </c>
      <c r="C570" s="98">
        <v>55</v>
      </c>
      <c r="D570" s="98">
        <v>23.72</v>
      </c>
      <c r="E570" s="99">
        <v>7.467E-2</v>
      </c>
      <c r="F570" s="99">
        <f t="shared" si="5"/>
        <v>13.392259274139548</v>
      </c>
      <c r="G570" s="97">
        <v>643.79999999999995</v>
      </c>
      <c r="H570" s="97">
        <v>1.429</v>
      </c>
    </row>
    <row r="571" spans="2:8" x14ac:dyDescent="0.25">
      <c r="B571" s="97">
        <v>1.4339999999999999</v>
      </c>
      <c r="C571" s="98">
        <v>60</v>
      </c>
      <c r="D571" s="98">
        <v>23.72</v>
      </c>
      <c r="E571" s="100">
        <v>7.3889999999999997E-2</v>
      </c>
      <c r="F571" s="100">
        <f t="shared" si="5"/>
        <v>13.533631073216945</v>
      </c>
      <c r="G571" s="97">
        <v>646.5</v>
      </c>
      <c r="H571" s="97">
        <v>1.4339999999999999</v>
      </c>
    </row>
    <row r="572" spans="2:8" x14ac:dyDescent="0.25">
      <c r="B572" s="97">
        <v>1.4390000000000001</v>
      </c>
      <c r="C572" s="98">
        <v>65</v>
      </c>
      <c r="D572" s="98">
        <v>23.72</v>
      </c>
      <c r="E572" s="99">
        <v>7.3130000000000001E-2</v>
      </c>
      <c r="F572" s="99">
        <f t="shared" si="5"/>
        <v>13.674278681799535</v>
      </c>
      <c r="G572" s="97">
        <v>649.1</v>
      </c>
      <c r="H572" s="97">
        <v>1.4390000000000001</v>
      </c>
    </row>
    <row r="573" spans="2:8" x14ac:dyDescent="0.25">
      <c r="B573" s="97">
        <v>1.444</v>
      </c>
      <c r="C573" s="98">
        <v>70</v>
      </c>
      <c r="D573" s="98">
        <v>23.72</v>
      </c>
      <c r="E573" s="100">
        <v>7.2389999999999996E-2</v>
      </c>
      <c r="F573" s="100">
        <f t="shared" si="5"/>
        <v>13.814062715844731</v>
      </c>
      <c r="G573" s="97">
        <v>651.79999999999995</v>
      </c>
      <c r="H573" s="97">
        <v>1.444</v>
      </c>
    </row>
    <row r="574" spans="2:8" x14ac:dyDescent="0.25">
      <c r="B574" s="97">
        <v>1.4490000000000001</v>
      </c>
      <c r="C574" s="98">
        <v>75</v>
      </c>
      <c r="D574" s="98">
        <v>23.72</v>
      </c>
      <c r="E574" s="99">
        <v>7.1660000000000001E-2</v>
      </c>
      <c r="F574" s="99">
        <f t="shared" si="5"/>
        <v>13.954786491766676</v>
      </c>
      <c r="G574" s="97">
        <v>654.4</v>
      </c>
      <c r="H574" s="97">
        <v>1.4490000000000001</v>
      </c>
    </row>
    <row r="575" spans="2:8" x14ac:dyDescent="0.25">
      <c r="B575" s="97">
        <v>1.454</v>
      </c>
      <c r="C575" s="98">
        <v>80</v>
      </c>
      <c r="D575" s="98">
        <v>23.72</v>
      </c>
      <c r="E575" s="100">
        <v>7.0949999999999999E-2</v>
      </c>
      <c r="F575" s="100">
        <f t="shared" si="5"/>
        <v>14.094432699083862</v>
      </c>
      <c r="G575" s="97">
        <v>657.1</v>
      </c>
      <c r="H575" s="97">
        <v>1.454</v>
      </c>
    </row>
    <row r="576" spans="2:8" x14ac:dyDescent="0.25">
      <c r="B576" s="97">
        <v>1.4590000000000001</v>
      </c>
      <c r="C576" s="98">
        <v>85</v>
      </c>
      <c r="D576" s="98">
        <v>23.72</v>
      </c>
      <c r="E576" s="99">
        <v>7.0260000000000003E-2</v>
      </c>
      <c r="F576" s="99">
        <f t="shared" si="5"/>
        <v>14.232849416453174</v>
      </c>
      <c r="G576" s="97">
        <v>659.7</v>
      </c>
      <c r="H576" s="97">
        <v>1.4590000000000001</v>
      </c>
    </row>
    <row r="577" spans="2:8" x14ac:dyDescent="0.25">
      <c r="B577" s="97">
        <v>1.464</v>
      </c>
      <c r="C577" s="98">
        <v>90</v>
      </c>
      <c r="D577" s="98">
        <v>23.72</v>
      </c>
      <c r="E577" s="100">
        <v>6.9580000000000003E-2</v>
      </c>
      <c r="F577" s="100">
        <f t="shared" si="5"/>
        <v>14.371945961483185</v>
      </c>
      <c r="G577" s="97">
        <v>662.3</v>
      </c>
      <c r="H577" s="97">
        <v>1.464</v>
      </c>
    </row>
    <row r="578" spans="2:8" x14ac:dyDescent="0.25">
      <c r="B578" s="97">
        <v>1.4690000000000001</v>
      </c>
      <c r="C578" s="98">
        <v>95</v>
      </c>
      <c r="D578" s="98">
        <v>23.72</v>
      </c>
      <c r="E578" s="99">
        <v>6.8909999999999999E-2</v>
      </c>
      <c r="F578" s="99">
        <f t="shared" si="5"/>
        <v>14.511681903932667</v>
      </c>
      <c r="G578" s="97">
        <v>665</v>
      </c>
      <c r="H578" s="97">
        <v>1.4690000000000001</v>
      </c>
    </row>
    <row r="579" spans="2:8" x14ac:dyDescent="0.25">
      <c r="B579" s="97">
        <v>1.4730000000000001</v>
      </c>
      <c r="C579" s="98">
        <v>100</v>
      </c>
      <c r="D579" s="98">
        <v>23.72</v>
      </c>
      <c r="E579" s="100">
        <v>6.8260000000000001E-2</v>
      </c>
      <c r="F579" s="100">
        <f t="shared" si="5"/>
        <v>14.64986815118664</v>
      </c>
      <c r="G579" s="97">
        <v>667.6</v>
      </c>
      <c r="H579" s="97">
        <v>1.4730000000000001</v>
      </c>
    </row>
    <row r="580" spans="2:8" x14ac:dyDescent="0.25">
      <c r="B580" s="97">
        <v>1.478</v>
      </c>
      <c r="C580" s="98">
        <v>105</v>
      </c>
      <c r="D580" s="98">
        <v>23.72</v>
      </c>
      <c r="E580" s="99">
        <v>6.762E-2</v>
      </c>
      <c r="F580" s="99">
        <f t="shared" si="5"/>
        <v>14.788524105294291</v>
      </c>
      <c r="G580" s="97">
        <v>670.2</v>
      </c>
      <c r="H580" s="97">
        <v>1.478</v>
      </c>
    </row>
    <row r="581" spans="2:8" x14ac:dyDescent="0.25">
      <c r="B581" s="97">
        <v>1.4830000000000001</v>
      </c>
      <c r="C581" s="98">
        <v>110</v>
      </c>
      <c r="D581" s="98">
        <v>23.72</v>
      </c>
      <c r="E581" s="100">
        <v>6.6989999999999994E-2</v>
      </c>
      <c r="F581" s="100">
        <f t="shared" si="5"/>
        <v>14.927601134497687</v>
      </c>
      <c r="G581" s="97">
        <v>672.9</v>
      </c>
      <c r="H581" s="97">
        <v>1.4830000000000001</v>
      </c>
    </row>
    <row r="582" spans="2:8" x14ac:dyDescent="0.25">
      <c r="B582" s="97">
        <v>1.4870000000000001</v>
      </c>
      <c r="C582" s="98">
        <v>115</v>
      </c>
      <c r="D582" s="98">
        <v>23.72</v>
      </c>
      <c r="E582" s="99">
        <v>6.6379999999999995E-2</v>
      </c>
      <c r="F582" s="99">
        <f t="shared" si="5"/>
        <v>15.064778547755349</v>
      </c>
      <c r="G582" s="97">
        <v>675.5</v>
      </c>
      <c r="H582" s="97">
        <v>1.4870000000000001</v>
      </c>
    </row>
    <row r="583" spans="2:8" x14ac:dyDescent="0.25">
      <c r="B583" s="97">
        <v>1.492</v>
      </c>
      <c r="C583" s="98">
        <v>120</v>
      </c>
      <c r="D583" s="98">
        <v>23.72</v>
      </c>
      <c r="E583" s="100">
        <v>6.5780000000000005E-2</v>
      </c>
      <c r="F583" s="100">
        <f t="shared" si="5"/>
        <v>15.202189115232592</v>
      </c>
      <c r="G583" s="97">
        <v>678.2</v>
      </c>
      <c r="H583" s="97">
        <v>1.492</v>
      </c>
    </row>
    <row r="584" spans="2:8" x14ac:dyDescent="0.25">
      <c r="B584" s="97">
        <v>1.496</v>
      </c>
      <c r="C584" s="98">
        <v>125</v>
      </c>
      <c r="D584" s="98">
        <v>23.72</v>
      </c>
      <c r="E584" s="99">
        <v>6.5189999999999998E-2</v>
      </c>
      <c r="F584" s="99">
        <f t="shared" si="5"/>
        <v>15.339776039269827</v>
      </c>
      <c r="G584" s="97">
        <v>680.8</v>
      </c>
      <c r="H584" s="97">
        <v>1.496</v>
      </c>
    </row>
    <row r="585" spans="2:8" x14ac:dyDescent="0.25">
      <c r="B585" s="97">
        <v>1.5009999999999999</v>
      </c>
      <c r="C585" s="98">
        <v>130</v>
      </c>
      <c r="D585" s="98">
        <v>23.72</v>
      </c>
      <c r="E585" s="100">
        <v>6.4610000000000001E-2</v>
      </c>
      <c r="F585" s="100">
        <f t="shared" si="5"/>
        <v>15.477480266212661</v>
      </c>
      <c r="G585" s="97">
        <v>683.4</v>
      </c>
      <c r="H585" s="97">
        <v>1.5009999999999999</v>
      </c>
    </row>
    <row r="586" spans="2:8" x14ac:dyDescent="0.25">
      <c r="B586" s="97">
        <v>1.5049999999999999</v>
      </c>
      <c r="C586" s="98">
        <v>135</v>
      </c>
      <c r="D586" s="98">
        <v>23.72</v>
      </c>
      <c r="E586" s="99">
        <v>6.404E-2</v>
      </c>
      <c r="F586" s="99">
        <f t="shared" si="5"/>
        <v>15.615240474703311</v>
      </c>
      <c r="G586" s="97">
        <v>686.1</v>
      </c>
      <c r="H586" s="97">
        <v>1.5049999999999999</v>
      </c>
    </row>
    <row r="587" spans="2:8" x14ac:dyDescent="0.25">
      <c r="B587" s="97">
        <v>1.51</v>
      </c>
      <c r="C587" s="98">
        <v>140</v>
      </c>
      <c r="D587" s="98">
        <v>23.72</v>
      </c>
      <c r="E587" s="100">
        <v>6.3479999999999995E-2</v>
      </c>
      <c r="F587" s="100">
        <f t="shared" si="5"/>
        <v>15.75299306868305</v>
      </c>
      <c r="G587" s="97">
        <v>688.7</v>
      </c>
      <c r="H587" s="97">
        <v>1.51</v>
      </c>
    </row>
    <row r="588" spans="2:8" x14ac:dyDescent="0.25">
      <c r="B588" s="97">
        <v>1.514</v>
      </c>
      <c r="C588" s="98">
        <v>145</v>
      </c>
      <c r="D588" s="98">
        <v>23.72</v>
      </c>
      <c r="E588" s="99">
        <v>6.2939999999999996E-2</v>
      </c>
      <c r="F588" s="99">
        <f t="shared" si="5"/>
        <v>15.888147442008263</v>
      </c>
      <c r="G588" s="97">
        <v>691.4</v>
      </c>
      <c r="H588" s="97">
        <v>1.514</v>
      </c>
    </row>
    <row r="589" spans="2:8" x14ac:dyDescent="0.25">
      <c r="B589" s="97">
        <v>1.518</v>
      </c>
      <c r="C589" s="98">
        <v>150</v>
      </c>
      <c r="D589" s="98">
        <v>23.72</v>
      </c>
      <c r="E589" s="100">
        <v>6.2399999999999997E-2</v>
      </c>
      <c r="F589" s="100">
        <f t="shared" si="5"/>
        <v>16.025641025641026</v>
      </c>
      <c r="G589" s="97">
        <v>694</v>
      </c>
      <c r="H589" s="97">
        <v>1.518</v>
      </c>
    </row>
    <row r="590" spans="2:8" x14ac:dyDescent="0.25">
      <c r="B590" s="97">
        <v>1.5229999999999999</v>
      </c>
      <c r="C590" t="s">
        <v>374</v>
      </c>
      <c r="D590" t="s">
        <v>374</v>
      </c>
      <c r="E590" t="s">
        <v>374</v>
      </c>
      <c r="F590" t="s">
        <v>374</v>
      </c>
      <c r="G590" t="s">
        <v>374</v>
      </c>
      <c r="H590" t="s">
        <v>374</v>
      </c>
    </row>
    <row r="593" spans="1:8" ht="15.75" x14ac:dyDescent="0.25">
      <c r="A593" s="92">
        <v>25</v>
      </c>
      <c r="C593" s="95" t="s">
        <v>394</v>
      </c>
      <c r="E593" s="102"/>
      <c r="F593" s="102"/>
      <c r="G593" s="108"/>
    </row>
    <row r="594" spans="1:8" x14ac:dyDescent="0.25">
      <c r="B594" s="96" t="s">
        <v>266</v>
      </c>
      <c r="C594" s="96" t="s">
        <v>375</v>
      </c>
      <c r="D594" s="96" t="s">
        <v>380</v>
      </c>
      <c r="E594" s="96" t="s">
        <v>381</v>
      </c>
      <c r="F594" s="96" t="s">
        <v>382</v>
      </c>
      <c r="G594" s="96" t="s">
        <v>265</v>
      </c>
      <c r="H594" s="96" t="s">
        <v>266</v>
      </c>
    </row>
    <row r="595" spans="1:8" x14ac:dyDescent="0.25">
      <c r="B595" s="96" t="s">
        <v>383</v>
      </c>
      <c r="C595" s="96" t="s">
        <v>384</v>
      </c>
      <c r="D595" s="96" t="s">
        <v>385</v>
      </c>
      <c r="E595" s="96" t="s">
        <v>386</v>
      </c>
      <c r="F595" s="96" t="s">
        <v>387</v>
      </c>
      <c r="G595" s="96" t="s">
        <v>388</v>
      </c>
      <c r="H595" s="96" t="s">
        <v>383</v>
      </c>
    </row>
    <row r="596" spans="1:8" x14ac:dyDescent="0.25">
      <c r="B596" s="97">
        <v>-2.541469E-2</v>
      </c>
      <c r="C596" s="98">
        <v>-50</v>
      </c>
      <c r="D596" s="98">
        <v>25</v>
      </c>
      <c r="E596" s="99">
        <v>43.504957500000003</v>
      </c>
      <c r="F596" s="99">
        <f t="shared" ref="F596:F636" si="6">1/E596</f>
        <v>2.2985886148722243E-2</v>
      </c>
      <c r="G596" s="97">
        <v>-10.475899999999999</v>
      </c>
      <c r="H596" s="97">
        <v>-2.541469E-2</v>
      </c>
    </row>
    <row r="597" spans="1:8" x14ac:dyDescent="0.25">
      <c r="B597" s="97">
        <v>-1.2682860000000001E-2</v>
      </c>
      <c r="C597" s="98">
        <v>-45</v>
      </c>
      <c r="D597" s="98">
        <v>25</v>
      </c>
      <c r="E597" s="99">
        <v>43.297236300000002</v>
      </c>
      <c r="F597" s="99">
        <f t="shared" si="6"/>
        <v>2.3096162375611025E-2</v>
      </c>
      <c r="G597" s="97">
        <v>-5.2282999999999999</v>
      </c>
      <c r="H597" s="97">
        <v>-1.2682860000000001E-2</v>
      </c>
    </row>
    <row r="598" spans="1:8" x14ac:dyDescent="0.25">
      <c r="B598" s="97">
        <v>-6.135E-5</v>
      </c>
      <c r="C598" s="98">
        <v>-40</v>
      </c>
      <c r="D598" s="98">
        <v>25</v>
      </c>
      <c r="E598" s="99">
        <v>43.087605600000003</v>
      </c>
      <c r="F598" s="99">
        <f t="shared" si="6"/>
        <v>2.3208530297167403E-2</v>
      </c>
      <c r="G598" s="97">
        <v>3.7000000000000005E-2</v>
      </c>
      <c r="H598" s="97">
        <v>-6.135E-5</v>
      </c>
    </row>
    <row r="599" spans="1:8" x14ac:dyDescent="0.25">
      <c r="B599" s="97">
        <v>1.2451790000000001E-2</v>
      </c>
      <c r="C599" s="98">
        <v>-35</v>
      </c>
      <c r="D599" s="98">
        <v>25</v>
      </c>
      <c r="E599" s="99">
        <v>42.876080899999998</v>
      </c>
      <c r="F599" s="99">
        <f t="shared" si="6"/>
        <v>2.3323027175275249E-2</v>
      </c>
      <c r="G599" s="97">
        <v>5.3196000000000003</v>
      </c>
      <c r="H599" s="97">
        <v>1.2451790000000001E-2</v>
      </c>
    </row>
    <row r="600" spans="1:8" x14ac:dyDescent="0.25">
      <c r="B600" s="97">
        <v>2.4858499999999999E-2</v>
      </c>
      <c r="C600" s="98">
        <v>-30</v>
      </c>
      <c r="D600" s="98">
        <v>25</v>
      </c>
      <c r="E600" s="99">
        <v>42.662672100000002</v>
      </c>
      <c r="F600" s="99">
        <f t="shared" si="6"/>
        <v>2.3439694486459509E-2</v>
      </c>
      <c r="G600" s="97">
        <v>10.619400000000001</v>
      </c>
      <c r="H600" s="97">
        <v>2.4858499999999999E-2</v>
      </c>
    </row>
    <row r="601" spans="1:8" x14ac:dyDescent="0.25">
      <c r="B601" s="97">
        <v>3.7160730000000003E-2</v>
      </c>
      <c r="C601" s="98">
        <v>-25</v>
      </c>
      <c r="D601" s="98">
        <v>25</v>
      </c>
      <c r="E601" s="99">
        <v>42.4473828</v>
      </c>
      <c r="F601" s="99">
        <f t="shared" si="6"/>
        <v>2.3558578504397215E-2</v>
      </c>
      <c r="G601" s="97">
        <v>15.936</v>
      </c>
      <c r="H601" s="97">
        <v>3.7160730000000003E-2</v>
      </c>
    </row>
    <row r="602" spans="1:8" x14ac:dyDescent="0.25">
      <c r="B602" s="97">
        <v>4.9360429999999997E-2</v>
      </c>
      <c r="C602" s="98">
        <v>-20</v>
      </c>
      <c r="D602" s="98">
        <v>25</v>
      </c>
      <c r="E602" s="99">
        <v>42.23021</v>
      </c>
      <c r="F602" s="99">
        <f t="shared" si="6"/>
        <v>2.367973069515875E-2</v>
      </c>
      <c r="G602" s="97">
        <v>21.269300000000001</v>
      </c>
      <c r="H602" s="97">
        <v>4.9360429999999997E-2</v>
      </c>
    </row>
    <row r="603" spans="1:8" x14ac:dyDescent="0.25">
      <c r="B603" s="97">
        <v>6.1459600000000003E-2</v>
      </c>
      <c r="C603" s="98">
        <v>-15</v>
      </c>
      <c r="D603" s="98">
        <v>25</v>
      </c>
      <c r="E603" s="99">
        <v>42.0111445</v>
      </c>
      <c r="F603" s="99">
        <f t="shared" si="6"/>
        <v>2.3803207741698158E-2</v>
      </c>
      <c r="G603" s="97">
        <v>26.6191</v>
      </c>
      <c r="H603" s="97">
        <v>6.1459600000000003E-2</v>
      </c>
    </row>
    <row r="604" spans="1:8" x14ac:dyDescent="0.25">
      <c r="B604" s="97">
        <v>7.3460289999999998E-2</v>
      </c>
      <c r="C604" s="98">
        <v>-10</v>
      </c>
      <c r="D604" s="98">
        <v>25</v>
      </c>
      <c r="E604" s="99">
        <v>41.790169900000002</v>
      </c>
      <c r="F604" s="99">
        <f t="shared" si="6"/>
        <v>2.392907237259162E-2</v>
      </c>
      <c r="G604" s="97">
        <v>31.985399999999998</v>
      </c>
      <c r="H604" s="97">
        <v>7.3460289999999998E-2</v>
      </c>
    </row>
    <row r="605" spans="1:8" x14ac:dyDescent="0.25">
      <c r="B605" s="97">
        <v>1.3543816200000001</v>
      </c>
      <c r="C605" s="98">
        <v>-5</v>
      </c>
      <c r="D605" s="98">
        <v>25</v>
      </c>
      <c r="E605" s="99">
        <v>9.06198E-2</v>
      </c>
      <c r="F605" s="99">
        <f t="shared" si="6"/>
        <v>11.035115945963245</v>
      </c>
      <c r="G605" s="97">
        <v>610.63279999999997</v>
      </c>
      <c r="H605" s="97">
        <v>1.3543816200000001</v>
      </c>
    </row>
    <row r="606" spans="1:8" x14ac:dyDescent="0.25">
      <c r="B606" s="97">
        <v>1.36059357</v>
      </c>
      <c r="C606" s="98">
        <v>0</v>
      </c>
      <c r="D606" s="98">
        <v>25</v>
      </c>
      <c r="E606" s="99">
        <v>8.9463000000000001E-2</v>
      </c>
      <c r="F606" s="99">
        <f t="shared" si="6"/>
        <v>11.177805349697641</v>
      </c>
      <c r="G606" s="97">
        <v>613.47270000000003</v>
      </c>
      <c r="H606" s="97">
        <v>1.36059357</v>
      </c>
    </row>
    <row r="607" spans="1:8" x14ac:dyDescent="0.25">
      <c r="B607" s="97">
        <v>1.36668491</v>
      </c>
      <c r="C607" s="98">
        <v>5</v>
      </c>
      <c r="D607" s="98">
        <v>25</v>
      </c>
      <c r="E607" s="99">
        <v>8.8343500000000005E-2</v>
      </c>
      <c r="F607" s="99">
        <f t="shared" si="6"/>
        <v>11.319451912138414</v>
      </c>
      <c r="G607" s="97">
        <v>616.28790000000004</v>
      </c>
      <c r="H607" s="97">
        <v>1.36668491</v>
      </c>
    </row>
    <row r="608" spans="1:8" x14ac:dyDescent="0.25">
      <c r="B608" s="97">
        <v>1.3726637699999999</v>
      </c>
      <c r="C608" s="98">
        <v>10</v>
      </c>
      <c r="D608" s="98">
        <v>25</v>
      </c>
      <c r="E608" s="99">
        <v>8.7259000000000003E-2</v>
      </c>
      <c r="F608" s="99">
        <f t="shared" si="6"/>
        <v>11.460135917211979</v>
      </c>
      <c r="G608" s="97">
        <v>619.08100000000002</v>
      </c>
      <c r="H608" s="97">
        <v>1.3726637699999999</v>
      </c>
    </row>
    <row r="609" spans="2:8" x14ac:dyDescent="0.25">
      <c r="B609" s="97">
        <v>1.3785374399999999</v>
      </c>
      <c r="C609" s="98">
        <v>15</v>
      </c>
      <c r="D609" s="98">
        <v>25</v>
      </c>
      <c r="E609" s="99">
        <v>8.6207300000000001E-2</v>
      </c>
      <c r="F609" s="99">
        <f t="shared" si="6"/>
        <v>11.599945712254067</v>
      </c>
      <c r="G609" s="97">
        <v>621.85429999999997</v>
      </c>
      <c r="H609" s="97">
        <v>1.3785374399999999</v>
      </c>
    </row>
    <row r="610" spans="2:8" x14ac:dyDescent="0.25">
      <c r="B610" s="97">
        <v>1.3843125000000001</v>
      </c>
      <c r="C610" s="98">
        <v>20</v>
      </c>
      <c r="D610" s="98">
        <v>25</v>
      </c>
      <c r="E610" s="99">
        <v>8.5186499999999998E-2</v>
      </c>
      <c r="F610" s="99">
        <f t="shared" si="6"/>
        <v>11.738949246652933</v>
      </c>
      <c r="G610" s="97">
        <v>624.61</v>
      </c>
      <c r="H610" s="97">
        <v>1.3843125000000001</v>
      </c>
    </row>
    <row r="611" spans="2:8" x14ac:dyDescent="0.25">
      <c r="B611" s="97">
        <v>1.3899948799999999</v>
      </c>
      <c r="C611" s="98">
        <v>25</v>
      </c>
      <c r="D611" s="98">
        <v>25</v>
      </c>
      <c r="E611" s="99">
        <v>8.4194900000000003E-2</v>
      </c>
      <c r="F611" s="99">
        <f t="shared" si="6"/>
        <v>11.877203963660506</v>
      </c>
      <c r="G611" s="97">
        <v>627.34979999999996</v>
      </c>
      <c r="H611" s="97">
        <v>1.3899948799999999</v>
      </c>
    </row>
    <row r="612" spans="2:8" x14ac:dyDescent="0.25">
      <c r="B612" s="97">
        <v>1.3955899899999999</v>
      </c>
      <c r="C612" s="98">
        <v>30</v>
      </c>
      <c r="D612" s="98">
        <v>25</v>
      </c>
      <c r="E612" s="99">
        <v>8.3230700000000005E-2</v>
      </c>
      <c r="F612" s="99">
        <f t="shared" si="6"/>
        <v>12.014797424508023</v>
      </c>
      <c r="G612" s="97">
        <v>630.07550000000003</v>
      </c>
      <c r="H612" s="97">
        <v>1.3955899899999999</v>
      </c>
    </row>
    <row r="613" spans="2:8" x14ac:dyDescent="0.25">
      <c r="B613" s="97">
        <v>1.40110271</v>
      </c>
      <c r="C613" s="98">
        <v>35</v>
      </c>
      <c r="D613" s="98">
        <v>25</v>
      </c>
      <c r="E613" s="99">
        <v>8.2292699999999996E-2</v>
      </c>
      <c r="F613" s="99">
        <f t="shared" si="6"/>
        <v>12.151746145162329</v>
      </c>
      <c r="G613" s="97">
        <v>632.78869999999995</v>
      </c>
      <c r="H613" s="97">
        <v>1.40110271</v>
      </c>
    </row>
    <row r="614" spans="2:8" x14ac:dyDescent="0.25">
      <c r="B614" s="97">
        <v>1.4065375099999999</v>
      </c>
      <c r="C614" s="98">
        <v>40</v>
      </c>
      <c r="D614" s="98">
        <v>25</v>
      </c>
      <c r="E614" s="99">
        <v>8.1379499999999994E-2</v>
      </c>
      <c r="F614" s="99">
        <f t="shared" si="6"/>
        <v>12.288106955682943</v>
      </c>
      <c r="G614" s="97">
        <v>635.49069999999995</v>
      </c>
      <c r="H614" s="97">
        <v>1.4065375099999999</v>
      </c>
    </row>
    <row r="615" spans="2:8" x14ac:dyDescent="0.25">
      <c r="B615" s="97">
        <v>1.4118984699999999</v>
      </c>
      <c r="C615" s="98">
        <v>45</v>
      </c>
      <c r="D615" s="98">
        <v>25</v>
      </c>
      <c r="E615" s="99">
        <v>8.0489699999999997E-2</v>
      </c>
      <c r="F615" s="99">
        <f t="shared" si="6"/>
        <v>12.423949896694857</v>
      </c>
      <c r="G615" s="97">
        <v>638.18280000000004</v>
      </c>
      <c r="H615" s="97">
        <v>1.4118984699999999</v>
      </c>
    </row>
    <row r="616" spans="2:8" x14ac:dyDescent="0.25">
      <c r="B616" s="97">
        <v>1.41718933</v>
      </c>
      <c r="C616" s="98">
        <v>50</v>
      </c>
      <c r="D616" s="98">
        <v>25</v>
      </c>
      <c r="E616" s="99">
        <v>7.9622399999999996E-2</v>
      </c>
      <c r="F616" s="99">
        <f t="shared" si="6"/>
        <v>12.559279800659112</v>
      </c>
      <c r="G616" s="97">
        <v>640.86609999999996</v>
      </c>
      <c r="H616" s="97">
        <v>1.41718933</v>
      </c>
    </row>
    <row r="617" spans="2:8" x14ac:dyDescent="0.25">
      <c r="B617" s="97">
        <v>1.4224135099999999</v>
      </c>
      <c r="C617" s="98">
        <v>55</v>
      </c>
      <c r="D617" s="98">
        <v>25</v>
      </c>
      <c r="E617" s="99">
        <v>7.8776499999999999E-2</v>
      </c>
      <c r="F617" s="99">
        <f t="shared" si="6"/>
        <v>12.694141019212582</v>
      </c>
      <c r="G617" s="97">
        <v>643.54169999999999</v>
      </c>
      <c r="H617" s="97">
        <v>1.4224135099999999</v>
      </c>
    </row>
    <row r="618" spans="2:8" x14ac:dyDescent="0.25">
      <c r="B618" s="97">
        <v>1.4275741900000001</v>
      </c>
      <c r="C618" s="98">
        <v>60</v>
      </c>
      <c r="D618" s="98">
        <v>25</v>
      </c>
      <c r="E618" s="99">
        <v>7.7951000000000006E-2</v>
      </c>
      <c r="F618" s="99">
        <f t="shared" si="6"/>
        <v>12.82857179510205</v>
      </c>
      <c r="G618" s="97">
        <v>646.21069999999997</v>
      </c>
      <c r="H618" s="97">
        <v>1.4275741900000001</v>
      </c>
    </row>
    <row r="619" spans="2:8" x14ac:dyDescent="0.25">
      <c r="B619" s="97">
        <v>1.43267426</v>
      </c>
      <c r="C619" s="98">
        <v>65</v>
      </c>
      <c r="D619" s="98">
        <v>25</v>
      </c>
      <c r="E619" s="99">
        <v>7.7145000000000005E-2</v>
      </c>
      <c r="F619" s="99">
        <f t="shared" si="6"/>
        <v>12.962602890660444</v>
      </c>
      <c r="G619" s="97">
        <v>648.87369999999999</v>
      </c>
      <c r="H619" s="97">
        <v>1.43267426</v>
      </c>
    </row>
    <row r="620" spans="2:8" x14ac:dyDescent="0.25">
      <c r="B620" s="97">
        <v>1.43771643</v>
      </c>
      <c r="C620" s="98">
        <v>70</v>
      </c>
      <c r="D620" s="98">
        <v>25</v>
      </c>
      <c r="E620" s="99">
        <v>7.6357599999999998E-2</v>
      </c>
      <c r="F620" s="99">
        <f t="shared" si="6"/>
        <v>13.096273324462791</v>
      </c>
      <c r="G620" s="97">
        <v>651.53179999999998</v>
      </c>
      <c r="H620" s="97">
        <v>1.43771643</v>
      </c>
    </row>
    <row r="621" spans="2:8" x14ac:dyDescent="0.25">
      <c r="B621" s="97">
        <v>1.4427031699999999</v>
      </c>
      <c r="C621" s="98">
        <v>75</v>
      </c>
      <c r="D621" s="98">
        <v>25</v>
      </c>
      <c r="E621" s="99">
        <v>7.5588199999999994E-2</v>
      </c>
      <c r="F621" s="99">
        <f t="shared" si="6"/>
        <v>13.229578161670737</v>
      </c>
      <c r="G621" s="97">
        <v>654.18560000000002</v>
      </c>
      <c r="H621" s="97">
        <v>1.4427031699999999</v>
      </c>
    </row>
    <row r="622" spans="2:8" x14ac:dyDescent="0.25">
      <c r="B622" s="97">
        <v>1.44763682</v>
      </c>
      <c r="C622" s="98">
        <v>80</v>
      </c>
      <c r="D622" s="98">
        <v>25</v>
      </c>
      <c r="E622" s="99">
        <v>7.4836E-2</v>
      </c>
      <c r="F622" s="99">
        <f t="shared" si="6"/>
        <v>13.362552782083489</v>
      </c>
      <c r="G622" s="97">
        <v>656.83579999999995</v>
      </c>
      <c r="H622" s="97">
        <v>1.44763682</v>
      </c>
    </row>
    <row r="623" spans="2:8" x14ac:dyDescent="0.25">
      <c r="B623" s="97">
        <v>1.4525195099999999</v>
      </c>
      <c r="C623" s="98">
        <v>85</v>
      </c>
      <c r="D623" s="98">
        <v>25</v>
      </c>
      <c r="E623" s="99">
        <v>7.4100299999999994E-2</v>
      </c>
      <c r="F623" s="99">
        <f t="shared" si="6"/>
        <v>13.495222016645007</v>
      </c>
      <c r="G623" s="97">
        <v>659.48299999999995</v>
      </c>
      <c r="H623" s="97">
        <v>1.4525195099999999</v>
      </c>
    </row>
    <row r="624" spans="2:8" x14ac:dyDescent="0.25">
      <c r="B624" s="97">
        <v>1.4573532499999999</v>
      </c>
      <c r="C624" s="98">
        <v>90</v>
      </c>
      <c r="D624" s="98">
        <v>25</v>
      </c>
      <c r="E624" s="99">
        <v>7.3380500000000001E-2</v>
      </c>
      <c r="F624" s="99">
        <f t="shared" si="6"/>
        <v>13.627598612710461</v>
      </c>
      <c r="G624" s="97">
        <v>662.12779999999998</v>
      </c>
      <c r="H624" s="97">
        <v>1.4573532499999999</v>
      </c>
    </row>
    <row r="625" spans="1:8" x14ac:dyDescent="0.25">
      <c r="B625" s="97">
        <v>1.46213992</v>
      </c>
      <c r="C625" s="98">
        <v>95</v>
      </c>
      <c r="D625" s="98">
        <v>25</v>
      </c>
      <c r="E625" s="99">
        <v>7.2676000000000004E-2</v>
      </c>
      <c r="F625" s="99">
        <f t="shared" si="6"/>
        <v>13.759700588915184</v>
      </c>
      <c r="G625" s="97">
        <v>664.77089999999998</v>
      </c>
      <c r="H625" s="97">
        <v>1.46213992</v>
      </c>
    </row>
    <row r="626" spans="1:8" x14ac:dyDescent="0.25">
      <c r="B626" s="97">
        <v>1.4668812499999999</v>
      </c>
      <c r="C626" s="98">
        <v>100</v>
      </c>
      <c r="D626" s="98">
        <v>25</v>
      </c>
      <c r="E626" s="99">
        <v>7.19862E-2</v>
      </c>
      <c r="F626" s="99">
        <f t="shared" si="6"/>
        <v>13.891551436247504</v>
      </c>
      <c r="G626" s="97">
        <v>667.4126</v>
      </c>
      <c r="H626" s="97">
        <v>1.4668812499999999</v>
      </c>
    </row>
    <row r="627" spans="1:8" x14ac:dyDescent="0.25">
      <c r="B627" s="97">
        <v>1.47157889</v>
      </c>
      <c r="C627" s="98">
        <v>105</v>
      </c>
      <c r="D627" s="98">
        <v>25</v>
      </c>
      <c r="E627" s="99">
        <v>7.1310600000000002E-2</v>
      </c>
      <c r="F627" s="99">
        <f t="shared" si="6"/>
        <v>14.023160652133063</v>
      </c>
      <c r="G627" s="97">
        <v>670.05340000000001</v>
      </c>
      <c r="H627" s="97">
        <v>1.47157889</v>
      </c>
    </row>
    <row r="628" spans="1:8" x14ac:dyDescent="0.25">
      <c r="B628" s="97">
        <v>1.47623437</v>
      </c>
      <c r="C628" s="98">
        <v>110</v>
      </c>
      <c r="D628" s="98">
        <v>25</v>
      </c>
      <c r="E628" s="99">
        <v>7.0648600000000006E-2</v>
      </c>
      <c r="F628" s="99">
        <f t="shared" si="6"/>
        <v>14.154562156928799</v>
      </c>
      <c r="G628" s="97">
        <v>672.69389999999999</v>
      </c>
      <c r="H628" s="97">
        <v>1.47623437</v>
      </c>
    </row>
    <row r="629" spans="1:8" x14ac:dyDescent="0.25">
      <c r="B629" s="97">
        <v>1.4808491399999999</v>
      </c>
      <c r="C629" s="98">
        <v>115</v>
      </c>
      <c r="D629" s="98">
        <v>25</v>
      </c>
      <c r="E629" s="99">
        <v>6.9999900000000004E-2</v>
      </c>
      <c r="F629" s="99">
        <f t="shared" si="6"/>
        <v>14.285734693906704</v>
      </c>
      <c r="G629" s="97">
        <v>675.33429999999998</v>
      </c>
      <c r="H629" s="97">
        <v>1.4808491399999999</v>
      </c>
    </row>
    <row r="630" spans="1:8" x14ac:dyDescent="0.25">
      <c r="B630" s="97">
        <v>1.4854245500000001</v>
      </c>
      <c r="C630" s="98">
        <v>120</v>
      </c>
      <c r="D630" s="98">
        <v>25</v>
      </c>
      <c r="E630" s="99">
        <v>6.9363999999999995E-2</v>
      </c>
      <c r="F630" s="99">
        <f t="shared" si="6"/>
        <v>14.416700305634048</v>
      </c>
      <c r="G630" s="97">
        <v>677.9751</v>
      </c>
      <c r="H630" s="97">
        <v>1.4854245500000001</v>
      </c>
    </row>
    <row r="631" spans="1:8" x14ac:dyDescent="0.25">
      <c r="B631" s="97">
        <v>1.4899618800000001</v>
      </c>
      <c r="C631" s="98">
        <v>125</v>
      </c>
      <c r="D631" s="98">
        <v>25</v>
      </c>
      <c r="E631" s="99">
        <v>6.8740399999999993E-2</v>
      </c>
      <c r="F631" s="99">
        <f t="shared" si="6"/>
        <v>14.547485903486161</v>
      </c>
      <c r="G631" s="97">
        <v>680.61649999999997</v>
      </c>
      <c r="H631" s="97">
        <v>1.4899618800000001</v>
      </c>
    </row>
    <row r="632" spans="1:8" x14ac:dyDescent="0.25">
      <c r="B632" s="97">
        <v>1.4944623500000001</v>
      </c>
      <c r="C632" s="98">
        <v>130</v>
      </c>
      <c r="D632" s="98">
        <v>25</v>
      </c>
      <c r="E632" s="99">
        <v>6.81287E-2</v>
      </c>
      <c r="F632" s="99">
        <f t="shared" si="6"/>
        <v>14.678101886576435</v>
      </c>
      <c r="G632" s="97">
        <v>683.25909999999999</v>
      </c>
      <c r="H632" s="97">
        <v>1.4944623500000001</v>
      </c>
    </row>
    <row r="633" spans="1:8" x14ac:dyDescent="0.25">
      <c r="B633" s="97">
        <v>1.49892709</v>
      </c>
      <c r="C633" s="98">
        <v>135</v>
      </c>
      <c r="D633" s="98">
        <v>25</v>
      </c>
      <c r="E633" s="99">
        <v>6.7528599999999994E-2</v>
      </c>
      <c r="F633" s="99">
        <f t="shared" si="6"/>
        <v>14.808540381408767</v>
      </c>
      <c r="G633" s="97">
        <v>685.90290000000005</v>
      </c>
      <c r="H633" s="97">
        <v>1.49892709</v>
      </c>
    </row>
    <row r="634" spans="1:8" x14ac:dyDescent="0.25">
      <c r="B634" s="97">
        <v>1.5033571800000001</v>
      </c>
      <c r="C634" s="98">
        <v>140</v>
      </c>
      <c r="D634" s="98">
        <v>25</v>
      </c>
      <c r="E634" s="99">
        <v>6.6939799999999994E-2</v>
      </c>
      <c r="F634" s="99">
        <f t="shared" si="6"/>
        <v>14.938795753796697</v>
      </c>
      <c r="G634" s="97">
        <v>688.54840000000002</v>
      </c>
      <c r="H634" s="97">
        <v>1.5033571800000001</v>
      </c>
    </row>
    <row r="635" spans="1:8" x14ac:dyDescent="0.25">
      <c r="B635" s="97">
        <v>1.5077536600000001</v>
      </c>
      <c r="C635" s="98">
        <v>145</v>
      </c>
      <c r="D635" s="98">
        <v>25</v>
      </c>
      <c r="E635" s="99">
        <v>6.6361699999999996E-2</v>
      </c>
      <c r="F635" s="99">
        <f t="shared" si="6"/>
        <v>15.068932833245684</v>
      </c>
      <c r="G635" s="97">
        <v>691.19590000000005</v>
      </c>
      <c r="H635" s="97">
        <v>1.5077536600000001</v>
      </c>
    </row>
    <row r="636" spans="1:8" x14ac:dyDescent="0.25">
      <c r="B636" s="97">
        <v>1.5121174799999999</v>
      </c>
      <c r="C636" s="98">
        <v>150</v>
      </c>
      <c r="D636" s="98">
        <v>25</v>
      </c>
      <c r="E636" s="99">
        <v>6.5794199999999997E-2</v>
      </c>
      <c r="F636" s="99">
        <f t="shared" si="6"/>
        <v>15.198908110441346</v>
      </c>
      <c r="G636" s="97">
        <v>693.84540000000004</v>
      </c>
      <c r="H636" s="97">
        <v>1.5121174799999999</v>
      </c>
    </row>
    <row r="637" spans="1:8" x14ac:dyDescent="0.25">
      <c r="B637" s="97">
        <v>1.5169999999999999</v>
      </c>
      <c r="C637" t="s">
        <v>374</v>
      </c>
      <c r="D637" t="s">
        <v>374</v>
      </c>
      <c r="E637" t="s">
        <v>374</v>
      </c>
      <c r="F637" t="s">
        <v>374</v>
      </c>
      <c r="G637" t="s">
        <v>374</v>
      </c>
      <c r="H637" t="s">
        <v>374</v>
      </c>
    </row>
    <row r="640" spans="1:8" ht="15.75" x14ac:dyDescent="0.25">
      <c r="A640" s="92">
        <v>30</v>
      </c>
      <c r="C640" s="95" t="s">
        <v>395</v>
      </c>
      <c r="E640" s="102"/>
      <c r="F640" s="102"/>
      <c r="G640" s="108"/>
    </row>
    <row r="641" spans="2:8" x14ac:dyDescent="0.25">
      <c r="B641" s="96" t="s">
        <v>266</v>
      </c>
      <c r="C641" s="96" t="s">
        <v>375</v>
      </c>
      <c r="D641" s="96" t="s">
        <v>380</v>
      </c>
      <c r="E641" s="96" t="s">
        <v>381</v>
      </c>
      <c r="F641" s="96" t="s">
        <v>382</v>
      </c>
      <c r="G641" s="96" t="s">
        <v>265</v>
      </c>
      <c r="H641" s="96" t="s">
        <v>266</v>
      </c>
    </row>
    <row r="642" spans="2:8" x14ac:dyDescent="0.25">
      <c r="B642" s="96" t="s">
        <v>383</v>
      </c>
      <c r="C642" s="96" t="s">
        <v>384</v>
      </c>
      <c r="D642" s="96" t="s">
        <v>385</v>
      </c>
      <c r="E642" s="96" t="s">
        <v>386</v>
      </c>
      <c r="F642" s="96" t="s">
        <v>387</v>
      </c>
      <c r="G642" s="96" t="s">
        <v>388</v>
      </c>
      <c r="H642" s="96" t="s">
        <v>383</v>
      </c>
    </row>
    <row r="643" spans="2:8" x14ac:dyDescent="0.25">
      <c r="B643" s="97">
        <v>-2.54349E-2</v>
      </c>
      <c r="C643" s="98">
        <v>-50</v>
      </c>
      <c r="D643" s="98">
        <v>30</v>
      </c>
      <c r="E643" s="99">
        <v>43.505907999999998</v>
      </c>
      <c r="F643" s="99">
        <f t="shared" ref="F643:F683" si="7">1/E643</f>
        <v>2.2985383962104641E-2</v>
      </c>
      <c r="G643" s="97">
        <v>-10.4628972</v>
      </c>
      <c r="H643" s="97">
        <v>-2.54349E-2</v>
      </c>
    </row>
    <row r="644" spans="2:8" x14ac:dyDescent="0.25">
      <c r="B644" s="97">
        <v>-1.27035E-2</v>
      </c>
      <c r="C644" s="98">
        <v>-45</v>
      </c>
      <c r="D644" s="98">
        <v>30</v>
      </c>
      <c r="E644" s="99">
        <v>43.298212999999997</v>
      </c>
      <c r="F644" s="99">
        <f t="shared" si="7"/>
        <v>2.3095641383629392E-2</v>
      </c>
      <c r="G644" s="97">
        <v>-5.2154258999999996</v>
      </c>
      <c r="H644" s="97">
        <v>-1.27035E-2</v>
      </c>
    </row>
    <row r="645" spans="2:8" x14ac:dyDescent="0.25">
      <c r="B645" s="97">
        <v>-8.2399999999999997E-5</v>
      </c>
      <c r="C645" s="98">
        <v>-40</v>
      </c>
      <c r="D645" s="98">
        <v>30</v>
      </c>
      <c r="E645" s="99">
        <v>43.088610000000003</v>
      </c>
      <c r="F645" s="99">
        <f t="shared" si="7"/>
        <v>2.3207989303901888E-2</v>
      </c>
      <c r="G645" s="97">
        <v>4.9681099999999999E-2</v>
      </c>
      <c r="H645" s="97">
        <v>-8.2399999999999997E-5</v>
      </c>
    </row>
    <row r="646" spans="2:8" x14ac:dyDescent="0.25">
      <c r="B646" s="97">
        <v>1.2430399999999999E-2</v>
      </c>
      <c r="C646" s="98">
        <v>-35</v>
      </c>
      <c r="D646" s="98">
        <v>30</v>
      </c>
      <c r="E646" s="99">
        <v>42.877113000000001</v>
      </c>
      <c r="F646" s="99">
        <f t="shared" si="7"/>
        <v>2.3322465763961301E-2</v>
      </c>
      <c r="G646" s="97">
        <v>5.3321424999999998</v>
      </c>
      <c r="H646" s="97">
        <v>1.2430399999999999E-2</v>
      </c>
    </row>
    <row r="647" spans="2:8" x14ac:dyDescent="0.25">
      <c r="B647" s="97">
        <v>2.48367E-2</v>
      </c>
      <c r="C647" s="98">
        <v>-30</v>
      </c>
      <c r="D647" s="98">
        <v>30</v>
      </c>
      <c r="E647" s="99">
        <v>42.663732000000003</v>
      </c>
      <c r="F647" s="99">
        <f t="shared" si="7"/>
        <v>2.3439112171434039E-2</v>
      </c>
      <c r="G647" s="97">
        <v>10.631701</v>
      </c>
      <c r="H647" s="97">
        <v>2.48367E-2</v>
      </c>
    </row>
    <row r="648" spans="2:8" x14ac:dyDescent="0.25">
      <c r="B648" s="97">
        <v>3.7138499999999998E-2</v>
      </c>
      <c r="C648" s="98">
        <v>-25</v>
      </c>
      <c r="D648" s="98">
        <v>30</v>
      </c>
      <c r="E648" s="99">
        <v>42.448472000000002</v>
      </c>
      <c r="F648" s="99">
        <f t="shared" si="7"/>
        <v>2.3557974006696871E-2</v>
      </c>
      <c r="G648" s="97">
        <v>15.9481305</v>
      </c>
      <c r="H648" s="97">
        <v>3.7138499999999998E-2</v>
      </c>
    </row>
    <row r="649" spans="2:8" x14ac:dyDescent="0.25">
      <c r="B649" s="97">
        <v>4.9337800000000001E-2</v>
      </c>
      <c r="C649" s="98">
        <v>-20</v>
      </c>
      <c r="D649" s="98">
        <v>30</v>
      </c>
      <c r="E649" s="99">
        <v>42.23133</v>
      </c>
      <c r="F649" s="99">
        <f t="shared" si="7"/>
        <v>2.3679102694610848E-2</v>
      </c>
      <c r="G649" s="97">
        <v>21.281244099999999</v>
      </c>
      <c r="H649" s="97">
        <v>4.9337800000000001E-2</v>
      </c>
    </row>
    <row r="650" spans="2:8" x14ac:dyDescent="0.25">
      <c r="B650" s="97">
        <v>6.1436499999999998E-2</v>
      </c>
      <c r="C650" s="98">
        <v>-15</v>
      </c>
      <c r="D650" s="98">
        <v>30</v>
      </c>
      <c r="E650" s="99">
        <v>42.012295999999999</v>
      </c>
      <c r="F650" s="99">
        <f t="shared" si="7"/>
        <v>2.3802555328087758E-2</v>
      </c>
      <c r="G650" s="97">
        <v>26.630900400000002</v>
      </c>
      <c r="H650" s="97">
        <v>6.1436499999999998E-2</v>
      </c>
    </row>
    <row r="651" spans="2:8" x14ac:dyDescent="0.25">
      <c r="B651" s="97">
        <v>7.3436799999999997E-2</v>
      </c>
      <c r="C651" s="98">
        <v>-10</v>
      </c>
      <c r="D651" s="98">
        <v>30</v>
      </c>
      <c r="E651" s="99">
        <v>41.791353999999998</v>
      </c>
      <c r="F651" s="99">
        <f t="shared" si="7"/>
        <v>2.3928394375544761E-2</v>
      </c>
      <c r="G651" s="97">
        <v>31.997008600000001</v>
      </c>
      <c r="H651" s="97">
        <v>7.3436799999999997E-2</v>
      </c>
    </row>
    <row r="652" spans="2:8" x14ac:dyDescent="0.25">
      <c r="B652" s="97">
        <v>8.5340600000000003E-2</v>
      </c>
      <c r="C652" s="98">
        <v>-5</v>
      </c>
      <c r="D652" s="98">
        <v>30</v>
      </c>
      <c r="E652" s="99">
        <v>41.568480999999998</v>
      </c>
      <c r="F652" s="99">
        <f t="shared" si="7"/>
        <v>2.405668852802199E-2</v>
      </c>
      <c r="G652" s="97">
        <v>37.379534499999998</v>
      </c>
      <c r="H652" s="97">
        <v>8.5340600000000003E-2</v>
      </c>
    </row>
    <row r="653" spans="2:8" x14ac:dyDescent="0.25">
      <c r="B653" s="97">
        <v>1.3362894000000001</v>
      </c>
      <c r="C653" s="98">
        <v>0</v>
      </c>
      <c r="D653" s="98">
        <v>30</v>
      </c>
      <c r="E653" s="99">
        <v>0.108196</v>
      </c>
      <c r="F653" s="99">
        <f t="shared" si="7"/>
        <v>9.2424858589966359</v>
      </c>
      <c r="G653" s="97">
        <v>611.69977870000002</v>
      </c>
      <c r="H653" s="97">
        <v>1.3362894000000001</v>
      </c>
    </row>
    <row r="654" spans="2:8" x14ac:dyDescent="0.25">
      <c r="B654" s="97">
        <v>1.3425716999999999</v>
      </c>
      <c r="C654" s="98">
        <v>5</v>
      </c>
      <c r="D654" s="98">
        <v>30</v>
      </c>
      <c r="E654" s="99">
        <v>0.106797</v>
      </c>
      <c r="F654" s="99">
        <f t="shared" si="7"/>
        <v>9.36355890146727</v>
      </c>
      <c r="G654" s="97">
        <v>614.60320590000003</v>
      </c>
      <c r="H654" s="97">
        <v>1.3425716999999999</v>
      </c>
    </row>
    <row r="655" spans="2:8" x14ac:dyDescent="0.25">
      <c r="B655" s="97">
        <v>1.3487248999999999</v>
      </c>
      <c r="C655" s="98">
        <v>10</v>
      </c>
      <c r="D655" s="98">
        <v>30</v>
      </c>
      <c r="E655" s="99">
        <v>0.105445</v>
      </c>
      <c r="F655" s="99">
        <f t="shared" si="7"/>
        <v>9.4836170515434581</v>
      </c>
      <c r="G655" s="97">
        <v>617.47773729999994</v>
      </c>
      <c r="H655" s="97">
        <v>1.3487248999999999</v>
      </c>
    </row>
    <row r="656" spans="2:8" x14ac:dyDescent="0.25">
      <c r="B656" s="97">
        <v>1.3547581</v>
      </c>
      <c r="C656" s="98">
        <v>15</v>
      </c>
      <c r="D656" s="98">
        <v>30</v>
      </c>
      <c r="E656" s="99">
        <v>0.10413600000000001</v>
      </c>
      <c r="F656" s="99">
        <f t="shared" si="7"/>
        <v>9.602827072290081</v>
      </c>
      <c r="G656" s="97">
        <v>620.32639419999998</v>
      </c>
      <c r="H656" s="97">
        <v>1.3547581</v>
      </c>
    </row>
    <row r="657" spans="2:8" x14ac:dyDescent="0.25">
      <c r="B657" s="97">
        <v>1.3606795</v>
      </c>
      <c r="C657" s="98">
        <v>20</v>
      </c>
      <c r="D657" s="98">
        <v>30</v>
      </c>
      <c r="E657" s="99">
        <v>0.102869</v>
      </c>
      <c r="F657" s="99">
        <f t="shared" si="7"/>
        <v>9.7211015952327724</v>
      </c>
      <c r="G657" s="97">
        <v>623.1518691</v>
      </c>
      <c r="H657" s="97">
        <v>1.3606795</v>
      </c>
    </row>
    <row r="658" spans="2:8" x14ac:dyDescent="0.25">
      <c r="B658" s="97">
        <v>1.3664963999999999</v>
      </c>
      <c r="C658" s="98">
        <v>25</v>
      </c>
      <c r="D658" s="98">
        <v>30</v>
      </c>
      <c r="E658" s="99">
        <v>0.10163999999999999</v>
      </c>
      <c r="F658" s="99">
        <f t="shared" si="7"/>
        <v>9.8386462022825665</v>
      </c>
      <c r="G658" s="97">
        <v>625.95657100000005</v>
      </c>
      <c r="H658" s="97">
        <v>1.3664963999999999</v>
      </c>
    </row>
    <row r="659" spans="2:8" x14ac:dyDescent="0.25">
      <c r="B659" s="97">
        <v>1.3722154</v>
      </c>
      <c r="C659" s="98">
        <v>30</v>
      </c>
      <c r="D659" s="98">
        <v>30</v>
      </c>
      <c r="E659" s="99">
        <v>0.10044699999999999</v>
      </c>
      <c r="F659" s="99">
        <f t="shared" si="7"/>
        <v>9.9554989198283685</v>
      </c>
      <c r="G659" s="97">
        <v>628.74266369999998</v>
      </c>
      <c r="H659" s="97">
        <v>1.3722154</v>
      </c>
    </row>
    <row r="660" spans="2:8" x14ac:dyDescent="0.25">
      <c r="B660" s="97">
        <v>1.3778425000000001</v>
      </c>
      <c r="C660" s="98">
        <v>35</v>
      </c>
      <c r="D660" s="98">
        <v>30</v>
      </c>
      <c r="E660" s="99">
        <v>9.9289000000000002E-2</v>
      </c>
      <c r="F660" s="99">
        <f t="shared" si="7"/>
        <v>10.071609140992456</v>
      </c>
      <c r="G660" s="97">
        <v>631.51209619999997</v>
      </c>
      <c r="H660" s="97">
        <v>1.3778425000000001</v>
      </c>
    </row>
    <row r="661" spans="2:8" x14ac:dyDescent="0.25">
      <c r="B661" s="97">
        <v>1.383383</v>
      </c>
      <c r="C661" s="98">
        <v>40</v>
      </c>
      <c r="D661" s="98">
        <v>30</v>
      </c>
      <c r="E661" s="99">
        <v>9.8163E-2</v>
      </c>
      <c r="F661" s="99">
        <f t="shared" si="7"/>
        <v>10.187137719914835</v>
      </c>
      <c r="G661" s="97">
        <v>634.26662950000002</v>
      </c>
      <c r="H661" s="97">
        <v>1.383383</v>
      </c>
    </row>
    <row r="662" spans="2:8" x14ac:dyDescent="0.25">
      <c r="B662" s="97">
        <v>1.3888418</v>
      </c>
      <c r="C662" s="98">
        <v>45</v>
      </c>
      <c r="D662" s="98">
        <v>30</v>
      </c>
      <c r="E662" s="99">
        <v>9.7067000000000001E-2</v>
      </c>
      <c r="F662" s="99">
        <f t="shared" si="7"/>
        <v>10.302162423892774</v>
      </c>
      <c r="G662" s="97">
        <v>637.00785800000006</v>
      </c>
      <c r="H662" s="97">
        <v>1.3888418</v>
      </c>
    </row>
    <row r="663" spans="2:8" x14ac:dyDescent="0.25">
      <c r="B663" s="97">
        <v>1.3942234</v>
      </c>
      <c r="C663" s="98">
        <v>50</v>
      </c>
      <c r="D663" s="98">
        <v>30</v>
      </c>
      <c r="E663" s="99">
        <v>9.6000000000000002E-2</v>
      </c>
      <c r="F663" s="99">
        <f t="shared" si="7"/>
        <v>10.416666666666666</v>
      </c>
      <c r="G663" s="97">
        <v>639.73722899999996</v>
      </c>
      <c r="H663" s="97">
        <v>1.3942234</v>
      </c>
    </row>
    <row r="664" spans="2:8" x14ac:dyDescent="0.25">
      <c r="B664" s="97">
        <v>1.3995318999999999</v>
      </c>
      <c r="C664" s="98">
        <v>55</v>
      </c>
      <c r="D664" s="98">
        <v>30</v>
      </c>
      <c r="E664" s="99">
        <v>9.4961000000000004E-2</v>
      </c>
      <c r="F664" s="99">
        <f t="shared" si="7"/>
        <v>10.53063889386169</v>
      </c>
      <c r="G664" s="97">
        <v>642.45605920000003</v>
      </c>
      <c r="H664" s="97">
        <v>1.3995318999999999</v>
      </c>
    </row>
    <row r="665" spans="2:8" x14ac:dyDescent="0.25">
      <c r="B665" s="97">
        <v>1.4047711000000001</v>
      </c>
      <c r="C665" s="98">
        <v>60</v>
      </c>
      <c r="D665" s="98">
        <v>30</v>
      </c>
      <c r="E665" s="99">
        <v>9.3948000000000004E-2</v>
      </c>
      <c r="F665" s="99">
        <f t="shared" si="7"/>
        <v>10.644186145527312</v>
      </c>
      <c r="G665" s="97">
        <v>645.16554829999995</v>
      </c>
      <c r="H665" s="97">
        <v>1.4047711000000001</v>
      </c>
    </row>
    <row r="666" spans="2:8" x14ac:dyDescent="0.25">
      <c r="B666" s="97">
        <v>1.4099442</v>
      </c>
      <c r="C666" s="98">
        <v>65</v>
      </c>
      <c r="D666" s="98">
        <v>30</v>
      </c>
      <c r="E666" s="99">
        <v>9.2960000000000001E-2</v>
      </c>
      <c r="F666" s="99">
        <f t="shared" si="7"/>
        <v>10.757314974182444</v>
      </c>
      <c r="G666" s="97">
        <v>647.86679230000004</v>
      </c>
      <c r="H666" s="97">
        <v>1.4099442</v>
      </c>
    </row>
    <row r="667" spans="2:8" x14ac:dyDescent="0.25">
      <c r="B667" s="97">
        <v>1.4150545999999999</v>
      </c>
      <c r="C667" s="98">
        <v>70</v>
      </c>
      <c r="D667" s="98">
        <v>30</v>
      </c>
      <c r="E667" s="99">
        <v>9.1995999999999994E-2</v>
      </c>
      <c r="F667" s="99">
        <f t="shared" si="7"/>
        <v>10.870037827731641</v>
      </c>
      <c r="G667" s="97">
        <v>650.56079360000001</v>
      </c>
      <c r="H667" s="97">
        <v>1.4150545999999999</v>
      </c>
    </row>
    <row r="668" spans="2:8" x14ac:dyDescent="0.25">
      <c r="B668" s="97">
        <v>1.420105</v>
      </c>
      <c r="C668" s="98">
        <v>75</v>
      </c>
      <c r="D668" s="98">
        <v>30</v>
      </c>
      <c r="E668" s="99">
        <v>9.1053999999999996E-2</v>
      </c>
      <c r="F668" s="99">
        <f t="shared" si="7"/>
        <v>10.982493904715882</v>
      </c>
      <c r="G668" s="97">
        <v>653.24847109999996</v>
      </c>
      <c r="H668" s="97">
        <v>1.420105</v>
      </c>
    </row>
    <row r="669" spans="2:8" x14ac:dyDescent="0.25">
      <c r="B669" s="97">
        <v>1.4250982999999999</v>
      </c>
      <c r="C669" s="98">
        <v>80</v>
      </c>
      <c r="D669" s="98">
        <v>30</v>
      </c>
      <c r="E669" s="99">
        <v>9.0135000000000007E-2</v>
      </c>
      <c r="F669" s="99">
        <f t="shared" si="7"/>
        <v>11.094469407000609</v>
      </c>
      <c r="G669" s="97">
        <v>655.93066839999994</v>
      </c>
      <c r="H669" s="97">
        <v>1.4250982999999999</v>
      </c>
    </row>
    <row r="670" spans="2:8" x14ac:dyDescent="0.25">
      <c r="B670" s="97">
        <v>1.4300368000000001</v>
      </c>
      <c r="C670" s="98">
        <v>85</v>
      </c>
      <c r="D670" s="98">
        <v>30</v>
      </c>
      <c r="E670" s="99">
        <v>8.9235999999999996E-2</v>
      </c>
      <c r="F670" s="99">
        <f t="shared" si="7"/>
        <v>11.206239634228339</v>
      </c>
      <c r="G670" s="97">
        <v>658.60816130000001</v>
      </c>
      <c r="H670" s="97">
        <v>1.4300368000000001</v>
      </c>
    </row>
    <row r="671" spans="2:8" x14ac:dyDescent="0.25">
      <c r="B671" s="97">
        <v>1.4349228999999999</v>
      </c>
      <c r="C671" s="98">
        <v>90</v>
      </c>
      <c r="D671" s="98">
        <v>30</v>
      </c>
      <c r="E671" s="99">
        <v>8.8357000000000005E-2</v>
      </c>
      <c r="F671" s="99">
        <f t="shared" si="7"/>
        <v>11.317722421539889</v>
      </c>
      <c r="G671" s="97">
        <v>661.2816646</v>
      </c>
      <c r="H671" s="97">
        <v>1.4349228999999999</v>
      </c>
    </row>
    <row r="672" spans="2:8" x14ac:dyDescent="0.25">
      <c r="B672" s="97">
        <v>1.4397587000000001</v>
      </c>
      <c r="C672" s="98">
        <v>95</v>
      </c>
      <c r="D672" s="98">
        <v>30</v>
      </c>
      <c r="E672" s="99">
        <v>8.7498000000000006E-2</v>
      </c>
      <c r="F672" s="99">
        <f t="shared" si="7"/>
        <v>11.428832659032206</v>
      </c>
      <c r="G672" s="97">
        <v>663.95183780000002</v>
      </c>
      <c r="H672" s="97">
        <v>1.4397587000000001</v>
      </c>
    </row>
    <row r="673" spans="2:8" x14ac:dyDescent="0.25">
      <c r="B673" s="97">
        <v>1.4445463000000001</v>
      </c>
      <c r="C673" s="98">
        <v>100</v>
      </c>
      <c r="D673" s="98">
        <v>30</v>
      </c>
      <c r="E673" s="99">
        <v>8.6656999999999998E-2</v>
      </c>
      <c r="F673" s="99">
        <f t="shared" si="7"/>
        <v>11.539748664274093</v>
      </c>
      <c r="G673" s="97">
        <v>666.61929020000002</v>
      </c>
      <c r="H673" s="97">
        <v>1.4445463000000001</v>
      </c>
    </row>
    <row r="674" spans="2:8" x14ac:dyDescent="0.25">
      <c r="B674" s="97">
        <v>1.4492874</v>
      </c>
      <c r="C674" s="98">
        <v>105</v>
      </c>
      <c r="D674" s="98">
        <v>30</v>
      </c>
      <c r="E674" s="99">
        <v>8.5833999999999994E-2</v>
      </c>
      <c r="F674" s="99">
        <f t="shared" si="7"/>
        <v>11.650394948388751</v>
      </c>
      <c r="G674" s="97">
        <v>669.28458590000002</v>
      </c>
      <c r="H674" s="97">
        <v>1.4492874</v>
      </c>
    </row>
    <row r="675" spans="2:8" x14ac:dyDescent="0.25">
      <c r="B675" s="97">
        <v>1.4539838</v>
      </c>
      <c r="C675" s="98">
        <v>110</v>
      </c>
      <c r="D675" s="98">
        <v>30</v>
      </c>
      <c r="E675" s="99">
        <v>8.5028000000000006E-2</v>
      </c>
      <c r="F675" s="99">
        <f t="shared" si="7"/>
        <v>11.760831726019664</v>
      </c>
      <c r="G675" s="97">
        <v>671.94824779999999</v>
      </c>
      <c r="H675" s="97">
        <v>1.4539838</v>
      </c>
    </row>
    <row r="676" spans="2:8" x14ac:dyDescent="0.25">
      <c r="B676" s="97">
        <v>1.4586372000000001</v>
      </c>
      <c r="C676" s="98">
        <v>115</v>
      </c>
      <c r="D676" s="98">
        <v>30</v>
      </c>
      <c r="E676" s="99">
        <v>8.4238999999999994E-2</v>
      </c>
      <c r="F676" s="99">
        <f t="shared" si="7"/>
        <v>11.870986122817223</v>
      </c>
      <c r="G676" s="97">
        <v>674.6107614</v>
      </c>
      <c r="H676" s="97">
        <v>1.4586372000000001</v>
      </c>
    </row>
    <row r="677" spans="2:8" x14ac:dyDescent="0.25">
      <c r="B677" s="97">
        <v>1.4632491000000001</v>
      </c>
      <c r="C677" s="98">
        <v>120</v>
      </c>
      <c r="D677" s="98">
        <v>30</v>
      </c>
      <c r="E677" s="99">
        <v>8.3464999999999998E-2</v>
      </c>
      <c r="F677" s="99">
        <f t="shared" si="7"/>
        <v>11.981069909542923</v>
      </c>
      <c r="G677" s="97">
        <v>677.27257789999999</v>
      </c>
      <c r="H677" s="97">
        <v>1.4632491000000001</v>
      </c>
    </row>
    <row r="678" spans="2:8" x14ac:dyDescent="0.25">
      <c r="B678" s="97">
        <v>1.4678209</v>
      </c>
      <c r="C678" s="98">
        <v>125</v>
      </c>
      <c r="D678" s="98">
        <v>30</v>
      </c>
      <c r="E678" s="99">
        <v>8.2707000000000003E-2</v>
      </c>
      <c r="F678" s="99">
        <f t="shared" si="7"/>
        <v>12.090875016624953</v>
      </c>
      <c r="G678" s="97">
        <v>679.93411760000004</v>
      </c>
      <c r="H678" s="97">
        <v>1.4678209</v>
      </c>
    </row>
    <row r="679" spans="2:8" x14ac:dyDescent="0.25">
      <c r="B679" s="97">
        <v>1.4723539000000001</v>
      </c>
      <c r="C679" s="98">
        <v>130</v>
      </c>
      <c r="D679" s="98">
        <v>30</v>
      </c>
      <c r="E679" s="99">
        <v>8.1963999999999995E-2</v>
      </c>
      <c r="F679" s="99">
        <f t="shared" si="7"/>
        <v>12.200478258747744</v>
      </c>
      <c r="G679" s="97">
        <v>682.59577209999998</v>
      </c>
      <c r="H679" s="97">
        <v>1.4723539000000001</v>
      </c>
    </row>
    <row r="680" spans="2:8" x14ac:dyDescent="0.25">
      <c r="B680" s="97">
        <v>1.4768494999999999</v>
      </c>
      <c r="C680" s="98">
        <v>135</v>
      </c>
      <c r="D680" s="98">
        <v>30</v>
      </c>
      <c r="E680" s="99">
        <v>8.1235000000000002E-2</v>
      </c>
      <c r="F680" s="99">
        <f t="shared" si="7"/>
        <v>12.309964916599988</v>
      </c>
      <c r="G680" s="97">
        <v>685.25790730000006</v>
      </c>
      <c r="H680" s="97">
        <v>1.4768494999999999</v>
      </c>
    </row>
    <row r="681" spans="2:8" x14ac:dyDescent="0.25">
      <c r="B681" s="97">
        <v>1.4813088000000001</v>
      </c>
      <c r="C681" s="98">
        <v>140</v>
      </c>
      <c r="D681" s="98">
        <v>30</v>
      </c>
      <c r="E681" s="99">
        <v>8.0519999999999994E-2</v>
      </c>
      <c r="F681" s="99">
        <f t="shared" si="7"/>
        <v>12.419274714356682</v>
      </c>
      <c r="G681" s="97">
        <v>687.92086500000005</v>
      </c>
      <c r="H681" s="97">
        <v>1.4813088000000001</v>
      </c>
    </row>
    <row r="682" spans="2:8" x14ac:dyDescent="0.25">
      <c r="B682" s="97">
        <v>1.485733</v>
      </c>
      <c r="C682" s="98">
        <v>145</v>
      </c>
      <c r="D682" s="98">
        <v>30</v>
      </c>
      <c r="E682" s="99">
        <v>7.9819000000000001E-2</v>
      </c>
      <c r="F682" s="99">
        <f t="shared" si="7"/>
        <v>12.528345381425474</v>
      </c>
      <c r="G682" s="97">
        <v>690.58496530000002</v>
      </c>
      <c r="H682" s="97">
        <v>1.485733</v>
      </c>
    </row>
    <row r="683" spans="2:8" x14ac:dyDescent="0.25">
      <c r="B683" s="97">
        <v>1.4901230999999999</v>
      </c>
      <c r="C683" s="98">
        <v>150</v>
      </c>
      <c r="D683" s="98">
        <v>30</v>
      </c>
      <c r="E683" s="99">
        <v>7.9130000000000006E-2</v>
      </c>
      <c r="F683" s="99">
        <f t="shared" si="7"/>
        <v>12.637432073802602</v>
      </c>
      <c r="G683" s="97">
        <v>693.25050829999998</v>
      </c>
      <c r="H683" s="97">
        <v>1.4901230999999999</v>
      </c>
    </row>
    <row r="684" spans="2:8" x14ac:dyDescent="0.25">
      <c r="B684" s="106">
        <v>1.5012000000000001</v>
      </c>
      <c r="C684" s="106">
        <v>160</v>
      </c>
      <c r="D684" s="101"/>
      <c r="E684" s="106"/>
      <c r="F684" s="106">
        <v>12.855</v>
      </c>
      <c r="G684" s="106">
        <v>699.61</v>
      </c>
      <c r="H684" s="106">
        <v>1.5012000000000001</v>
      </c>
    </row>
    <row r="685" spans="2:8" x14ac:dyDescent="0.25">
      <c r="B685" s="106">
        <v>1.5183</v>
      </c>
      <c r="C685" s="106">
        <v>180</v>
      </c>
      <c r="D685" s="101"/>
      <c r="E685" s="106"/>
      <c r="F685" s="106">
        <v>13.289</v>
      </c>
      <c r="G685" s="106">
        <v>710.32</v>
      </c>
      <c r="H685" s="106">
        <v>1.5183</v>
      </c>
    </row>
    <row r="686" spans="2:8" x14ac:dyDescent="0.25">
      <c r="B686" s="106">
        <v>1.5347999999999999</v>
      </c>
      <c r="C686" s="106">
        <v>200</v>
      </c>
      <c r="D686" s="101"/>
      <c r="E686" s="106"/>
      <c r="F686" s="106">
        <v>13.721</v>
      </c>
      <c r="G686" s="106">
        <v>721.08</v>
      </c>
      <c r="H686" s="106">
        <v>1.5347999999999999</v>
      </c>
    </row>
    <row r="687" spans="2:8" x14ac:dyDescent="0.25">
      <c r="B687" s="106">
        <v>1.5509999999999999</v>
      </c>
      <c r="C687" s="106">
        <v>220</v>
      </c>
      <c r="D687" s="101"/>
      <c r="E687" s="106"/>
      <c r="F687" s="106">
        <v>14.151</v>
      </c>
      <c r="G687" s="106">
        <v>731.9</v>
      </c>
      <c r="H687" s="106">
        <v>1.5509999999999999</v>
      </c>
    </row>
    <row r="688" spans="2:8" x14ac:dyDescent="0.25">
      <c r="B688" s="106">
        <v>1.5660000000000001</v>
      </c>
      <c r="C688" t="s">
        <v>374</v>
      </c>
      <c r="D688" t="s">
        <v>374</v>
      </c>
      <c r="E688" t="s">
        <v>374</v>
      </c>
      <c r="F688" t="s">
        <v>374</v>
      </c>
      <c r="G688" t="s">
        <v>374</v>
      </c>
      <c r="H688" t="s">
        <v>374</v>
      </c>
    </row>
    <row r="691" spans="1:8" ht="15.75" x14ac:dyDescent="0.25">
      <c r="A691" s="92">
        <v>30.396999999999998</v>
      </c>
      <c r="C691" s="95" t="s">
        <v>396</v>
      </c>
      <c r="E691" s="102"/>
      <c r="G691" s="102"/>
    </row>
    <row r="692" spans="1:8" x14ac:dyDescent="0.25">
      <c r="B692" s="96" t="s">
        <v>266</v>
      </c>
      <c r="C692" s="96" t="s">
        <v>375</v>
      </c>
      <c r="D692" s="96" t="s">
        <v>380</v>
      </c>
      <c r="E692" s="96" t="s">
        <v>381</v>
      </c>
      <c r="F692" s="96" t="s">
        <v>382</v>
      </c>
      <c r="G692" s="96" t="s">
        <v>265</v>
      </c>
      <c r="H692" s="96" t="s">
        <v>266</v>
      </c>
    </row>
    <row r="693" spans="1:8" x14ac:dyDescent="0.25">
      <c r="B693" s="96" t="s">
        <v>383</v>
      </c>
      <c r="C693" s="96" t="s">
        <v>384</v>
      </c>
      <c r="D693" s="96" t="s">
        <v>385</v>
      </c>
      <c r="E693" s="96" t="s">
        <v>386</v>
      </c>
      <c r="F693" s="96" t="s">
        <v>387</v>
      </c>
      <c r="G693" s="96" t="s">
        <v>388</v>
      </c>
      <c r="H693" s="96" t="s">
        <v>383</v>
      </c>
    </row>
    <row r="694" spans="1:8" x14ac:dyDescent="0.25">
      <c r="B694" s="97">
        <v>-2.5440000000000001E-2</v>
      </c>
      <c r="C694" s="98">
        <v>-50</v>
      </c>
      <c r="D694" s="98">
        <v>30.4</v>
      </c>
      <c r="E694" s="99">
        <v>43.51</v>
      </c>
      <c r="F694" s="99">
        <f t="shared" ref="F694:F734" si="8">1/E694</f>
        <v>2.2983222247759137E-2</v>
      </c>
      <c r="G694" s="97">
        <v>-10.46</v>
      </c>
      <c r="H694" s="97">
        <v>-2.5440000000000001E-2</v>
      </c>
    </row>
    <row r="695" spans="1:8" x14ac:dyDescent="0.25">
      <c r="B695" s="97">
        <v>-1.2710000000000001E-2</v>
      </c>
      <c r="C695" s="98">
        <v>-45</v>
      </c>
      <c r="D695" s="98">
        <v>30.4</v>
      </c>
      <c r="E695" s="99">
        <v>43.3</v>
      </c>
      <c r="F695" s="99">
        <f t="shared" si="8"/>
        <v>2.3094688221709007E-2</v>
      </c>
      <c r="G695" s="97">
        <v>-5.2140000000000004</v>
      </c>
      <c r="H695" s="97">
        <v>-1.2710000000000001E-2</v>
      </c>
    </row>
    <row r="696" spans="1:8" x14ac:dyDescent="0.25">
      <c r="B696" s="97">
        <v>-8.0000000000000007E-5</v>
      </c>
      <c r="C696" s="98">
        <v>-40</v>
      </c>
      <c r="D696" s="98">
        <v>30.4</v>
      </c>
      <c r="E696" s="99">
        <v>43.09</v>
      </c>
      <c r="F696" s="99">
        <f t="shared" si="8"/>
        <v>2.3207240659085634E-2</v>
      </c>
      <c r="G696" s="97">
        <v>5.0689999999999999E-2</v>
      </c>
      <c r="H696" s="97">
        <v>-8.0000000000000007E-5</v>
      </c>
    </row>
    <row r="697" spans="1:8" x14ac:dyDescent="0.25">
      <c r="B697" s="97">
        <v>1.243E-2</v>
      </c>
      <c r="C697" s="98">
        <v>-35</v>
      </c>
      <c r="D697" s="98">
        <v>30.4</v>
      </c>
      <c r="E697" s="99">
        <v>42.88</v>
      </c>
      <c r="F697" s="99">
        <f t="shared" si="8"/>
        <v>2.3320895522388058E-2</v>
      </c>
      <c r="G697" s="97">
        <v>5.3330000000000002</v>
      </c>
      <c r="H697" s="97">
        <v>1.243E-2</v>
      </c>
    </row>
    <row r="698" spans="1:8" x14ac:dyDescent="0.25">
      <c r="B698" s="97">
        <v>2.4830000000000001E-2</v>
      </c>
      <c r="C698" s="98">
        <v>-30</v>
      </c>
      <c r="D698" s="98">
        <v>30.4</v>
      </c>
      <c r="E698" s="99">
        <v>42.66</v>
      </c>
      <c r="F698" s="99">
        <f t="shared" si="8"/>
        <v>2.3441162681669011E-2</v>
      </c>
      <c r="G698" s="97">
        <v>10.63</v>
      </c>
      <c r="H698" s="97">
        <v>2.4830000000000001E-2</v>
      </c>
    </row>
    <row r="699" spans="1:8" x14ac:dyDescent="0.25">
      <c r="B699" s="97">
        <v>3.7139999999999999E-2</v>
      </c>
      <c r="C699" s="98">
        <v>-25</v>
      </c>
      <c r="D699" s="98">
        <v>30.4</v>
      </c>
      <c r="E699" s="99">
        <v>42.45</v>
      </c>
      <c r="F699" s="99">
        <f t="shared" si="8"/>
        <v>2.3557126030624261E-2</v>
      </c>
      <c r="G699" s="97">
        <v>15.95</v>
      </c>
      <c r="H699" s="97">
        <v>3.7139999999999999E-2</v>
      </c>
    </row>
    <row r="700" spans="1:8" x14ac:dyDescent="0.25">
      <c r="B700" s="97">
        <v>4.9340000000000002E-2</v>
      </c>
      <c r="C700" s="98">
        <v>-20</v>
      </c>
      <c r="D700" s="98">
        <v>30.4</v>
      </c>
      <c r="E700" s="100">
        <v>42.23</v>
      </c>
      <c r="F700" s="100">
        <f t="shared" si="8"/>
        <v>2.3679848448969927E-2</v>
      </c>
      <c r="G700" s="97">
        <v>21.28</v>
      </c>
      <c r="H700" s="97">
        <v>4.9340000000000002E-2</v>
      </c>
    </row>
    <row r="701" spans="1:8" x14ac:dyDescent="0.25">
      <c r="B701" s="97">
        <v>6.1429999999999998E-2</v>
      </c>
      <c r="C701" s="98">
        <v>-15</v>
      </c>
      <c r="D701" s="98">
        <v>30.4</v>
      </c>
      <c r="E701" s="99">
        <v>42.01</v>
      </c>
      <c r="F701" s="99">
        <f t="shared" si="8"/>
        <v>2.3803856224708403E-2</v>
      </c>
      <c r="G701" s="97">
        <v>26.63</v>
      </c>
      <c r="H701" s="97">
        <v>6.1429999999999998E-2</v>
      </c>
    </row>
    <row r="702" spans="1:8" x14ac:dyDescent="0.25">
      <c r="B702" s="97">
        <v>7.3429999999999995E-2</v>
      </c>
      <c r="C702" s="98">
        <v>-10</v>
      </c>
      <c r="D702" s="98">
        <v>30.4</v>
      </c>
      <c r="E702" s="100">
        <v>41.79</v>
      </c>
      <c r="F702" s="100">
        <f t="shared" si="8"/>
        <v>2.3929169657812874E-2</v>
      </c>
      <c r="G702" s="97">
        <v>32</v>
      </c>
      <c r="H702" s="97">
        <v>7.3429999999999995E-2</v>
      </c>
    </row>
    <row r="703" spans="1:8" x14ac:dyDescent="0.25">
      <c r="B703" s="97">
        <v>8.5339999999999999E-2</v>
      </c>
      <c r="C703" s="98">
        <v>-5</v>
      </c>
      <c r="D703" s="98">
        <v>30.4</v>
      </c>
      <c r="E703" s="99">
        <v>41.57</v>
      </c>
      <c r="F703" s="99">
        <f t="shared" si="8"/>
        <v>2.4055809477988934E-2</v>
      </c>
      <c r="G703" s="97">
        <v>37.380000000000003</v>
      </c>
      <c r="H703" s="97">
        <v>8.5339999999999999E-2</v>
      </c>
    </row>
    <row r="704" spans="1:8" x14ac:dyDescent="0.25">
      <c r="B704" s="97">
        <v>1.335</v>
      </c>
      <c r="C704" s="98">
        <v>0</v>
      </c>
      <c r="D704" s="98">
        <v>30.4</v>
      </c>
      <c r="E704" s="100">
        <v>0.10970000000000001</v>
      </c>
      <c r="F704" s="100">
        <f t="shared" si="8"/>
        <v>9.115770282588878</v>
      </c>
      <c r="G704" s="97">
        <v>611.6</v>
      </c>
      <c r="H704" s="97">
        <v>1.335</v>
      </c>
    </row>
    <row r="705" spans="2:8" x14ac:dyDescent="0.25">
      <c r="B705" s="97">
        <v>1.341</v>
      </c>
      <c r="C705" s="98">
        <v>5</v>
      </c>
      <c r="D705" s="98">
        <v>30.4</v>
      </c>
      <c r="E705" s="99">
        <v>0.10829999999999999</v>
      </c>
      <c r="F705" s="99">
        <f t="shared" si="8"/>
        <v>9.2336103416435833</v>
      </c>
      <c r="G705" s="97">
        <v>614.5</v>
      </c>
      <c r="H705" s="97">
        <v>1.341</v>
      </c>
    </row>
    <row r="706" spans="2:8" x14ac:dyDescent="0.25">
      <c r="B706" s="97">
        <v>1.347</v>
      </c>
      <c r="C706" s="98">
        <v>10</v>
      </c>
      <c r="D706" s="98">
        <v>30.4</v>
      </c>
      <c r="E706" s="100">
        <v>0.1069</v>
      </c>
      <c r="F706" s="100">
        <f t="shared" si="8"/>
        <v>9.3545369504209539</v>
      </c>
      <c r="G706" s="97">
        <v>617.29999999999995</v>
      </c>
      <c r="H706" s="97">
        <v>1.347</v>
      </c>
    </row>
    <row r="707" spans="2:8" x14ac:dyDescent="0.25">
      <c r="B707" s="97">
        <v>1.353</v>
      </c>
      <c r="C707" s="98">
        <v>15</v>
      </c>
      <c r="D707" s="98">
        <v>30.4</v>
      </c>
      <c r="E707" s="99">
        <v>0.1056</v>
      </c>
      <c r="F707" s="99">
        <f t="shared" si="8"/>
        <v>9.4696969696969706</v>
      </c>
      <c r="G707" s="97">
        <v>620.20000000000005</v>
      </c>
      <c r="H707" s="97">
        <v>1.353</v>
      </c>
    </row>
    <row r="708" spans="2:8" x14ac:dyDescent="0.25">
      <c r="B708" s="97">
        <v>1.359</v>
      </c>
      <c r="C708" s="98">
        <v>20</v>
      </c>
      <c r="D708" s="98">
        <v>30.4</v>
      </c>
      <c r="E708" s="100">
        <v>0.1043</v>
      </c>
      <c r="F708" s="100">
        <f t="shared" si="8"/>
        <v>9.5877277085330768</v>
      </c>
      <c r="G708" s="97">
        <v>623</v>
      </c>
      <c r="H708" s="97">
        <v>1.359</v>
      </c>
    </row>
    <row r="709" spans="2:8" x14ac:dyDescent="0.25">
      <c r="B709" s="97">
        <v>1.365</v>
      </c>
      <c r="C709" s="98">
        <v>25</v>
      </c>
      <c r="D709" s="98">
        <v>30.4</v>
      </c>
      <c r="E709" s="99">
        <v>0.10299999999999999</v>
      </c>
      <c r="F709" s="99">
        <f t="shared" si="8"/>
        <v>9.7087378640776709</v>
      </c>
      <c r="G709" s="97">
        <v>625.79999999999995</v>
      </c>
      <c r="H709" s="97">
        <v>1.365</v>
      </c>
    </row>
    <row r="710" spans="2:8" x14ac:dyDescent="0.25">
      <c r="B710" s="97">
        <v>1.371</v>
      </c>
      <c r="C710" s="98">
        <v>30</v>
      </c>
      <c r="D710" s="98">
        <v>30.4</v>
      </c>
      <c r="E710" s="100">
        <v>0.1018</v>
      </c>
      <c r="F710" s="100">
        <f t="shared" si="8"/>
        <v>9.8231827111984273</v>
      </c>
      <c r="G710" s="97">
        <v>628.6</v>
      </c>
      <c r="H710" s="97">
        <v>1.371</v>
      </c>
    </row>
    <row r="711" spans="2:8" x14ac:dyDescent="0.25">
      <c r="B711" s="97">
        <v>1.3759999999999999</v>
      </c>
      <c r="C711" s="98">
        <v>35</v>
      </c>
      <c r="D711" s="98">
        <v>30.4</v>
      </c>
      <c r="E711" s="99">
        <v>0.10059999999999999</v>
      </c>
      <c r="F711" s="99">
        <f t="shared" si="8"/>
        <v>9.9403578528827037</v>
      </c>
      <c r="G711" s="97">
        <v>631.4</v>
      </c>
      <c r="H711" s="97">
        <v>1.3759999999999999</v>
      </c>
    </row>
    <row r="712" spans="2:8" x14ac:dyDescent="0.25">
      <c r="B712" s="97">
        <v>1.3819999999999999</v>
      </c>
      <c r="C712" s="98">
        <v>40</v>
      </c>
      <c r="D712" s="98">
        <v>30.4</v>
      </c>
      <c r="E712" s="100">
        <v>9.9500000000000005E-2</v>
      </c>
      <c r="F712" s="100">
        <f t="shared" si="8"/>
        <v>10.050251256281406</v>
      </c>
      <c r="G712" s="97">
        <v>634.20000000000005</v>
      </c>
      <c r="H712" s="97">
        <v>1.3819999999999999</v>
      </c>
    </row>
    <row r="713" spans="2:8" x14ac:dyDescent="0.25">
      <c r="B713" s="97">
        <v>1.387</v>
      </c>
      <c r="C713" s="98">
        <v>45</v>
      </c>
      <c r="D713" s="98">
        <v>30.4</v>
      </c>
      <c r="E713" s="99">
        <v>9.8390000000000005E-2</v>
      </c>
      <c r="F713" s="99">
        <f t="shared" si="8"/>
        <v>10.163634515702816</v>
      </c>
      <c r="G713" s="97">
        <v>636.9</v>
      </c>
      <c r="H713" s="97">
        <v>1.387</v>
      </c>
    </row>
    <row r="714" spans="2:8" x14ac:dyDescent="0.25">
      <c r="B714" s="97">
        <v>1.393</v>
      </c>
      <c r="C714" s="98">
        <v>50</v>
      </c>
      <c r="D714" s="98">
        <v>30.4</v>
      </c>
      <c r="E714" s="100">
        <v>9.7309999999999994E-2</v>
      </c>
      <c r="F714" s="100">
        <f t="shared" si="8"/>
        <v>10.27643613194944</v>
      </c>
      <c r="G714" s="97">
        <v>639.6</v>
      </c>
      <c r="H714" s="97">
        <v>1.393</v>
      </c>
    </row>
    <row r="715" spans="2:8" x14ac:dyDescent="0.25">
      <c r="B715" s="97">
        <v>1.3979999999999999</v>
      </c>
      <c r="C715" s="98">
        <v>55</v>
      </c>
      <c r="D715" s="98">
        <v>30.4</v>
      </c>
      <c r="E715" s="99">
        <v>9.6250000000000002E-2</v>
      </c>
      <c r="F715" s="99">
        <f t="shared" si="8"/>
        <v>10.38961038961039</v>
      </c>
      <c r="G715" s="97">
        <v>642.4</v>
      </c>
      <c r="H715" s="97">
        <v>1.3979999999999999</v>
      </c>
    </row>
    <row r="716" spans="2:8" x14ac:dyDescent="0.25">
      <c r="B716" s="97">
        <v>1.403</v>
      </c>
      <c r="C716" s="98">
        <v>60</v>
      </c>
      <c r="D716" s="98">
        <v>30.4</v>
      </c>
      <c r="E716" s="100">
        <v>9.5219999999999999E-2</v>
      </c>
      <c r="F716" s="100">
        <f t="shared" si="8"/>
        <v>10.501995379122032</v>
      </c>
      <c r="G716" s="97">
        <v>645.1</v>
      </c>
      <c r="H716" s="97">
        <v>1.403</v>
      </c>
    </row>
    <row r="717" spans="2:8" x14ac:dyDescent="0.25">
      <c r="B717" s="97">
        <v>1.4079999999999999</v>
      </c>
      <c r="C717" s="98">
        <v>65</v>
      </c>
      <c r="D717" s="98">
        <v>30.4</v>
      </c>
      <c r="E717" s="99">
        <v>9.4219999999999998E-2</v>
      </c>
      <c r="F717" s="99">
        <f t="shared" si="8"/>
        <v>10.613457864572277</v>
      </c>
      <c r="G717" s="97">
        <v>647.79999999999995</v>
      </c>
      <c r="H717" s="97">
        <v>1.4079999999999999</v>
      </c>
    </row>
    <row r="718" spans="2:8" x14ac:dyDescent="0.25">
      <c r="B718" s="97">
        <v>1.413</v>
      </c>
      <c r="C718" s="98">
        <v>70</v>
      </c>
      <c r="D718" s="98">
        <v>30.4</v>
      </c>
      <c r="E718" s="100">
        <v>9.3240000000000003E-2</v>
      </c>
      <c r="F718" s="100">
        <f t="shared" si="8"/>
        <v>10.725010725010724</v>
      </c>
      <c r="G718" s="97">
        <v>650.5</v>
      </c>
      <c r="H718" s="97">
        <v>1.413</v>
      </c>
    </row>
    <row r="719" spans="2:8" x14ac:dyDescent="0.25">
      <c r="B719" s="97">
        <v>1.4179999999999999</v>
      </c>
      <c r="C719" s="98">
        <v>75</v>
      </c>
      <c r="D719" s="98">
        <v>30.4</v>
      </c>
      <c r="E719" s="99">
        <v>9.2289999999999997E-2</v>
      </c>
      <c r="F719" s="99">
        <f t="shared" si="8"/>
        <v>10.835410120273053</v>
      </c>
      <c r="G719" s="97">
        <v>653.20000000000005</v>
      </c>
      <c r="H719" s="97">
        <v>1.4179999999999999</v>
      </c>
    </row>
    <row r="720" spans="2:8" x14ac:dyDescent="0.25">
      <c r="B720" s="97">
        <v>1.423</v>
      </c>
      <c r="C720" s="98">
        <v>80</v>
      </c>
      <c r="D720" s="98">
        <v>30.4</v>
      </c>
      <c r="E720" s="100">
        <v>9.1350000000000001E-2</v>
      </c>
      <c r="F720" s="100">
        <f t="shared" si="8"/>
        <v>10.946907498631637</v>
      </c>
      <c r="G720" s="97">
        <v>655.9</v>
      </c>
      <c r="H720" s="97">
        <v>1.423</v>
      </c>
    </row>
    <row r="721" spans="2:8" x14ac:dyDescent="0.25">
      <c r="B721" s="97">
        <v>1.4279999999999999</v>
      </c>
      <c r="C721" s="98">
        <v>85</v>
      </c>
      <c r="D721" s="98">
        <v>30.4</v>
      </c>
      <c r="E721" s="99">
        <v>9.0440000000000006E-2</v>
      </c>
      <c r="F721" s="99">
        <f t="shared" si="8"/>
        <v>11.057054400707651</v>
      </c>
      <c r="G721" s="97">
        <v>658.5</v>
      </c>
      <c r="H721" s="97">
        <v>1.4279999999999999</v>
      </c>
    </row>
    <row r="722" spans="2:8" x14ac:dyDescent="0.25">
      <c r="B722" s="97">
        <v>1.4330000000000001</v>
      </c>
      <c r="C722" s="98">
        <v>90</v>
      </c>
      <c r="D722" s="98">
        <v>30.4</v>
      </c>
      <c r="E722" s="100">
        <v>8.9550000000000005E-2</v>
      </c>
      <c r="F722" s="100">
        <f t="shared" si="8"/>
        <v>11.166945840312675</v>
      </c>
      <c r="G722" s="97">
        <v>661.2</v>
      </c>
      <c r="H722" s="97">
        <v>1.4330000000000001</v>
      </c>
    </row>
    <row r="723" spans="2:8" x14ac:dyDescent="0.25">
      <c r="B723" s="97">
        <v>1.4379999999999999</v>
      </c>
      <c r="C723" s="98">
        <v>95</v>
      </c>
      <c r="D723" s="98">
        <v>30.4</v>
      </c>
      <c r="E723" s="99">
        <v>8.8679999999999995E-2</v>
      </c>
      <c r="F723" s="99">
        <f t="shared" si="8"/>
        <v>11.276499774470006</v>
      </c>
      <c r="G723" s="97">
        <v>663.9</v>
      </c>
      <c r="H723" s="97">
        <v>1.4379999999999999</v>
      </c>
    </row>
    <row r="724" spans="2:8" x14ac:dyDescent="0.25">
      <c r="B724" s="97">
        <v>1.4430000000000001</v>
      </c>
      <c r="C724" s="98">
        <v>100</v>
      </c>
      <c r="D724" s="98">
        <v>30.4</v>
      </c>
      <c r="E724" s="100">
        <v>8.7830000000000005E-2</v>
      </c>
      <c r="F724" s="100">
        <f t="shared" si="8"/>
        <v>11.385631333257429</v>
      </c>
      <c r="G724" s="97">
        <v>666.6</v>
      </c>
      <c r="H724" s="97">
        <v>1.4430000000000001</v>
      </c>
    </row>
    <row r="725" spans="2:8" x14ac:dyDescent="0.25">
      <c r="B725" s="97">
        <v>1.448</v>
      </c>
      <c r="C725" s="98">
        <v>105</v>
      </c>
      <c r="D725" s="98">
        <v>30.4</v>
      </c>
      <c r="E725" s="99">
        <v>8.6989999999999998E-2</v>
      </c>
      <c r="F725" s="99">
        <f t="shared" si="8"/>
        <v>11.495574203931486</v>
      </c>
      <c r="G725" s="97">
        <v>669.2</v>
      </c>
      <c r="H725" s="97">
        <v>1.448</v>
      </c>
    </row>
    <row r="726" spans="2:8" x14ac:dyDescent="0.25">
      <c r="B726" s="97">
        <v>1.452</v>
      </c>
      <c r="C726" s="98">
        <v>110</v>
      </c>
      <c r="D726" s="98">
        <v>30.4</v>
      </c>
      <c r="E726" s="100">
        <v>8.6169999999999997E-2</v>
      </c>
      <c r="F726" s="100">
        <f t="shared" si="8"/>
        <v>11.604966925844261</v>
      </c>
      <c r="G726" s="97">
        <v>671.9</v>
      </c>
      <c r="H726" s="97">
        <v>1.452</v>
      </c>
    </row>
    <row r="727" spans="2:8" x14ac:dyDescent="0.25">
      <c r="B727" s="97">
        <v>1.4570000000000001</v>
      </c>
      <c r="C727" s="98">
        <v>115</v>
      </c>
      <c r="D727" s="98">
        <v>30.4</v>
      </c>
      <c r="E727" s="99">
        <v>8.5370000000000001E-2</v>
      </c>
      <c r="F727" s="99">
        <f t="shared" si="8"/>
        <v>11.713716762328687</v>
      </c>
      <c r="G727" s="97">
        <v>674.6</v>
      </c>
      <c r="H727" s="97">
        <v>1.4570000000000001</v>
      </c>
    </row>
    <row r="728" spans="2:8" x14ac:dyDescent="0.25">
      <c r="B728" s="97">
        <v>1.462</v>
      </c>
      <c r="C728" s="98">
        <v>120</v>
      </c>
      <c r="D728" s="98">
        <v>30.4</v>
      </c>
      <c r="E728" s="100">
        <v>8.4589999999999999E-2</v>
      </c>
      <c r="F728" s="100">
        <f t="shared" si="8"/>
        <v>11.821728336682824</v>
      </c>
      <c r="G728" s="97">
        <v>677.2</v>
      </c>
      <c r="H728" s="97">
        <v>1.462</v>
      </c>
    </row>
    <row r="729" spans="2:8" x14ac:dyDescent="0.25">
      <c r="B729" s="97">
        <v>1.466</v>
      </c>
      <c r="C729" s="98">
        <v>125</v>
      </c>
      <c r="D729" s="98">
        <v>30.4</v>
      </c>
      <c r="E729" s="99">
        <v>8.3820000000000006E-2</v>
      </c>
      <c r="F729" s="99">
        <f t="shared" si="8"/>
        <v>11.930326890956811</v>
      </c>
      <c r="G729" s="97">
        <v>679.9</v>
      </c>
      <c r="H729" s="97">
        <v>1.466</v>
      </c>
    </row>
    <row r="730" spans="2:8" x14ac:dyDescent="0.25">
      <c r="B730" s="97">
        <v>1.4710000000000001</v>
      </c>
      <c r="C730" s="98">
        <v>130</v>
      </c>
      <c r="D730" s="98">
        <v>30.4</v>
      </c>
      <c r="E730" s="100">
        <v>8.3070000000000005E-2</v>
      </c>
      <c r="F730" s="100">
        <f t="shared" si="8"/>
        <v>12.038040207054291</v>
      </c>
      <c r="G730" s="97">
        <v>682.5</v>
      </c>
      <c r="H730" s="97">
        <v>1.4710000000000001</v>
      </c>
    </row>
    <row r="731" spans="2:8" x14ac:dyDescent="0.25">
      <c r="B731" s="97">
        <v>1.4750000000000001</v>
      </c>
      <c r="C731" s="98">
        <v>135</v>
      </c>
      <c r="D731" s="98">
        <v>30.4</v>
      </c>
      <c r="E731" s="99">
        <v>8.233E-2</v>
      </c>
      <c r="F731" s="99">
        <f t="shared" si="8"/>
        <v>12.146240738491437</v>
      </c>
      <c r="G731" s="97">
        <v>685.2</v>
      </c>
      <c r="H731" s="97">
        <v>1.4750000000000001</v>
      </c>
    </row>
    <row r="732" spans="2:8" x14ac:dyDescent="0.25">
      <c r="B732" s="97">
        <v>1.48</v>
      </c>
      <c r="C732" s="98">
        <v>140</v>
      </c>
      <c r="D732" s="98">
        <v>30.4</v>
      </c>
      <c r="E732" s="100">
        <v>8.1600000000000006E-2</v>
      </c>
      <c r="F732" s="100">
        <f t="shared" si="8"/>
        <v>12.254901960784313</v>
      </c>
      <c r="G732" s="97">
        <v>687.9</v>
      </c>
      <c r="H732" s="97">
        <v>1.48</v>
      </c>
    </row>
    <row r="733" spans="2:8" x14ac:dyDescent="0.25">
      <c r="B733" s="97">
        <v>1.484</v>
      </c>
      <c r="C733" s="98">
        <v>145</v>
      </c>
      <c r="D733" s="98">
        <v>30.4</v>
      </c>
      <c r="E733" s="99">
        <v>8.0890000000000004E-2</v>
      </c>
      <c r="F733" s="99">
        <f t="shared" si="8"/>
        <v>12.362467548522684</v>
      </c>
      <c r="G733" s="97">
        <v>690.5</v>
      </c>
      <c r="H733" s="97">
        <v>1.484</v>
      </c>
    </row>
    <row r="734" spans="2:8" x14ac:dyDescent="0.25">
      <c r="B734" s="97">
        <v>1.4890000000000001</v>
      </c>
      <c r="C734" s="98">
        <v>150</v>
      </c>
      <c r="D734" s="98">
        <v>30.4</v>
      </c>
      <c r="E734" s="100">
        <v>8.0189999999999997E-2</v>
      </c>
      <c r="F734" s="100">
        <f t="shared" si="8"/>
        <v>12.470382840753212</v>
      </c>
      <c r="G734" s="97">
        <v>693.2</v>
      </c>
      <c r="H734" s="97">
        <v>1.4890000000000001</v>
      </c>
    </row>
    <row r="735" spans="2:8" x14ac:dyDescent="0.25">
      <c r="B735" s="97">
        <v>1.4950000000000001</v>
      </c>
      <c r="C735" t="s">
        <v>374</v>
      </c>
      <c r="D735" t="s">
        <v>374</v>
      </c>
      <c r="E735" t="s">
        <v>374</v>
      </c>
      <c r="F735" t="s">
        <v>374</v>
      </c>
      <c r="G735" t="s">
        <v>374</v>
      </c>
      <c r="H735" t="s">
        <v>374</v>
      </c>
    </row>
    <row r="738" spans="1:8" ht="15.75" x14ac:dyDescent="0.25">
      <c r="A738" s="92">
        <v>34.253</v>
      </c>
      <c r="C738" s="95" t="s">
        <v>397</v>
      </c>
      <c r="E738" s="102"/>
      <c r="G738" s="102"/>
    </row>
    <row r="739" spans="1:8" x14ac:dyDescent="0.25">
      <c r="B739" s="96" t="s">
        <v>266</v>
      </c>
      <c r="C739" s="96" t="s">
        <v>375</v>
      </c>
      <c r="D739" s="96" t="s">
        <v>380</v>
      </c>
      <c r="E739" s="96" t="s">
        <v>381</v>
      </c>
      <c r="F739" s="96" t="s">
        <v>382</v>
      </c>
      <c r="G739" s="96" t="s">
        <v>265</v>
      </c>
      <c r="H739" s="96" t="s">
        <v>266</v>
      </c>
    </row>
    <row r="740" spans="1:8" x14ac:dyDescent="0.25">
      <c r="B740" s="96" t="s">
        <v>383</v>
      </c>
      <c r="C740" s="96" t="s">
        <v>384</v>
      </c>
      <c r="D740" s="96" t="s">
        <v>385</v>
      </c>
      <c r="E740" s="96" t="s">
        <v>386</v>
      </c>
      <c r="F740" s="96" t="s">
        <v>387</v>
      </c>
      <c r="G740" s="96" t="s">
        <v>388</v>
      </c>
      <c r="H740" s="96" t="s">
        <v>383</v>
      </c>
    </row>
    <row r="741" spans="1:8" x14ac:dyDescent="0.25">
      <c r="B741" s="97">
        <v>-2.545E-2</v>
      </c>
      <c r="C741" s="98">
        <v>-50</v>
      </c>
      <c r="D741" s="98">
        <v>34.25</v>
      </c>
      <c r="E741" s="99">
        <v>43.51</v>
      </c>
      <c r="F741" s="99">
        <f t="shared" ref="F741:F781" si="9">1/E741</f>
        <v>2.2983222247759137E-2</v>
      </c>
      <c r="G741" s="97">
        <v>-10.45</v>
      </c>
      <c r="H741" s="97">
        <v>-2.545E-2</v>
      </c>
    </row>
    <row r="742" spans="1:8" x14ac:dyDescent="0.25">
      <c r="B742" s="97">
        <v>-1.272E-2</v>
      </c>
      <c r="C742" s="98">
        <v>-45</v>
      </c>
      <c r="D742" s="98">
        <v>34.25</v>
      </c>
      <c r="E742" s="99">
        <v>43.3</v>
      </c>
      <c r="F742" s="99">
        <f t="shared" si="9"/>
        <v>2.3094688221709007E-2</v>
      </c>
      <c r="G742" s="97">
        <v>-5.2050000000000001</v>
      </c>
      <c r="H742" s="97">
        <v>-1.272E-2</v>
      </c>
    </row>
    <row r="743" spans="1:8" x14ac:dyDescent="0.25">
      <c r="B743" s="97">
        <v>-1E-4</v>
      </c>
      <c r="C743" s="98">
        <v>-40</v>
      </c>
      <c r="D743" s="98">
        <v>34.25</v>
      </c>
      <c r="E743" s="99">
        <v>43.09</v>
      </c>
      <c r="F743" s="99">
        <f t="shared" si="9"/>
        <v>2.3207240659085634E-2</v>
      </c>
      <c r="G743" s="97">
        <v>6.046E-2</v>
      </c>
      <c r="H743" s="97">
        <v>-1E-4</v>
      </c>
    </row>
    <row r="744" spans="1:8" x14ac:dyDescent="0.25">
      <c r="B744" s="97">
        <v>1.2409999999999999E-2</v>
      </c>
      <c r="C744" s="98">
        <v>-35</v>
      </c>
      <c r="D744" s="98">
        <v>34.25</v>
      </c>
      <c r="E744" s="99">
        <v>42.88</v>
      </c>
      <c r="F744" s="99">
        <f t="shared" si="9"/>
        <v>2.3320895522388058E-2</v>
      </c>
      <c r="G744" s="97">
        <v>5.343</v>
      </c>
      <c r="H744" s="97">
        <v>1.2409999999999999E-2</v>
      </c>
    </row>
    <row r="745" spans="1:8" x14ac:dyDescent="0.25">
      <c r="B745" s="97">
        <v>2.4819999999999998E-2</v>
      </c>
      <c r="C745" s="98">
        <v>-30</v>
      </c>
      <c r="D745" s="98">
        <v>34.25</v>
      </c>
      <c r="E745" s="99">
        <v>42.66</v>
      </c>
      <c r="F745" s="99">
        <f t="shared" si="9"/>
        <v>2.3441162681669011E-2</v>
      </c>
      <c r="G745" s="97">
        <v>10.64</v>
      </c>
      <c r="H745" s="97">
        <v>2.4819999999999998E-2</v>
      </c>
    </row>
    <row r="746" spans="1:8" x14ac:dyDescent="0.25">
      <c r="B746" s="97">
        <v>3.712E-2</v>
      </c>
      <c r="C746" s="98">
        <v>-25</v>
      </c>
      <c r="D746" s="98">
        <v>34.25</v>
      </c>
      <c r="E746" s="99">
        <v>42.45</v>
      </c>
      <c r="F746" s="99">
        <f t="shared" si="9"/>
        <v>2.3557126030624261E-2</v>
      </c>
      <c r="G746" s="97">
        <v>15.96</v>
      </c>
      <c r="H746" s="97">
        <v>3.712E-2</v>
      </c>
    </row>
    <row r="747" spans="1:8" x14ac:dyDescent="0.25">
      <c r="B747" s="97">
        <v>4.9320000000000003E-2</v>
      </c>
      <c r="C747" s="98">
        <v>-20</v>
      </c>
      <c r="D747" s="98">
        <v>34.25</v>
      </c>
      <c r="E747" s="100">
        <v>42.23</v>
      </c>
      <c r="F747" s="100">
        <f t="shared" si="9"/>
        <v>2.3679848448969927E-2</v>
      </c>
      <c r="G747" s="97">
        <v>21.29</v>
      </c>
      <c r="H747" s="97">
        <v>4.9320000000000003E-2</v>
      </c>
    </row>
    <row r="748" spans="1:8" x14ac:dyDescent="0.25">
      <c r="B748" s="97">
        <v>6.1420000000000002E-2</v>
      </c>
      <c r="C748" s="98">
        <v>-15</v>
      </c>
      <c r="D748" s="98">
        <v>34.25</v>
      </c>
      <c r="E748" s="99">
        <v>42.01</v>
      </c>
      <c r="F748" s="99">
        <f t="shared" si="9"/>
        <v>2.3803856224708403E-2</v>
      </c>
      <c r="G748" s="97">
        <v>26.64</v>
      </c>
      <c r="H748" s="97">
        <v>6.1420000000000002E-2</v>
      </c>
    </row>
    <row r="749" spans="1:8" x14ac:dyDescent="0.25">
      <c r="B749" s="97">
        <v>7.3419999999999999E-2</v>
      </c>
      <c r="C749" s="98">
        <v>-10</v>
      </c>
      <c r="D749" s="98">
        <v>34.25</v>
      </c>
      <c r="E749" s="100">
        <v>41.79</v>
      </c>
      <c r="F749" s="100">
        <f t="shared" si="9"/>
        <v>2.3929169657812874E-2</v>
      </c>
      <c r="G749" s="97">
        <v>32.01</v>
      </c>
      <c r="H749" s="97">
        <v>7.3419999999999999E-2</v>
      </c>
    </row>
    <row r="750" spans="1:8" x14ac:dyDescent="0.25">
      <c r="B750" s="97">
        <v>8.5319999999999993E-2</v>
      </c>
      <c r="C750" s="98">
        <v>-5</v>
      </c>
      <c r="D750" s="98">
        <v>34.25</v>
      </c>
      <c r="E750" s="99">
        <v>41.57</v>
      </c>
      <c r="F750" s="99">
        <f t="shared" si="9"/>
        <v>2.4055809477988934E-2</v>
      </c>
      <c r="G750" s="97">
        <v>37.39</v>
      </c>
      <c r="H750" s="97">
        <v>8.5319999999999993E-2</v>
      </c>
    </row>
    <row r="751" spans="1:8" x14ac:dyDescent="0.25">
      <c r="B751" s="97">
        <v>9.7129999999999994E-2</v>
      </c>
      <c r="C751" s="98">
        <v>0</v>
      </c>
      <c r="D751" s="98">
        <v>34.25</v>
      </c>
      <c r="E751" s="100">
        <v>41.34</v>
      </c>
      <c r="F751" s="100">
        <f t="shared" si="9"/>
        <v>2.4189646831156264E-2</v>
      </c>
      <c r="G751" s="97">
        <v>42.79</v>
      </c>
      <c r="H751" s="97">
        <v>9.7129999999999994E-2</v>
      </c>
    </row>
    <row r="752" spans="1:8" x14ac:dyDescent="0.25">
      <c r="B752" s="97">
        <v>1.325</v>
      </c>
      <c r="C752" s="98">
        <v>5</v>
      </c>
      <c r="D752" s="98">
        <v>34.25</v>
      </c>
      <c r="E752" s="99">
        <v>0.1227</v>
      </c>
      <c r="F752" s="99">
        <f t="shared" si="9"/>
        <v>8.1499592502037483</v>
      </c>
      <c r="G752" s="97">
        <v>613.1</v>
      </c>
      <c r="H752" s="97">
        <v>1.325</v>
      </c>
    </row>
    <row r="753" spans="2:8" x14ac:dyDescent="0.25">
      <c r="B753" s="97">
        <v>1.331</v>
      </c>
      <c r="C753" s="98">
        <v>10</v>
      </c>
      <c r="D753" s="98">
        <v>34.25</v>
      </c>
      <c r="E753" s="100">
        <v>0.1211</v>
      </c>
      <c r="F753" s="100">
        <f t="shared" si="9"/>
        <v>8.257638315441783</v>
      </c>
      <c r="G753" s="97">
        <v>616.1</v>
      </c>
      <c r="H753" s="97">
        <v>1.331</v>
      </c>
    </row>
    <row r="754" spans="2:8" x14ac:dyDescent="0.25">
      <c r="B754" s="97">
        <v>1.337</v>
      </c>
      <c r="C754" s="98">
        <v>15</v>
      </c>
      <c r="D754" s="98">
        <v>34.25</v>
      </c>
      <c r="E754" s="99">
        <v>0.1196</v>
      </c>
      <c r="F754" s="99">
        <f t="shared" si="9"/>
        <v>8.3612040133779271</v>
      </c>
      <c r="G754" s="97">
        <v>619</v>
      </c>
      <c r="H754" s="97">
        <v>1.337</v>
      </c>
    </row>
    <row r="755" spans="2:8" x14ac:dyDescent="0.25">
      <c r="B755" s="97">
        <v>1.343</v>
      </c>
      <c r="C755" s="98">
        <v>20</v>
      </c>
      <c r="D755" s="98">
        <v>34.25</v>
      </c>
      <c r="E755" s="100">
        <v>0.1181</v>
      </c>
      <c r="F755" s="100">
        <f t="shared" si="9"/>
        <v>8.4674005080440313</v>
      </c>
      <c r="G755" s="97">
        <v>621.9</v>
      </c>
      <c r="H755" s="97">
        <v>1.343</v>
      </c>
    </row>
    <row r="756" spans="2:8" x14ac:dyDescent="0.25">
      <c r="B756" s="97">
        <v>1.349</v>
      </c>
      <c r="C756" s="98">
        <v>25</v>
      </c>
      <c r="D756" s="98">
        <v>34.25</v>
      </c>
      <c r="E756" s="99">
        <v>0.1167</v>
      </c>
      <c r="F756" s="99">
        <f t="shared" si="9"/>
        <v>8.5689802913453299</v>
      </c>
      <c r="G756" s="97">
        <v>624.79999999999995</v>
      </c>
      <c r="H756" s="97">
        <v>1.349</v>
      </c>
    </row>
    <row r="757" spans="2:8" x14ac:dyDescent="0.25">
      <c r="B757" s="97">
        <v>1.355</v>
      </c>
      <c r="C757" s="98">
        <v>30</v>
      </c>
      <c r="D757" s="98">
        <v>34.25</v>
      </c>
      <c r="E757" s="100">
        <v>0.1153</v>
      </c>
      <c r="F757" s="100">
        <f t="shared" si="9"/>
        <v>8.6730268863833473</v>
      </c>
      <c r="G757" s="97">
        <v>627.6</v>
      </c>
      <c r="H757" s="97">
        <v>1.355</v>
      </c>
    </row>
    <row r="758" spans="2:8" x14ac:dyDescent="0.25">
      <c r="B758" s="97">
        <v>1.361</v>
      </c>
      <c r="C758" s="98">
        <v>35</v>
      </c>
      <c r="D758" s="98">
        <v>34.25</v>
      </c>
      <c r="E758" s="99">
        <v>0.1139</v>
      </c>
      <c r="F758" s="99">
        <f t="shared" si="9"/>
        <v>8.7796312554872689</v>
      </c>
      <c r="G758" s="97">
        <v>630.4</v>
      </c>
      <c r="H758" s="97">
        <v>1.361</v>
      </c>
    </row>
    <row r="759" spans="2:8" x14ac:dyDescent="0.25">
      <c r="B759" s="97">
        <v>1.3660000000000001</v>
      </c>
      <c r="C759" s="98">
        <v>40</v>
      </c>
      <c r="D759" s="98">
        <v>34.25</v>
      </c>
      <c r="E759" s="100">
        <v>0.11260000000000001</v>
      </c>
      <c r="F759" s="100">
        <f t="shared" si="9"/>
        <v>8.8809946714031973</v>
      </c>
      <c r="G759" s="97">
        <v>633.20000000000005</v>
      </c>
      <c r="H759" s="97">
        <v>1.3660000000000001</v>
      </c>
    </row>
    <row r="760" spans="2:8" x14ac:dyDescent="0.25">
      <c r="B760" s="97">
        <v>1.3720000000000001</v>
      </c>
      <c r="C760" s="98">
        <v>45</v>
      </c>
      <c r="D760" s="98">
        <v>34.25</v>
      </c>
      <c r="E760" s="99">
        <v>0.1113</v>
      </c>
      <c r="F760" s="99">
        <f t="shared" si="9"/>
        <v>8.9847259658580416</v>
      </c>
      <c r="G760" s="97">
        <v>636</v>
      </c>
      <c r="H760" s="97">
        <v>1.3720000000000001</v>
      </c>
    </row>
    <row r="761" spans="2:8" x14ac:dyDescent="0.25">
      <c r="B761" s="97">
        <v>1.377</v>
      </c>
      <c r="C761" s="98">
        <v>50</v>
      </c>
      <c r="D761" s="98">
        <v>34.25</v>
      </c>
      <c r="E761" s="100">
        <v>0.1101</v>
      </c>
      <c r="F761" s="100">
        <f t="shared" si="9"/>
        <v>9.0826521344232507</v>
      </c>
      <c r="G761" s="97">
        <v>638.79999999999995</v>
      </c>
      <c r="H761" s="97">
        <v>1.377</v>
      </c>
    </row>
    <row r="762" spans="2:8" x14ac:dyDescent="0.25">
      <c r="B762" s="97">
        <v>1.383</v>
      </c>
      <c r="C762" s="98">
        <v>55</v>
      </c>
      <c r="D762" s="98">
        <v>34.25</v>
      </c>
      <c r="E762" s="99">
        <v>0.10879999999999999</v>
      </c>
      <c r="F762" s="99">
        <f t="shared" si="9"/>
        <v>9.1911764705882355</v>
      </c>
      <c r="G762" s="97">
        <v>641.5</v>
      </c>
      <c r="H762" s="97">
        <v>1.383</v>
      </c>
    </row>
    <row r="763" spans="2:8" x14ac:dyDescent="0.25">
      <c r="B763" s="97">
        <v>1.3879999999999999</v>
      </c>
      <c r="C763" s="98">
        <v>60</v>
      </c>
      <c r="D763" s="98">
        <v>34.25</v>
      </c>
      <c r="E763" s="100">
        <v>0.1077</v>
      </c>
      <c r="F763" s="100">
        <f t="shared" si="9"/>
        <v>9.2850510677808717</v>
      </c>
      <c r="G763" s="97">
        <v>644.29999999999995</v>
      </c>
      <c r="H763" s="97">
        <v>1.3879999999999999</v>
      </c>
    </row>
    <row r="764" spans="2:8" x14ac:dyDescent="0.25">
      <c r="B764" s="97">
        <v>1.393</v>
      </c>
      <c r="C764" s="98">
        <v>65</v>
      </c>
      <c r="D764" s="98">
        <v>34.25</v>
      </c>
      <c r="E764" s="99">
        <v>0.1065</v>
      </c>
      <c r="F764" s="99">
        <f t="shared" si="9"/>
        <v>9.3896713615023479</v>
      </c>
      <c r="G764" s="97">
        <v>647</v>
      </c>
      <c r="H764" s="97">
        <v>1.393</v>
      </c>
    </row>
    <row r="765" spans="2:8" x14ac:dyDescent="0.25">
      <c r="B765" s="97">
        <v>1.3979999999999999</v>
      </c>
      <c r="C765" s="98">
        <v>70</v>
      </c>
      <c r="D765" s="98">
        <v>34.25</v>
      </c>
      <c r="E765" s="100">
        <v>0.10539999999999999</v>
      </c>
      <c r="F765" s="100">
        <f t="shared" si="9"/>
        <v>9.4876660341555983</v>
      </c>
      <c r="G765" s="97">
        <v>649.70000000000005</v>
      </c>
      <c r="H765" s="97">
        <v>1.3979999999999999</v>
      </c>
    </row>
    <row r="766" spans="2:8" x14ac:dyDescent="0.25">
      <c r="B766" s="97">
        <v>1.403</v>
      </c>
      <c r="C766" s="98">
        <v>75</v>
      </c>
      <c r="D766" s="98">
        <v>34.25</v>
      </c>
      <c r="E766" s="99">
        <v>0.1043</v>
      </c>
      <c r="F766" s="99">
        <f t="shared" si="9"/>
        <v>9.5877277085330768</v>
      </c>
      <c r="G766" s="97">
        <v>652.4</v>
      </c>
      <c r="H766" s="97">
        <v>1.403</v>
      </c>
    </row>
    <row r="767" spans="2:8" x14ac:dyDescent="0.25">
      <c r="B767" s="97">
        <v>1.409</v>
      </c>
      <c r="C767" s="98">
        <v>80</v>
      </c>
      <c r="D767" s="98">
        <v>34.25</v>
      </c>
      <c r="E767" s="100">
        <v>0.1032</v>
      </c>
      <c r="F767" s="100">
        <f t="shared" si="9"/>
        <v>9.6899224806201545</v>
      </c>
      <c r="G767" s="97">
        <v>655.20000000000005</v>
      </c>
      <c r="H767" s="97">
        <v>1.409</v>
      </c>
    </row>
    <row r="768" spans="2:8" x14ac:dyDescent="0.25">
      <c r="B768" s="97">
        <v>1.4139999999999999</v>
      </c>
      <c r="C768" s="98">
        <v>85</v>
      </c>
      <c r="D768" s="98">
        <v>34.25</v>
      </c>
      <c r="E768" s="99">
        <v>0.1022</v>
      </c>
      <c r="F768" s="99">
        <f t="shared" si="9"/>
        <v>9.7847358121330732</v>
      </c>
      <c r="G768" s="97">
        <v>657.9</v>
      </c>
      <c r="H768" s="97">
        <v>1.4139999999999999</v>
      </c>
    </row>
    <row r="769" spans="2:8" x14ac:dyDescent="0.25">
      <c r="B769" s="97">
        <v>1.4179999999999999</v>
      </c>
      <c r="C769" s="98">
        <v>90</v>
      </c>
      <c r="D769" s="98">
        <v>34.25</v>
      </c>
      <c r="E769" s="100">
        <v>0.1012</v>
      </c>
      <c r="F769" s="100">
        <f t="shared" si="9"/>
        <v>9.8814229249011856</v>
      </c>
      <c r="G769" s="97">
        <v>660.6</v>
      </c>
      <c r="H769" s="97">
        <v>1.4179999999999999</v>
      </c>
    </row>
    <row r="770" spans="2:8" x14ac:dyDescent="0.25">
      <c r="B770" s="97">
        <v>1.423</v>
      </c>
      <c r="C770" s="98">
        <v>95</v>
      </c>
      <c r="D770" s="98">
        <v>34.25</v>
      </c>
      <c r="E770" s="99">
        <v>0.1002</v>
      </c>
      <c r="F770" s="99">
        <f t="shared" si="9"/>
        <v>9.9800399201596814</v>
      </c>
      <c r="G770" s="97">
        <v>663.3</v>
      </c>
      <c r="H770" s="97">
        <v>1.423</v>
      </c>
    </row>
    <row r="771" spans="2:8" x14ac:dyDescent="0.25">
      <c r="B771" s="97">
        <v>1.4279999999999999</v>
      </c>
      <c r="C771" s="98">
        <v>100</v>
      </c>
      <c r="D771" s="98">
        <v>34.25</v>
      </c>
      <c r="E771" s="100">
        <v>9.9210000000000007E-2</v>
      </c>
      <c r="F771" s="100">
        <f t="shared" si="9"/>
        <v>10.079629069650236</v>
      </c>
      <c r="G771" s="97">
        <v>665.9</v>
      </c>
      <c r="H771" s="97">
        <v>1.4279999999999999</v>
      </c>
    </row>
    <row r="772" spans="2:8" x14ac:dyDescent="0.25">
      <c r="B772" s="97">
        <v>1.4330000000000001</v>
      </c>
      <c r="C772" s="98">
        <v>105</v>
      </c>
      <c r="D772" s="98">
        <v>34.25</v>
      </c>
      <c r="E772" s="99">
        <v>9.826E-2</v>
      </c>
      <c r="F772" s="99">
        <f t="shared" si="9"/>
        <v>10.17708121310808</v>
      </c>
      <c r="G772" s="97">
        <v>668.6</v>
      </c>
      <c r="H772" s="97">
        <v>1.4330000000000001</v>
      </c>
    </row>
    <row r="773" spans="2:8" x14ac:dyDescent="0.25">
      <c r="B773" s="97">
        <v>1.4379999999999999</v>
      </c>
      <c r="C773" s="98">
        <v>110</v>
      </c>
      <c r="D773" s="98">
        <v>34.25</v>
      </c>
      <c r="E773" s="100">
        <v>9.733E-2</v>
      </c>
      <c r="F773" s="100">
        <f t="shared" si="9"/>
        <v>10.274324463166547</v>
      </c>
      <c r="G773" s="97">
        <v>671.3</v>
      </c>
      <c r="H773" s="97">
        <v>1.4379999999999999</v>
      </c>
    </row>
    <row r="774" spans="2:8" x14ac:dyDescent="0.25">
      <c r="B774" s="97">
        <v>1.4419999999999999</v>
      </c>
      <c r="C774" s="98">
        <v>115</v>
      </c>
      <c r="D774" s="98">
        <v>34.25</v>
      </c>
      <c r="E774" s="99">
        <v>9.6420000000000006E-2</v>
      </c>
      <c r="F774" s="99">
        <f t="shared" si="9"/>
        <v>10.37129226301597</v>
      </c>
      <c r="G774" s="97">
        <v>674</v>
      </c>
      <c r="H774" s="97">
        <v>1.4419999999999999</v>
      </c>
    </row>
    <row r="775" spans="2:8" x14ac:dyDescent="0.25">
      <c r="B775" s="97">
        <v>1.4470000000000001</v>
      </c>
      <c r="C775" s="98">
        <v>120</v>
      </c>
      <c r="D775" s="98">
        <v>34.25</v>
      </c>
      <c r="E775" s="100">
        <v>9.5519999999999994E-2</v>
      </c>
      <c r="F775" s="100">
        <f t="shared" si="9"/>
        <v>10.469011725293132</v>
      </c>
      <c r="G775" s="97">
        <v>676.7</v>
      </c>
      <c r="H775" s="97">
        <v>1.4470000000000001</v>
      </c>
    </row>
    <row r="776" spans="2:8" x14ac:dyDescent="0.25">
      <c r="B776" s="97">
        <v>1.452</v>
      </c>
      <c r="C776" s="98">
        <v>125</v>
      </c>
      <c r="D776" s="98">
        <v>34.25</v>
      </c>
      <c r="E776" s="99">
        <v>9.4649999999999998E-2</v>
      </c>
      <c r="F776" s="99">
        <f t="shared" si="9"/>
        <v>10.565240359218173</v>
      </c>
      <c r="G776" s="97">
        <v>679.4</v>
      </c>
      <c r="H776" s="97">
        <v>1.452</v>
      </c>
    </row>
    <row r="777" spans="2:8" x14ac:dyDescent="0.25">
      <c r="B777" s="97">
        <v>1.456</v>
      </c>
      <c r="C777" s="98">
        <v>130</v>
      </c>
      <c r="D777" s="98">
        <v>34.25</v>
      </c>
      <c r="E777" s="100">
        <v>9.3789999999999998E-2</v>
      </c>
      <c r="F777" s="100">
        <f t="shared" si="9"/>
        <v>10.662117496534812</v>
      </c>
      <c r="G777" s="97">
        <v>682</v>
      </c>
      <c r="H777" s="97">
        <v>1.456</v>
      </c>
    </row>
    <row r="778" spans="2:8" x14ac:dyDescent="0.25">
      <c r="B778" s="97">
        <v>1.4610000000000001</v>
      </c>
      <c r="C778" s="98">
        <v>135</v>
      </c>
      <c r="D778" s="98">
        <v>34.25</v>
      </c>
      <c r="E778" s="99">
        <v>9.2950000000000005E-2</v>
      </c>
      <c r="F778" s="99">
        <f t="shared" si="9"/>
        <v>10.758472296933835</v>
      </c>
      <c r="G778" s="97">
        <v>684.7</v>
      </c>
      <c r="H778" s="97">
        <v>1.4610000000000001</v>
      </c>
    </row>
    <row r="779" spans="2:8" x14ac:dyDescent="0.25">
      <c r="B779" s="97">
        <v>1.4650000000000001</v>
      </c>
      <c r="C779" s="98">
        <v>140</v>
      </c>
      <c r="D779" s="98">
        <v>34.25</v>
      </c>
      <c r="E779" s="100">
        <v>9.2119999999999994E-2</v>
      </c>
      <c r="F779" s="100">
        <f t="shared" si="9"/>
        <v>10.855405992184108</v>
      </c>
      <c r="G779" s="97">
        <v>687.4</v>
      </c>
      <c r="H779" s="97">
        <v>1.4650000000000001</v>
      </c>
    </row>
    <row r="780" spans="2:8" x14ac:dyDescent="0.25">
      <c r="B780" s="97">
        <v>1.47</v>
      </c>
      <c r="C780" s="98">
        <v>145</v>
      </c>
      <c r="D780" s="98">
        <v>34.25</v>
      </c>
      <c r="E780" s="99">
        <v>9.1319999999999998E-2</v>
      </c>
      <c r="F780" s="99">
        <f t="shared" si="9"/>
        <v>10.950503723171266</v>
      </c>
      <c r="G780" s="97">
        <v>690.1</v>
      </c>
      <c r="H780" s="97">
        <v>1.47</v>
      </c>
    </row>
    <row r="781" spans="2:8" x14ac:dyDescent="0.25">
      <c r="B781" s="97">
        <v>1.474</v>
      </c>
      <c r="C781" s="98">
        <v>150</v>
      </c>
      <c r="D781" s="98">
        <v>34.25</v>
      </c>
      <c r="E781" s="100">
        <v>9.0520000000000003E-2</v>
      </c>
      <c r="F781" s="100">
        <f t="shared" si="9"/>
        <v>11.04728236853734</v>
      </c>
      <c r="G781" s="97">
        <v>692.7</v>
      </c>
      <c r="H781" s="97">
        <v>1.474</v>
      </c>
    </row>
    <row r="782" spans="2:8" x14ac:dyDescent="0.25">
      <c r="B782" s="97">
        <v>1.4790000000000001</v>
      </c>
      <c r="C782" t="s">
        <v>374</v>
      </c>
      <c r="D782" t="s">
        <v>374</v>
      </c>
      <c r="E782" t="s">
        <v>374</v>
      </c>
      <c r="F782" t="s">
        <v>374</v>
      </c>
      <c r="G782" t="s">
        <v>374</v>
      </c>
      <c r="H782" t="s">
        <v>374</v>
      </c>
    </row>
    <row r="785" spans="1:8" ht="15.75" x14ac:dyDescent="0.25">
      <c r="A785" s="92">
        <v>35</v>
      </c>
      <c r="C785" s="95" t="s">
        <v>398</v>
      </c>
      <c r="E785" s="102"/>
      <c r="F785" s="102"/>
      <c r="G785" s="108"/>
    </row>
    <row r="786" spans="1:8" x14ac:dyDescent="0.25">
      <c r="B786" s="96" t="s">
        <v>266</v>
      </c>
      <c r="C786" s="96" t="s">
        <v>375</v>
      </c>
      <c r="D786" s="96" t="s">
        <v>380</v>
      </c>
      <c r="E786" s="96" t="s">
        <v>381</v>
      </c>
      <c r="F786" s="96" t="s">
        <v>382</v>
      </c>
      <c r="G786" s="96" t="s">
        <v>265</v>
      </c>
      <c r="H786" s="96" t="s">
        <v>266</v>
      </c>
    </row>
    <row r="787" spans="1:8" x14ac:dyDescent="0.25">
      <c r="B787" s="96" t="s">
        <v>383</v>
      </c>
      <c r="C787" s="96" t="s">
        <v>384</v>
      </c>
      <c r="D787" s="96" t="s">
        <v>385</v>
      </c>
      <c r="E787" s="96" t="s">
        <v>386</v>
      </c>
      <c r="F787" s="96" t="s">
        <v>387</v>
      </c>
      <c r="G787" s="96" t="s">
        <v>388</v>
      </c>
      <c r="H787" s="96" t="s">
        <v>383</v>
      </c>
    </row>
    <row r="788" spans="1:8" x14ac:dyDescent="0.25">
      <c r="B788" s="97">
        <v>-2.5455100000000001E-2</v>
      </c>
      <c r="C788" s="98">
        <v>-50</v>
      </c>
      <c r="D788" s="98">
        <v>35</v>
      </c>
      <c r="E788" s="99">
        <v>43.506858999999999</v>
      </c>
      <c r="F788" s="99">
        <f t="shared" ref="F788:F828" si="10">1/E788</f>
        <v>2.2984881533277317E-2</v>
      </c>
      <c r="G788" s="97">
        <v>-10.449901000000001</v>
      </c>
      <c r="H788" s="97">
        <v>-2.5455100000000001E-2</v>
      </c>
    </row>
    <row r="789" spans="1:8" x14ac:dyDescent="0.25">
      <c r="B789" s="97">
        <v>-1.27241E-2</v>
      </c>
      <c r="C789" s="98">
        <v>-45</v>
      </c>
      <c r="D789" s="98">
        <v>35</v>
      </c>
      <c r="E789" s="99">
        <v>43.299190000000003</v>
      </c>
      <c r="F789" s="99">
        <f t="shared" si="10"/>
        <v>2.3095120255136412E-2</v>
      </c>
      <c r="G789" s="97">
        <v>-5.2025880000000004</v>
      </c>
      <c r="H789" s="97">
        <v>-1.27241E-2</v>
      </c>
    </row>
    <row r="790" spans="1:8" x14ac:dyDescent="0.25">
      <c r="B790" s="97">
        <v>-1.0340000000000001E-4</v>
      </c>
      <c r="C790" s="98">
        <v>-40</v>
      </c>
      <c r="D790" s="98">
        <v>35</v>
      </c>
      <c r="E790" s="99">
        <v>43.089613999999997</v>
      </c>
      <c r="F790" s="99">
        <f t="shared" si="10"/>
        <v>2.3207448551291272E-2</v>
      </c>
      <c r="G790" s="97">
        <v>6.2356000000000002E-2</v>
      </c>
      <c r="H790" s="97">
        <v>-1.0340000000000001E-4</v>
      </c>
    </row>
    <row r="791" spans="1:8" x14ac:dyDescent="0.25">
      <c r="B791" s="97">
        <v>1.2409E-2</v>
      </c>
      <c r="C791" s="98">
        <v>-35</v>
      </c>
      <c r="D791" s="98">
        <v>35</v>
      </c>
      <c r="E791" s="99">
        <v>42.878143999999999</v>
      </c>
      <c r="F791" s="99">
        <f t="shared" si="10"/>
        <v>2.3321904977976659E-2</v>
      </c>
      <c r="G791" s="97">
        <v>5.3446499999999997</v>
      </c>
      <c r="H791" s="97">
        <v>1.2409E-2</v>
      </c>
    </row>
    <row r="792" spans="1:8" x14ac:dyDescent="0.25">
      <c r="B792" s="97">
        <v>2.4814900000000001E-2</v>
      </c>
      <c r="C792" s="98">
        <v>-30</v>
      </c>
      <c r="D792" s="98">
        <v>35</v>
      </c>
      <c r="E792" s="99">
        <v>42.664791999999998</v>
      </c>
      <c r="F792" s="99">
        <f t="shared" si="10"/>
        <v>2.3438529830404425E-2</v>
      </c>
      <c r="G792" s="97">
        <v>10.644035000000001</v>
      </c>
      <c r="H792" s="97">
        <v>2.4814900000000001E-2</v>
      </c>
    </row>
    <row r="793" spans="1:8" x14ac:dyDescent="0.25">
      <c r="B793" s="97">
        <v>3.7116299999999998E-2</v>
      </c>
      <c r="C793" s="98">
        <v>-25</v>
      </c>
      <c r="D793" s="98">
        <v>35</v>
      </c>
      <c r="E793" s="99">
        <v>42.449562</v>
      </c>
      <c r="F793" s="99">
        <f t="shared" si="10"/>
        <v>2.3557369096058045E-2</v>
      </c>
      <c r="G793" s="97">
        <v>15.960285000000001</v>
      </c>
      <c r="H793" s="97">
        <v>3.7116299999999998E-2</v>
      </c>
    </row>
    <row r="794" spans="1:8" x14ac:dyDescent="0.25">
      <c r="B794" s="97">
        <v>4.9315100000000001E-2</v>
      </c>
      <c r="C794" s="98">
        <v>-20</v>
      </c>
      <c r="D794" s="98">
        <v>35</v>
      </c>
      <c r="E794" s="99">
        <v>42.23245</v>
      </c>
      <c r="F794" s="99">
        <f t="shared" si="10"/>
        <v>2.3678474727371963E-2</v>
      </c>
      <c r="G794" s="97">
        <v>21.293213000000002</v>
      </c>
      <c r="H794" s="97">
        <v>4.9315100000000001E-2</v>
      </c>
    </row>
    <row r="795" spans="1:8" x14ac:dyDescent="0.25">
      <c r="B795" s="97">
        <v>6.14134E-2</v>
      </c>
      <c r="C795" s="98">
        <v>-15</v>
      </c>
      <c r="D795" s="98">
        <v>35</v>
      </c>
      <c r="E795" s="99">
        <v>42.013446999999999</v>
      </c>
      <c r="F795" s="99">
        <f t="shared" si="10"/>
        <v>2.3801903233505214E-2</v>
      </c>
      <c r="G795" s="97">
        <v>26.642676999999999</v>
      </c>
      <c r="H795" s="97">
        <v>6.14134E-2</v>
      </c>
    </row>
    <row r="796" spans="1:8" x14ac:dyDescent="0.25">
      <c r="B796" s="97">
        <v>7.3413199999999998E-2</v>
      </c>
      <c r="C796" s="98">
        <v>-10</v>
      </c>
      <c r="D796" s="98">
        <v>35</v>
      </c>
      <c r="E796" s="99">
        <v>41.792538</v>
      </c>
      <c r="F796" s="99">
        <f t="shared" si="10"/>
        <v>2.3927716474170579E-2</v>
      </c>
      <c r="G796" s="97">
        <v>32.008583999999999</v>
      </c>
      <c r="H796" s="97">
        <v>7.3413199999999998E-2</v>
      </c>
    </row>
    <row r="797" spans="1:8" x14ac:dyDescent="0.25">
      <c r="B797" s="97">
        <v>8.5316600000000006E-2</v>
      </c>
      <c r="C797" s="98">
        <v>-5</v>
      </c>
      <c r="D797" s="98">
        <v>35</v>
      </c>
      <c r="E797" s="99">
        <v>41.569698000000002</v>
      </c>
      <c r="F797" s="99">
        <f t="shared" si="10"/>
        <v>2.4055984241213395E-2</v>
      </c>
      <c r="G797" s="97">
        <v>37.390901999999997</v>
      </c>
      <c r="H797" s="97">
        <v>8.5316600000000006E-2</v>
      </c>
    </row>
    <row r="798" spans="1:8" x14ac:dyDescent="0.25">
      <c r="B798" s="97">
        <v>9.7125799999999998E-2</v>
      </c>
      <c r="C798" s="98">
        <v>0</v>
      </c>
      <c r="D798" s="98">
        <v>35</v>
      </c>
      <c r="E798" s="99">
        <v>41.344898000000001</v>
      </c>
      <c r="F798" s="99">
        <f t="shared" si="10"/>
        <v>2.4186781159793887E-2</v>
      </c>
      <c r="G798" s="97">
        <v>42.789653999999999</v>
      </c>
      <c r="H798" s="97">
        <v>9.7125799999999998E-2</v>
      </c>
    </row>
    <row r="799" spans="1:8" x14ac:dyDescent="0.25">
      <c r="B799" s="97">
        <v>0.10884290000000001</v>
      </c>
      <c r="C799" s="98">
        <v>5</v>
      </c>
      <c r="D799" s="98">
        <v>35</v>
      </c>
      <c r="E799" s="99">
        <v>41.118099000000001</v>
      </c>
      <c r="F799" s="99">
        <f t="shared" si="10"/>
        <v>2.4320190483514328E-2</v>
      </c>
      <c r="G799" s="97">
        <v>48.204931999999999</v>
      </c>
      <c r="H799" s="97">
        <v>0.10884290000000001</v>
      </c>
    </row>
    <row r="800" spans="1:8" x14ac:dyDescent="0.25">
      <c r="B800" s="97">
        <v>1.3280023000000001</v>
      </c>
      <c r="C800" s="98">
        <v>10</v>
      </c>
      <c r="D800" s="98">
        <v>35</v>
      </c>
      <c r="E800" s="99">
        <v>0.123904</v>
      </c>
      <c r="F800" s="99">
        <f t="shared" si="10"/>
        <v>8.0707644628099171</v>
      </c>
      <c r="G800" s="97">
        <v>615.83805500000005</v>
      </c>
      <c r="H800" s="97">
        <v>1.3280023000000001</v>
      </c>
    </row>
    <row r="801" spans="2:8" x14ac:dyDescent="0.25">
      <c r="B801" s="97">
        <v>1.3342039000000001</v>
      </c>
      <c r="C801" s="98">
        <v>15</v>
      </c>
      <c r="D801" s="98">
        <v>35</v>
      </c>
      <c r="E801" s="99">
        <v>0.12232</v>
      </c>
      <c r="F801" s="99">
        <f t="shared" si="10"/>
        <v>8.1752779594506215</v>
      </c>
      <c r="G801" s="97">
        <v>618.76617099999999</v>
      </c>
      <c r="H801" s="97">
        <v>1.3342039000000001</v>
      </c>
    </row>
    <row r="802" spans="2:8" x14ac:dyDescent="0.25">
      <c r="B802" s="97">
        <v>1.3402791000000001</v>
      </c>
      <c r="C802" s="98">
        <v>20</v>
      </c>
      <c r="D802" s="98">
        <v>35</v>
      </c>
      <c r="E802" s="99">
        <v>0.12078899999999999</v>
      </c>
      <c r="F802" s="99">
        <f t="shared" si="10"/>
        <v>8.278899568669333</v>
      </c>
      <c r="G802" s="97">
        <v>621.66504999999995</v>
      </c>
      <c r="H802" s="97">
        <v>1.3402791000000001</v>
      </c>
    </row>
    <row r="803" spans="2:8" x14ac:dyDescent="0.25">
      <c r="B803" s="97">
        <v>1.3462369999999999</v>
      </c>
      <c r="C803" s="98">
        <v>25</v>
      </c>
      <c r="D803" s="98">
        <v>35</v>
      </c>
      <c r="E803" s="99">
        <v>0.119307</v>
      </c>
      <c r="F803" s="99">
        <f t="shared" si="10"/>
        <v>8.3817378695298679</v>
      </c>
      <c r="G803" s="97">
        <v>624.53772100000003</v>
      </c>
      <c r="H803" s="97">
        <v>1.3462369999999999</v>
      </c>
    </row>
    <row r="804" spans="2:8" x14ac:dyDescent="0.25">
      <c r="B804" s="97">
        <v>1.3520855000000001</v>
      </c>
      <c r="C804" s="98">
        <v>30</v>
      </c>
      <c r="D804" s="98">
        <v>35</v>
      </c>
      <c r="E804" s="99">
        <v>0.117872</v>
      </c>
      <c r="F804" s="99">
        <f t="shared" si="10"/>
        <v>8.4837790145242291</v>
      </c>
      <c r="G804" s="97">
        <v>627.386887</v>
      </c>
      <c r="H804" s="97">
        <v>1.3520855000000001</v>
      </c>
    </row>
    <row r="805" spans="2:8" x14ac:dyDescent="0.25">
      <c r="B805" s="97">
        <v>1.3578317</v>
      </c>
      <c r="C805" s="98">
        <v>35</v>
      </c>
      <c r="D805" s="98">
        <v>35</v>
      </c>
      <c r="E805" s="99">
        <v>0.11648</v>
      </c>
      <c r="F805" s="99">
        <f t="shared" si="10"/>
        <v>8.5851648351648358</v>
      </c>
      <c r="G805" s="97">
        <v>630.214966</v>
      </c>
      <c r="H805" s="97">
        <v>1.3578317</v>
      </c>
    </row>
    <row r="806" spans="2:8" x14ac:dyDescent="0.25">
      <c r="B806" s="97">
        <v>1.3634820999999999</v>
      </c>
      <c r="C806" s="98">
        <v>40</v>
      </c>
      <c r="D806" s="98">
        <v>35</v>
      </c>
      <c r="E806" s="99">
        <v>0.115129</v>
      </c>
      <c r="F806" s="99">
        <f t="shared" si="10"/>
        <v>8.6859088500725274</v>
      </c>
      <c r="G806" s="97">
        <v>633.024134</v>
      </c>
      <c r="H806" s="97">
        <v>1.3634820999999999</v>
      </c>
    </row>
    <row r="807" spans="2:8" x14ac:dyDescent="0.25">
      <c r="B807" s="97">
        <v>1.3690424999999999</v>
      </c>
      <c r="C807" s="98">
        <v>45</v>
      </c>
      <c r="D807" s="98">
        <v>35</v>
      </c>
      <c r="E807" s="99">
        <v>0.113816</v>
      </c>
      <c r="F807" s="99">
        <f t="shared" si="10"/>
        <v>8.7861109158642012</v>
      </c>
      <c r="G807" s="97">
        <v>635.81634899999995</v>
      </c>
      <c r="H807" s="97">
        <v>1.3690424999999999</v>
      </c>
    </row>
    <row r="808" spans="2:8" x14ac:dyDescent="0.25">
      <c r="B808" s="97">
        <v>1.3745181</v>
      </c>
      <c r="C808" s="98">
        <v>50</v>
      </c>
      <c r="D808" s="98">
        <v>35</v>
      </c>
      <c r="E808" s="99">
        <v>0.11254</v>
      </c>
      <c r="F808" s="99">
        <f t="shared" si="10"/>
        <v>8.8857295183934593</v>
      </c>
      <c r="G808" s="97">
        <v>638.59338400000001</v>
      </c>
      <c r="H808" s="97">
        <v>1.3745181</v>
      </c>
    </row>
    <row r="809" spans="2:8" x14ac:dyDescent="0.25">
      <c r="B809" s="97">
        <v>1.3799138</v>
      </c>
      <c r="C809" s="98">
        <v>55</v>
      </c>
      <c r="D809" s="98">
        <v>35</v>
      </c>
      <c r="E809" s="99">
        <v>0.111299</v>
      </c>
      <c r="F809" s="99">
        <f t="shared" si="10"/>
        <v>8.9848066918840246</v>
      </c>
      <c r="G809" s="97">
        <v>641.35684200000003</v>
      </c>
      <c r="H809" s="97">
        <v>1.3799138</v>
      </c>
    </row>
    <row r="810" spans="2:8" x14ac:dyDescent="0.25">
      <c r="B810" s="97">
        <v>1.3852338</v>
      </c>
      <c r="C810" s="98">
        <v>60</v>
      </c>
      <c r="D810" s="98">
        <v>35</v>
      </c>
      <c r="E810" s="99">
        <v>0.11008999999999999</v>
      </c>
      <c r="F810" s="99">
        <f t="shared" si="10"/>
        <v>9.0834771550549558</v>
      </c>
      <c r="G810" s="97">
        <v>644.10818200000006</v>
      </c>
      <c r="H810" s="97">
        <v>1.3852338</v>
      </c>
    </row>
    <row r="811" spans="2:8" x14ac:dyDescent="0.25">
      <c r="B811" s="97">
        <v>1.3904822999999999</v>
      </c>
      <c r="C811" s="98">
        <v>65</v>
      </c>
      <c r="D811" s="98">
        <v>35</v>
      </c>
      <c r="E811" s="99">
        <v>0.10891199999999999</v>
      </c>
      <c r="F811" s="99">
        <f t="shared" si="10"/>
        <v>9.1817246951667411</v>
      </c>
      <c r="G811" s="97">
        <v>646.84873000000005</v>
      </c>
      <c r="H811" s="97">
        <v>1.3904822999999999</v>
      </c>
    </row>
    <row r="812" spans="2:8" x14ac:dyDescent="0.25">
      <c r="B812" s="97">
        <v>1.3956626999999999</v>
      </c>
      <c r="C812" s="98">
        <v>70</v>
      </c>
      <c r="D812" s="98">
        <v>35</v>
      </c>
      <c r="E812" s="99">
        <v>0.107763</v>
      </c>
      <c r="F812" s="99">
        <f t="shared" si="10"/>
        <v>9.2796228761263144</v>
      </c>
      <c r="G812" s="97">
        <v>649.57969600000001</v>
      </c>
      <c r="H812" s="97">
        <v>1.3956626999999999</v>
      </c>
    </row>
    <row r="813" spans="2:8" x14ac:dyDescent="0.25">
      <c r="B813" s="97">
        <v>1.4007786</v>
      </c>
      <c r="C813" s="98">
        <v>75</v>
      </c>
      <c r="D813" s="98">
        <v>35</v>
      </c>
      <c r="E813" s="99">
        <v>0.106643</v>
      </c>
      <c r="F813" s="99">
        <f t="shared" si="10"/>
        <v>9.377080539744755</v>
      </c>
      <c r="G813" s="97">
        <v>652.30218500000001</v>
      </c>
      <c r="H813" s="97">
        <v>1.4007786</v>
      </c>
    </row>
    <row r="814" spans="2:8" x14ac:dyDescent="0.25">
      <c r="B814" s="97">
        <v>1.4058330000000001</v>
      </c>
      <c r="C814" s="98">
        <v>80</v>
      </c>
      <c r="D814" s="98">
        <v>35</v>
      </c>
      <c r="E814" s="99">
        <v>0.10555</v>
      </c>
      <c r="F814" s="99">
        <f t="shared" si="10"/>
        <v>9.4741828517290383</v>
      </c>
      <c r="G814" s="97">
        <v>655.01720899999998</v>
      </c>
      <c r="H814" s="97">
        <v>1.4058330000000001</v>
      </c>
    </row>
    <row r="815" spans="2:8" x14ac:dyDescent="0.25">
      <c r="B815" s="97">
        <v>1.4108286999999999</v>
      </c>
      <c r="C815" s="98">
        <v>85</v>
      </c>
      <c r="D815" s="98">
        <v>35</v>
      </c>
      <c r="E815" s="99">
        <v>0.10448200000000001</v>
      </c>
      <c r="F815" s="99">
        <f t="shared" si="10"/>
        <v>9.5710265883118613</v>
      </c>
      <c r="G815" s="97">
        <v>657.72569599999997</v>
      </c>
      <c r="H815" s="97">
        <v>1.4108286999999999</v>
      </c>
    </row>
    <row r="816" spans="2:8" x14ac:dyDescent="0.25">
      <c r="B816" s="97">
        <v>1.4157683000000001</v>
      </c>
      <c r="C816" s="98">
        <v>90</v>
      </c>
      <c r="D816" s="98">
        <v>35</v>
      </c>
      <c r="E816" s="99">
        <v>0.103439</v>
      </c>
      <c r="F816" s="99">
        <f t="shared" si="10"/>
        <v>9.6675335221724872</v>
      </c>
      <c r="G816" s="97">
        <v>660.42849799999999</v>
      </c>
      <c r="H816" s="97">
        <v>1.4157683000000001</v>
      </c>
    </row>
    <row r="817" spans="1:8" x14ac:dyDescent="0.25">
      <c r="B817" s="97">
        <v>1.4206543</v>
      </c>
      <c r="C817" s="98">
        <v>95</v>
      </c>
      <c r="D817" s="98">
        <v>35</v>
      </c>
      <c r="E817" s="99">
        <v>0.10242</v>
      </c>
      <c r="F817" s="99">
        <f t="shared" si="10"/>
        <v>9.763718023823472</v>
      </c>
      <c r="G817" s="97">
        <v>663.12639999999999</v>
      </c>
      <c r="H817" s="97">
        <v>1.4206543</v>
      </c>
    </row>
    <row r="818" spans="1:8" x14ac:dyDescent="0.25">
      <c r="B818" s="97">
        <v>1.425489</v>
      </c>
      <c r="C818" s="98">
        <v>100</v>
      </c>
      <c r="D818" s="98">
        <v>35</v>
      </c>
      <c r="E818" s="99">
        <v>0.101423</v>
      </c>
      <c r="F818" s="99">
        <f t="shared" si="10"/>
        <v>9.8596965185411598</v>
      </c>
      <c r="G818" s="97">
        <v>665.82012599999996</v>
      </c>
      <c r="H818" s="97">
        <v>1.425489</v>
      </c>
    </row>
    <row r="819" spans="1:8" x14ac:dyDescent="0.25">
      <c r="B819" s="97">
        <v>1.4302744999999999</v>
      </c>
      <c r="C819" s="98">
        <v>105</v>
      </c>
      <c r="D819" s="98">
        <v>35</v>
      </c>
      <c r="E819" s="99">
        <v>0.100448</v>
      </c>
      <c r="F819" s="99">
        <f t="shared" si="10"/>
        <v>9.955399808856324</v>
      </c>
      <c r="G819" s="97">
        <v>668.51034300000003</v>
      </c>
      <c r="H819" s="97">
        <v>1.4302744999999999</v>
      </c>
    </row>
    <row r="820" spans="1:8" x14ac:dyDescent="0.25">
      <c r="B820" s="97">
        <v>1.4350126000000001</v>
      </c>
      <c r="C820" s="98">
        <v>110</v>
      </c>
      <c r="D820" s="98">
        <v>35</v>
      </c>
      <c r="E820" s="99">
        <v>9.9493999999999999E-2</v>
      </c>
      <c r="F820" s="99">
        <f t="shared" si="10"/>
        <v>10.050857338130943</v>
      </c>
      <c r="G820" s="97">
        <v>671.19766800000002</v>
      </c>
      <c r="H820" s="97">
        <v>1.4350126000000001</v>
      </c>
    </row>
    <row r="821" spans="1:8" x14ac:dyDescent="0.25">
      <c r="B821" s="97">
        <v>1.4397053</v>
      </c>
      <c r="C821" s="98">
        <v>115</v>
      </c>
      <c r="D821" s="98">
        <v>35</v>
      </c>
      <c r="E821" s="99">
        <v>9.8559999999999995E-2</v>
      </c>
      <c r="F821" s="99">
        <f t="shared" si="10"/>
        <v>10.146103896103897</v>
      </c>
      <c r="G821" s="97">
        <v>673.88267199999996</v>
      </c>
      <c r="H821" s="97">
        <v>1.4397053</v>
      </c>
    </row>
    <row r="822" spans="1:8" x14ac:dyDescent="0.25">
      <c r="B822" s="97">
        <v>1.4443543000000001</v>
      </c>
      <c r="C822" s="98">
        <v>120</v>
      </c>
      <c r="D822" s="98">
        <v>35</v>
      </c>
      <c r="E822" s="99">
        <v>9.7645999999999997E-2</v>
      </c>
      <c r="F822" s="99">
        <f t="shared" si="10"/>
        <v>10.241074903221843</v>
      </c>
      <c r="G822" s="97">
        <v>676.56588799999997</v>
      </c>
      <c r="H822" s="97">
        <v>1.4443543000000001</v>
      </c>
    </row>
    <row r="823" spans="1:8" x14ac:dyDescent="0.25">
      <c r="B823" s="97">
        <v>1.4489611</v>
      </c>
      <c r="C823" s="98">
        <v>125</v>
      </c>
      <c r="D823" s="98">
        <v>35</v>
      </c>
      <c r="E823" s="99">
        <v>9.6750000000000003E-2</v>
      </c>
      <c r="F823" s="99">
        <f t="shared" si="10"/>
        <v>10.335917312661499</v>
      </c>
      <c r="G823" s="97">
        <v>679.24780599999997</v>
      </c>
      <c r="H823" s="97">
        <v>1.4489611</v>
      </c>
    </row>
    <row r="824" spans="1:8" x14ac:dyDescent="0.25">
      <c r="B824" s="97">
        <v>1.4535271999999999</v>
      </c>
      <c r="C824" s="98">
        <v>130</v>
      </c>
      <c r="D824" s="98">
        <v>35</v>
      </c>
      <c r="E824" s="99">
        <v>9.5871999999999999E-2</v>
      </c>
      <c r="F824" s="99">
        <f t="shared" si="10"/>
        <v>10.430574098798399</v>
      </c>
      <c r="G824" s="97">
        <v>681.92888500000004</v>
      </c>
      <c r="H824" s="97">
        <v>1.4535271999999999</v>
      </c>
    </row>
    <row r="825" spans="1:8" x14ac:dyDescent="0.25">
      <c r="B825" s="97">
        <v>1.4580541</v>
      </c>
      <c r="C825" s="98">
        <v>135</v>
      </c>
      <c r="D825" s="98">
        <v>35</v>
      </c>
      <c r="E825" s="99">
        <v>9.5010999999999998E-2</v>
      </c>
      <c r="F825" s="99">
        <f t="shared" si="10"/>
        <v>10.525097094020692</v>
      </c>
      <c r="G825" s="97">
        <v>684.60955200000001</v>
      </c>
      <c r="H825" s="97">
        <v>1.4580541</v>
      </c>
    </row>
    <row r="826" spans="1:8" x14ac:dyDescent="0.25">
      <c r="B826" s="97">
        <v>1.4625429999999999</v>
      </c>
      <c r="C826" s="98">
        <v>140</v>
      </c>
      <c r="D826" s="98">
        <v>35</v>
      </c>
      <c r="E826" s="99">
        <v>9.4167000000000001E-2</v>
      </c>
      <c r="F826" s="99">
        <f t="shared" si="10"/>
        <v>10.619431435640935</v>
      </c>
      <c r="G826" s="97">
        <v>687.29020500000001</v>
      </c>
      <c r="H826" s="97">
        <v>1.4625429999999999</v>
      </c>
    </row>
    <row r="827" spans="1:8" x14ac:dyDescent="0.25">
      <c r="B827" s="97">
        <v>1.4669953</v>
      </c>
      <c r="C827" s="98">
        <v>145</v>
      </c>
      <c r="D827" s="98">
        <v>35</v>
      </c>
      <c r="E827" s="99">
        <v>9.3339000000000005E-2</v>
      </c>
      <c r="F827" s="99">
        <f t="shared" si="10"/>
        <v>10.713635243574497</v>
      </c>
      <c r="G827" s="97">
        <v>689.97121600000003</v>
      </c>
      <c r="H827" s="97">
        <v>1.4669953</v>
      </c>
    </row>
    <row r="828" spans="1:8" x14ac:dyDescent="0.25">
      <c r="B828" s="97">
        <v>1.4714121</v>
      </c>
      <c r="C828" s="98">
        <v>150</v>
      </c>
      <c r="D828" s="98">
        <v>35</v>
      </c>
      <c r="E828" s="99">
        <v>9.2526999999999998E-2</v>
      </c>
      <c r="F828" s="99">
        <f t="shared" si="10"/>
        <v>10.807656143612135</v>
      </c>
      <c r="G828" s="97">
        <v>692.65293199999996</v>
      </c>
      <c r="H828" s="97">
        <v>1.4714121</v>
      </c>
    </row>
    <row r="829" spans="1:8" x14ac:dyDescent="0.25">
      <c r="B829" s="97">
        <v>1.476</v>
      </c>
      <c r="C829" t="s">
        <v>374</v>
      </c>
      <c r="D829" t="s">
        <v>374</v>
      </c>
      <c r="E829" t="s">
        <v>374</v>
      </c>
      <c r="F829" t="s">
        <v>374</v>
      </c>
      <c r="G829" t="s">
        <v>374</v>
      </c>
      <c r="H829" t="s">
        <v>374</v>
      </c>
    </row>
    <row r="832" spans="1:8" ht="15.75" x14ac:dyDescent="0.25">
      <c r="A832" s="92">
        <v>38.488</v>
      </c>
      <c r="C832" s="95" t="s">
        <v>399</v>
      </c>
      <c r="E832" s="102"/>
      <c r="G832" s="102"/>
    </row>
    <row r="833" spans="2:8" x14ac:dyDescent="0.25">
      <c r="B833" s="96" t="s">
        <v>266</v>
      </c>
      <c r="C833" s="96" t="s">
        <v>375</v>
      </c>
      <c r="D833" s="96" t="s">
        <v>380</v>
      </c>
      <c r="E833" s="96" t="s">
        <v>381</v>
      </c>
      <c r="F833" s="96" t="s">
        <v>382</v>
      </c>
      <c r="G833" s="96" t="s">
        <v>265</v>
      </c>
      <c r="H833" s="96" t="s">
        <v>266</v>
      </c>
    </row>
    <row r="834" spans="2:8" x14ac:dyDescent="0.25">
      <c r="B834" s="96" t="s">
        <v>383</v>
      </c>
      <c r="C834" s="96" t="s">
        <v>384</v>
      </c>
      <c r="D834" s="96" t="s">
        <v>385</v>
      </c>
      <c r="E834" s="96" t="s">
        <v>386</v>
      </c>
      <c r="F834" s="96" t="s">
        <v>387</v>
      </c>
      <c r="G834" s="96" t="s">
        <v>388</v>
      </c>
      <c r="H834" s="96" t="s">
        <v>383</v>
      </c>
    </row>
    <row r="835" spans="2:8" x14ac:dyDescent="0.25">
      <c r="B835" s="97">
        <v>-2.547E-2</v>
      </c>
      <c r="C835" s="98">
        <v>-50</v>
      </c>
      <c r="D835" s="98">
        <v>38.49</v>
      </c>
      <c r="E835" s="99">
        <v>43.51</v>
      </c>
      <c r="F835" s="99">
        <f t="shared" ref="F835:F875" si="11">1/E835</f>
        <v>2.2983222247759137E-2</v>
      </c>
      <c r="G835" s="97">
        <v>-10.44</v>
      </c>
      <c r="H835" s="97">
        <v>-2.547E-2</v>
      </c>
    </row>
    <row r="836" spans="2:8" x14ac:dyDescent="0.25">
      <c r="B836" s="97">
        <v>-1.274E-2</v>
      </c>
      <c r="C836" s="98">
        <v>-45</v>
      </c>
      <c r="D836" s="98">
        <v>38.49</v>
      </c>
      <c r="E836" s="99">
        <v>43.3</v>
      </c>
      <c r="F836" s="99">
        <f t="shared" si="11"/>
        <v>2.3094688221709007E-2</v>
      </c>
      <c r="G836" s="97">
        <v>-5.194</v>
      </c>
      <c r="H836" s="97">
        <v>-1.274E-2</v>
      </c>
    </row>
    <row r="837" spans="2:8" x14ac:dyDescent="0.25">
      <c r="B837" s="97">
        <v>-1.2E-4</v>
      </c>
      <c r="C837" s="98">
        <v>-40</v>
      </c>
      <c r="D837" s="98">
        <v>38.49</v>
      </c>
      <c r="E837" s="99">
        <v>43.09</v>
      </c>
      <c r="F837" s="99">
        <f t="shared" si="11"/>
        <v>2.3207240659085634E-2</v>
      </c>
      <c r="G837" s="97">
        <v>7.1199999999999999E-2</v>
      </c>
      <c r="H837" s="97">
        <v>-1.2E-4</v>
      </c>
    </row>
    <row r="838" spans="2:8" x14ac:dyDescent="0.25">
      <c r="B838" s="97">
        <v>1.239E-2</v>
      </c>
      <c r="C838" s="98">
        <v>-35</v>
      </c>
      <c r="D838" s="98">
        <v>38.49</v>
      </c>
      <c r="E838" s="99">
        <v>42.88</v>
      </c>
      <c r="F838" s="99">
        <f t="shared" si="11"/>
        <v>2.3320895522388058E-2</v>
      </c>
      <c r="G838" s="97">
        <v>5.3529999999999998</v>
      </c>
      <c r="H838" s="97">
        <v>1.239E-2</v>
      </c>
    </row>
    <row r="839" spans="2:8" x14ac:dyDescent="0.25">
      <c r="B839" s="97">
        <v>2.4799999999999999E-2</v>
      </c>
      <c r="C839" s="98">
        <v>-30</v>
      </c>
      <c r="D839" s="98">
        <v>38.49</v>
      </c>
      <c r="E839" s="99">
        <v>42.67</v>
      </c>
      <c r="F839" s="99">
        <f t="shared" si="11"/>
        <v>2.343566908835247E-2</v>
      </c>
      <c r="G839" s="97">
        <v>10.65</v>
      </c>
      <c r="H839" s="97">
        <v>2.4799999999999999E-2</v>
      </c>
    </row>
    <row r="840" spans="2:8" x14ac:dyDescent="0.25">
      <c r="B840" s="97">
        <v>3.7100000000000001E-2</v>
      </c>
      <c r="C840" s="98">
        <v>-25</v>
      </c>
      <c r="D840" s="98">
        <v>38.49</v>
      </c>
      <c r="E840" s="99">
        <v>42.45</v>
      </c>
      <c r="F840" s="99">
        <f t="shared" si="11"/>
        <v>2.3557126030624261E-2</v>
      </c>
      <c r="G840" s="97">
        <v>15.97</v>
      </c>
      <c r="H840" s="97">
        <v>3.7100000000000001E-2</v>
      </c>
    </row>
    <row r="841" spans="2:8" x14ac:dyDescent="0.25">
      <c r="B841" s="97">
        <v>4.9299999999999997E-2</v>
      </c>
      <c r="C841" s="98">
        <v>-20</v>
      </c>
      <c r="D841" s="98">
        <v>38.49</v>
      </c>
      <c r="E841" s="100">
        <v>42.23</v>
      </c>
      <c r="F841" s="100">
        <f t="shared" si="11"/>
        <v>2.3679848448969927E-2</v>
      </c>
      <c r="G841" s="97">
        <v>21.3</v>
      </c>
      <c r="H841" s="97">
        <v>4.9299999999999997E-2</v>
      </c>
    </row>
    <row r="842" spans="2:8" x14ac:dyDescent="0.25">
      <c r="B842" s="97">
        <v>6.1400000000000003E-2</v>
      </c>
      <c r="C842" s="98">
        <v>-15</v>
      </c>
      <c r="D842" s="98">
        <v>38.49</v>
      </c>
      <c r="E842" s="99">
        <v>42.01</v>
      </c>
      <c r="F842" s="99">
        <f t="shared" si="11"/>
        <v>2.3803856224708403E-2</v>
      </c>
      <c r="G842" s="97">
        <v>26.65</v>
      </c>
      <c r="H842" s="97">
        <v>6.1400000000000003E-2</v>
      </c>
    </row>
    <row r="843" spans="2:8" x14ac:dyDescent="0.25">
      <c r="B843" s="97">
        <v>7.3400000000000007E-2</v>
      </c>
      <c r="C843" s="98">
        <v>-10</v>
      </c>
      <c r="D843" s="98">
        <v>38.49</v>
      </c>
      <c r="E843" s="100">
        <v>41.79</v>
      </c>
      <c r="F843" s="100">
        <f t="shared" si="11"/>
        <v>2.3929169657812874E-2</v>
      </c>
      <c r="G843" s="97">
        <v>32.020000000000003</v>
      </c>
      <c r="H843" s="97">
        <v>7.3400000000000007E-2</v>
      </c>
    </row>
    <row r="844" spans="2:8" x14ac:dyDescent="0.25">
      <c r="B844" s="97">
        <v>8.5300000000000001E-2</v>
      </c>
      <c r="C844" s="98">
        <v>-5</v>
      </c>
      <c r="D844" s="98">
        <v>38.49</v>
      </c>
      <c r="E844" s="99">
        <v>41.57</v>
      </c>
      <c r="F844" s="99">
        <f t="shared" si="11"/>
        <v>2.4055809477988934E-2</v>
      </c>
      <c r="G844" s="97">
        <v>37.4</v>
      </c>
      <c r="H844" s="97">
        <v>8.5300000000000001E-2</v>
      </c>
    </row>
    <row r="845" spans="2:8" x14ac:dyDescent="0.25">
      <c r="B845" s="97">
        <v>9.7110000000000002E-2</v>
      </c>
      <c r="C845" s="98">
        <v>0</v>
      </c>
      <c r="D845" s="98">
        <v>38.49</v>
      </c>
      <c r="E845" s="100">
        <v>41.35</v>
      </c>
      <c r="F845" s="100">
        <f t="shared" si="11"/>
        <v>2.4183796856106408E-2</v>
      </c>
      <c r="G845" s="97">
        <v>42.8</v>
      </c>
      <c r="H845" s="97">
        <v>9.7110000000000002E-2</v>
      </c>
    </row>
    <row r="846" spans="2:8" x14ac:dyDescent="0.25">
      <c r="B846" s="97">
        <v>0.10879999999999999</v>
      </c>
      <c r="C846" s="98">
        <v>5</v>
      </c>
      <c r="D846" s="98">
        <v>38.49</v>
      </c>
      <c r="E846" s="99">
        <v>41.12</v>
      </c>
      <c r="F846" s="99">
        <f t="shared" si="11"/>
        <v>2.4319066147859923E-2</v>
      </c>
      <c r="G846" s="97">
        <v>48.21</v>
      </c>
      <c r="H846" s="97">
        <v>0.10879999999999999</v>
      </c>
    </row>
    <row r="847" spans="2:8" x14ac:dyDescent="0.25">
      <c r="B847" s="97">
        <v>0.1205</v>
      </c>
      <c r="C847" s="98">
        <v>10</v>
      </c>
      <c r="D847" s="98">
        <v>38.49</v>
      </c>
      <c r="E847" s="100">
        <v>40.89</v>
      </c>
      <c r="F847" s="100">
        <f t="shared" si="11"/>
        <v>2.4455857177794083E-2</v>
      </c>
      <c r="G847" s="97">
        <v>53.64</v>
      </c>
      <c r="H847" s="97">
        <v>0.1205</v>
      </c>
    </row>
    <row r="848" spans="2:8" x14ac:dyDescent="0.25">
      <c r="B848" s="97">
        <v>1.321</v>
      </c>
      <c r="C848" s="98">
        <v>15</v>
      </c>
      <c r="D848" s="98">
        <v>38.49</v>
      </c>
      <c r="E848" s="99">
        <v>0.13519999999999999</v>
      </c>
      <c r="F848" s="99">
        <f t="shared" si="11"/>
        <v>7.3964497041420127</v>
      </c>
      <c r="G848" s="97">
        <v>617.70000000000005</v>
      </c>
      <c r="H848" s="97">
        <v>1.321</v>
      </c>
    </row>
    <row r="849" spans="2:8" x14ac:dyDescent="0.25">
      <c r="B849" s="97">
        <v>1.327</v>
      </c>
      <c r="C849" s="98">
        <v>20</v>
      </c>
      <c r="D849" s="98">
        <v>38.49</v>
      </c>
      <c r="E849" s="100">
        <v>0.13339999999999999</v>
      </c>
      <c r="F849" s="100">
        <f t="shared" si="11"/>
        <v>7.4962518740629687</v>
      </c>
      <c r="G849" s="97">
        <v>620.6</v>
      </c>
      <c r="H849" s="97">
        <v>1.327</v>
      </c>
    </row>
    <row r="850" spans="2:8" x14ac:dyDescent="0.25">
      <c r="B850" s="97">
        <v>1.3340000000000001</v>
      </c>
      <c r="C850" s="98">
        <v>25</v>
      </c>
      <c r="D850" s="98">
        <v>38.49</v>
      </c>
      <c r="E850" s="99">
        <v>0.1318</v>
      </c>
      <c r="F850" s="99">
        <f t="shared" si="11"/>
        <v>7.587253414264036</v>
      </c>
      <c r="G850" s="97">
        <v>623.5</v>
      </c>
      <c r="H850" s="97">
        <v>1.3340000000000001</v>
      </c>
    </row>
    <row r="851" spans="2:8" x14ac:dyDescent="0.25">
      <c r="B851" s="97">
        <v>1.339</v>
      </c>
      <c r="C851" s="98">
        <v>30</v>
      </c>
      <c r="D851" s="98">
        <v>38.49</v>
      </c>
      <c r="E851" s="100">
        <v>0.13020000000000001</v>
      </c>
      <c r="F851" s="100">
        <f t="shared" si="11"/>
        <v>7.6804915514592924</v>
      </c>
      <c r="G851" s="97">
        <v>626.4</v>
      </c>
      <c r="H851" s="97">
        <v>1.339</v>
      </c>
    </row>
    <row r="852" spans="2:8" x14ac:dyDescent="0.25">
      <c r="B852" s="97">
        <v>1.345</v>
      </c>
      <c r="C852" s="98">
        <v>35</v>
      </c>
      <c r="D852" s="98">
        <v>38.49</v>
      </c>
      <c r="E852" s="99">
        <v>0.12859999999999999</v>
      </c>
      <c r="F852" s="99">
        <f t="shared" si="11"/>
        <v>7.7760497667185078</v>
      </c>
      <c r="G852" s="97">
        <v>629.29999999999995</v>
      </c>
      <c r="H852" s="97">
        <v>1.345</v>
      </c>
    </row>
    <row r="853" spans="2:8" x14ac:dyDescent="0.25">
      <c r="B853" s="97">
        <v>1.351</v>
      </c>
      <c r="C853" s="98">
        <v>40</v>
      </c>
      <c r="D853" s="98">
        <v>38.49</v>
      </c>
      <c r="E853" s="100">
        <v>0.12709999999999999</v>
      </c>
      <c r="F853" s="100">
        <f t="shared" si="11"/>
        <v>7.8678206136900082</v>
      </c>
      <c r="G853" s="97">
        <v>632.1</v>
      </c>
      <c r="H853" s="97">
        <v>1.351</v>
      </c>
    </row>
    <row r="854" spans="2:8" x14ac:dyDescent="0.25">
      <c r="B854" s="97">
        <v>1.357</v>
      </c>
      <c r="C854" s="98">
        <v>45</v>
      </c>
      <c r="D854" s="98">
        <v>38.49</v>
      </c>
      <c r="E854" s="99">
        <v>0.12559999999999999</v>
      </c>
      <c r="F854" s="99">
        <f t="shared" si="11"/>
        <v>7.9617834394904463</v>
      </c>
      <c r="G854" s="97">
        <v>635</v>
      </c>
      <c r="H854" s="97">
        <v>1.357</v>
      </c>
    </row>
    <row r="855" spans="2:8" x14ac:dyDescent="0.25">
      <c r="B855" s="97">
        <v>1.3620000000000001</v>
      </c>
      <c r="C855" s="98">
        <v>50</v>
      </c>
      <c r="D855" s="98">
        <v>38.49</v>
      </c>
      <c r="E855" s="100">
        <v>0.1242</v>
      </c>
      <c r="F855" s="100">
        <f t="shared" si="11"/>
        <v>8.0515297906602257</v>
      </c>
      <c r="G855" s="97">
        <v>637.79999999999995</v>
      </c>
      <c r="H855" s="97">
        <v>1.3620000000000001</v>
      </c>
    </row>
    <row r="856" spans="2:8" x14ac:dyDescent="0.25">
      <c r="B856" s="97">
        <v>1.3680000000000001</v>
      </c>
      <c r="C856" s="98">
        <v>55</v>
      </c>
      <c r="D856" s="98">
        <v>38.49</v>
      </c>
      <c r="E856" s="99">
        <v>0.12280000000000001</v>
      </c>
      <c r="F856" s="99">
        <f t="shared" si="11"/>
        <v>8.1433224755700326</v>
      </c>
      <c r="G856" s="97">
        <v>640.6</v>
      </c>
      <c r="H856" s="97">
        <v>1.3680000000000001</v>
      </c>
    </row>
    <row r="857" spans="2:8" x14ac:dyDescent="0.25">
      <c r="B857" s="97">
        <v>1.373</v>
      </c>
      <c r="C857" s="98">
        <v>60</v>
      </c>
      <c r="D857" s="98">
        <v>38.49</v>
      </c>
      <c r="E857" s="100">
        <v>0.12139999999999999</v>
      </c>
      <c r="F857" s="100">
        <f t="shared" si="11"/>
        <v>8.2372322899505779</v>
      </c>
      <c r="G857" s="97">
        <v>643.4</v>
      </c>
      <c r="H857" s="97">
        <v>1.373</v>
      </c>
    </row>
    <row r="858" spans="2:8" x14ac:dyDescent="0.25">
      <c r="B858" s="97">
        <v>1.3779999999999999</v>
      </c>
      <c r="C858" s="98">
        <v>65</v>
      </c>
      <c r="D858" s="98">
        <v>38.49</v>
      </c>
      <c r="E858" s="99">
        <v>0.1201</v>
      </c>
      <c r="F858" s="99">
        <f t="shared" si="11"/>
        <v>8.3263946711074102</v>
      </c>
      <c r="G858" s="97">
        <v>646.1</v>
      </c>
      <c r="H858" s="97">
        <v>1.3779999999999999</v>
      </c>
    </row>
    <row r="859" spans="2:8" x14ac:dyDescent="0.25">
      <c r="B859" s="97">
        <v>1.3839999999999999</v>
      </c>
      <c r="C859" s="98">
        <v>70</v>
      </c>
      <c r="D859" s="98">
        <v>38.49</v>
      </c>
      <c r="E859" s="100">
        <v>0.1188</v>
      </c>
      <c r="F859" s="100">
        <f t="shared" si="11"/>
        <v>8.4175084175084169</v>
      </c>
      <c r="G859" s="97">
        <v>648.9</v>
      </c>
      <c r="H859" s="97">
        <v>1.3839999999999999</v>
      </c>
    </row>
    <row r="860" spans="2:8" x14ac:dyDescent="0.25">
      <c r="B860" s="97">
        <v>1.389</v>
      </c>
      <c r="C860" s="98">
        <v>75</v>
      </c>
      <c r="D860" s="98">
        <v>38.49</v>
      </c>
      <c r="E860" s="99">
        <v>0.1176</v>
      </c>
      <c r="F860" s="99">
        <f t="shared" si="11"/>
        <v>8.5034013605442187</v>
      </c>
      <c r="G860" s="97">
        <v>651.6</v>
      </c>
      <c r="H860" s="97">
        <v>1.389</v>
      </c>
    </row>
    <row r="861" spans="2:8" x14ac:dyDescent="0.25">
      <c r="B861" s="97">
        <v>1.3939999999999999</v>
      </c>
      <c r="C861" s="98">
        <v>80</v>
      </c>
      <c r="D861" s="98">
        <v>38.49</v>
      </c>
      <c r="E861" s="100">
        <v>0.1164</v>
      </c>
      <c r="F861" s="100">
        <f t="shared" si="11"/>
        <v>8.5910652920962196</v>
      </c>
      <c r="G861" s="97">
        <v>654.4</v>
      </c>
      <c r="H861" s="97">
        <v>1.3939999999999999</v>
      </c>
    </row>
    <row r="862" spans="2:8" x14ac:dyDescent="0.25">
      <c r="B862" s="97">
        <v>1.399</v>
      </c>
      <c r="C862" s="98">
        <v>85</v>
      </c>
      <c r="D862" s="98">
        <v>38.49</v>
      </c>
      <c r="E862" s="99">
        <v>0.1152</v>
      </c>
      <c r="F862" s="99">
        <f t="shared" si="11"/>
        <v>8.6805555555555554</v>
      </c>
      <c r="G862" s="97">
        <v>657.1</v>
      </c>
      <c r="H862" s="97">
        <v>1.399</v>
      </c>
    </row>
    <row r="863" spans="2:8" x14ac:dyDescent="0.25">
      <c r="B863" s="97">
        <v>1.4039999999999999</v>
      </c>
      <c r="C863" s="98">
        <v>90</v>
      </c>
      <c r="D863" s="98">
        <v>38.49</v>
      </c>
      <c r="E863" s="100">
        <v>0.114</v>
      </c>
      <c r="F863" s="100">
        <f t="shared" si="11"/>
        <v>8.7719298245614024</v>
      </c>
      <c r="G863" s="97">
        <v>659.8</v>
      </c>
      <c r="H863" s="97">
        <v>1.4039999999999999</v>
      </c>
    </row>
    <row r="864" spans="2:8" x14ac:dyDescent="0.25">
      <c r="B864" s="97">
        <v>1.409</v>
      </c>
      <c r="C864" s="98">
        <v>95</v>
      </c>
      <c r="D864" s="98">
        <v>38.49</v>
      </c>
      <c r="E864" s="99">
        <v>0.1129</v>
      </c>
      <c r="F864" s="99">
        <f t="shared" si="11"/>
        <v>8.8573959255978743</v>
      </c>
      <c r="G864" s="97">
        <v>662.5</v>
      </c>
      <c r="H864" s="97">
        <v>1.409</v>
      </c>
    </row>
    <row r="865" spans="1:8" x14ac:dyDescent="0.25">
      <c r="B865" s="97">
        <v>1.4139999999999999</v>
      </c>
      <c r="C865" s="98">
        <v>100</v>
      </c>
      <c r="D865" s="98">
        <v>38.49</v>
      </c>
      <c r="E865" s="100">
        <v>0.1118</v>
      </c>
      <c r="F865" s="100">
        <f t="shared" si="11"/>
        <v>8.9445438282647594</v>
      </c>
      <c r="G865" s="97">
        <v>665.3</v>
      </c>
      <c r="H865" s="97">
        <v>1.4139999999999999</v>
      </c>
    </row>
    <row r="866" spans="1:8" x14ac:dyDescent="0.25">
      <c r="B866" s="97">
        <v>1.4179999999999999</v>
      </c>
      <c r="C866" s="98">
        <v>105</v>
      </c>
      <c r="D866" s="98">
        <v>38.49</v>
      </c>
      <c r="E866" s="99">
        <v>0.11070000000000001</v>
      </c>
      <c r="F866" s="99">
        <f t="shared" si="11"/>
        <v>9.033423667570009</v>
      </c>
      <c r="G866" s="97">
        <v>668</v>
      </c>
      <c r="H866" s="97">
        <v>1.4179999999999999</v>
      </c>
    </row>
    <row r="867" spans="1:8" x14ac:dyDescent="0.25">
      <c r="B867" s="97">
        <v>1.423</v>
      </c>
      <c r="C867" s="98">
        <v>110</v>
      </c>
      <c r="D867" s="98">
        <v>38.49</v>
      </c>
      <c r="E867" s="100">
        <v>0.1096</v>
      </c>
      <c r="F867" s="100">
        <f t="shared" si="11"/>
        <v>9.1240875912408761</v>
      </c>
      <c r="G867" s="97">
        <v>670.7</v>
      </c>
      <c r="H867" s="97">
        <v>1.423</v>
      </c>
    </row>
    <row r="868" spans="1:8" x14ac:dyDescent="0.25">
      <c r="B868" s="97">
        <v>1.4279999999999999</v>
      </c>
      <c r="C868" s="98">
        <v>115</v>
      </c>
      <c r="D868" s="98">
        <v>38.49</v>
      </c>
      <c r="E868" s="99">
        <v>0.1086</v>
      </c>
      <c r="F868" s="99">
        <f t="shared" si="11"/>
        <v>9.2081031307550649</v>
      </c>
      <c r="G868" s="97">
        <v>673.4</v>
      </c>
      <c r="H868" s="97">
        <v>1.4279999999999999</v>
      </c>
    </row>
    <row r="869" spans="1:8" x14ac:dyDescent="0.25">
      <c r="B869" s="97">
        <v>1.4330000000000001</v>
      </c>
      <c r="C869" s="98">
        <v>120</v>
      </c>
      <c r="D869" s="98">
        <v>38.49</v>
      </c>
      <c r="E869" s="100">
        <v>0.1076</v>
      </c>
      <c r="F869" s="100">
        <f t="shared" si="11"/>
        <v>9.2936802973977688</v>
      </c>
      <c r="G869" s="97">
        <v>676.1</v>
      </c>
      <c r="H869" s="97">
        <v>1.4330000000000001</v>
      </c>
    </row>
    <row r="870" spans="1:8" x14ac:dyDescent="0.25">
      <c r="B870" s="97">
        <v>1.4370000000000001</v>
      </c>
      <c r="C870" s="98">
        <v>125</v>
      </c>
      <c r="D870" s="98">
        <v>38.49</v>
      </c>
      <c r="E870" s="99">
        <v>0.1066</v>
      </c>
      <c r="F870" s="99">
        <f t="shared" si="11"/>
        <v>9.3808630393996246</v>
      </c>
      <c r="G870" s="97">
        <v>678.8</v>
      </c>
      <c r="H870" s="97">
        <v>1.4370000000000001</v>
      </c>
    </row>
    <row r="871" spans="1:8" x14ac:dyDescent="0.25">
      <c r="B871" s="97">
        <v>1.4419999999999999</v>
      </c>
      <c r="C871" s="98">
        <v>130</v>
      </c>
      <c r="D871" s="98">
        <v>38.49</v>
      </c>
      <c r="E871" s="100">
        <v>0.1056</v>
      </c>
      <c r="F871" s="100">
        <f t="shared" si="11"/>
        <v>9.4696969696969706</v>
      </c>
      <c r="G871" s="97">
        <v>681.5</v>
      </c>
      <c r="H871" s="97">
        <v>1.4419999999999999</v>
      </c>
    </row>
    <row r="872" spans="1:8" x14ac:dyDescent="0.25">
      <c r="B872" s="97">
        <v>1.446</v>
      </c>
      <c r="C872" s="98">
        <v>135</v>
      </c>
      <c r="D872" s="98">
        <v>38.49</v>
      </c>
      <c r="E872" s="99">
        <v>0.1047</v>
      </c>
      <c r="F872" s="99">
        <f t="shared" si="11"/>
        <v>9.5510983763132753</v>
      </c>
      <c r="G872" s="97">
        <v>684.2</v>
      </c>
      <c r="H872" s="97">
        <v>1.446</v>
      </c>
    </row>
    <row r="873" spans="1:8" x14ac:dyDescent="0.25">
      <c r="B873" s="97">
        <v>1.4510000000000001</v>
      </c>
      <c r="C873" s="98">
        <v>140</v>
      </c>
      <c r="D873" s="98">
        <v>38.49</v>
      </c>
      <c r="E873" s="100">
        <v>0.1037</v>
      </c>
      <c r="F873" s="100">
        <f t="shared" si="11"/>
        <v>9.6432015429122462</v>
      </c>
      <c r="G873" s="97">
        <v>686.8</v>
      </c>
      <c r="H873" s="97">
        <v>1.4510000000000001</v>
      </c>
    </row>
    <row r="874" spans="1:8" x14ac:dyDescent="0.25">
      <c r="B874" s="97">
        <v>1.4550000000000001</v>
      </c>
      <c r="C874" s="98">
        <v>145</v>
      </c>
      <c r="D874" s="98">
        <v>38.49</v>
      </c>
      <c r="E874" s="99">
        <v>0.1028</v>
      </c>
      <c r="F874" s="99">
        <f t="shared" si="11"/>
        <v>9.7276264591439681</v>
      </c>
      <c r="G874" s="97">
        <v>689.5</v>
      </c>
      <c r="H874" s="97">
        <v>1.4550000000000001</v>
      </c>
    </row>
    <row r="875" spans="1:8" x14ac:dyDescent="0.25">
      <c r="B875" s="97">
        <v>1.46</v>
      </c>
      <c r="C875" s="98">
        <v>150</v>
      </c>
      <c r="D875" s="98">
        <v>38.49</v>
      </c>
      <c r="E875" s="100">
        <v>0.1019</v>
      </c>
      <c r="F875" s="100">
        <f t="shared" si="11"/>
        <v>9.8135426889106956</v>
      </c>
      <c r="G875" s="97">
        <v>692.2</v>
      </c>
      <c r="H875" s="97">
        <v>1.46</v>
      </c>
    </row>
    <row r="876" spans="1:8" x14ac:dyDescent="0.25">
      <c r="B876" s="97">
        <v>1.466</v>
      </c>
      <c r="C876" t="s">
        <v>374</v>
      </c>
      <c r="D876" t="s">
        <v>374</v>
      </c>
      <c r="E876" t="s">
        <v>374</v>
      </c>
      <c r="F876" t="s">
        <v>374</v>
      </c>
      <c r="G876" t="s">
        <v>374</v>
      </c>
      <c r="H876" t="s">
        <v>374</v>
      </c>
    </row>
    <row r="879" spans="1:8" ht="15.75" x14ac:dyDescent="0.25">
      <c r="A879" s="92">
        <v>40</v>
      </c>
      <c r="C879" s="95" t="s">
        <v>400</v>
      </c>
      <c r="E879" s="102"/>
      <c r="F879" s="102"/>
      <c r="G879" s="108"/>
    </row>
    <row r="880" spans="1:8" x14ac:dyDescent="0.25">
      <c r="B880" s="96" t="s">
        <v>266</v>
      </c>
      <c r="C880" s="96" t="s">
        <v>375</v>
      </c>
      <c r="D880" s="96" t="s">
        <v>380</v>
      </c>
      <c r="E880" s="96" t="s">
        <v>381</v>
      </c>
      <c r="F880" s="96" t="s">
        <v>382</v>
      </c>
      <c r="G880" s="96" t="s">
        <v>265</v>
      </c>
      <c r="H880" s="96" t="s">
        <v>266</v>
      </c>
    </row>
    <row r="881" spans="2:8" x14ac:dyDescent="0.25">
      <c r="B881" s="96" t="s">
        <v>383</v>
      </c>
      <c r="C881" s="96" t="s">
        <v>384</v>
      </c>
      <c r="D881" s="96" t="s">
        <v>385</v>
      </c>
      <c r="E881" s="96" t="s">
        <v>386</v>
      </c>
      <c r="F881" s="96" t="s">
        <v>387</v>
      </c>
      <c r="G881" s="96" t="s">
        <v>388</v>
      </c>
      <c r="H881" s="96" t="s">
        <v>383</v>
      </c>
    </row>
    <row r="882" spans="2:8" x14ac:dyDescent="0.25">
      <c r="B882" s="97">
        <v>-2.5475000000000001E-2</v>
      </c>
      <c r="C882" s="98">
        <v>-50</v>
      </c>
      <c r="D882" s="98">
        <v>40</v>
      </c>
      <c r="E882" s="99">
        <v>43.507809999999999</v>
      </c>
      <c r="F882" s="99">
        <f t="shared" ref="F882:F922" si="12">1/E882</f>
        <v>2.2984379126414316E-2</v>
      </c>
      <c r="G882" s="97">
        <v>-10.436904</v>
      </c>
      <c r="H882" s="97">
        <v>-2.5475000000000001E-2</v>
      </c>
    </row>
    <row r="883" spans="2:8" x14ac:dyDescent="0.25">
      <c r="B883" s="97">
        <v>-1.2744999999999999E-2</v>
      </c>
      <c r="C883" s="98">
        <v>-45</v>
      </c>
      <c r="D883" s="98">
        <v>40</v>
      </c>
      <c r="E883" s="99">
        <v>43.300167000000002</v>
      </c>
      <c r="F883" s="99">
        <f t="shared" si="12"/>
        <v>2.3094599150160322E-2</v>
      </c>
      <c r="G883" s="97">
        <v>-5.1897489999999999</v>
      </c>
      <c r="H883" s="97">
        <v>-1.2744999999999999E-2</v>
      </c>
    </row>
    <row r="884" spans="2:8" x14ac:dyDescent="0.25">
      <c r="B884" s="97">
        <v>-1.2400000000000001E-4</v>
      </c>
      <c r="C884" s="98">
        <v>-40</v>
      </c>
      <c r="D884" s="98">
        <v>40</v>
      </c>
      <c r="E884" s="99">
        <v>43.090617000000002</v>
      </c>
      <c r="F884" s="99">
        <f t="shared" si="12"/>
        <v>2.3206908362440017E-2</v>
      </c>
      <c r="G884" s="97">
        <v>7.5032000000000001E-2</v>
      </c>
      <c r="H884" s="97">
        <v>-1.2400000000000001E-4</v>
      </c>
    </row>
    <row r="885" spans="2:8" x14ac:dyDescent="0.25">
      <c r="B885" s="97">
        <v>1.2388E-2</v>
      </c>
      <c r="C885" s="98">
        <v>-35</v>
      </c>
      <c r="D885" s="98">
        <v>40</v>
      </c>
      <c r="E885" s="99">
        <v>42.879176000000001</v>
      </c>
      <c r="F885" s="99">
        <f t="shared" si="12"/>
        <v>2.3321343675074352E-2</v>
      </c>
      <c r="G885" s="97">
        <v>5.3571580000000001</v>
      </c>
      <c r="H885" s="97">
        <v>1.2388E-2</v>
      </c>
    </row>
    <row r="886" spans="2:8" x14ac:dyDescent="0.25">
      <c r="B886" s="97">
        <v>2.4792999999999999E-2</v>
      </c>
      <c r="C886" s="98">
        <v>-30</v>
      </c>
      <c r="D886" s="98">
        <v>40</v>
      </c>
      <c r="E886" s="99">
        <v>42.665852000000001</v>
      </c>
      <c r="F886" s="99">
        <f t="shared" si="12"/>
        <v>2.3437947518310426E-2</v>
      </c>
      <c r="G886" s="97">
        <v>10.656370000000001</v>
      </c>
      <c r="H886" s="97">
        <v>2.4792999999999999E-2</v>
      </c>
    </row>
    <row r="887" spans="2:8" x14ac:dyDescent="0.25">
      <c r="B887" s="97">
        <v>3.7094000000000002E-2</v>
      </c>
      <c r="C887" s="98">
        <v>-25</v>
      </c>
      <c r="D887" s="98">
        <v>40</v>
      </c>
      <c r="E887" s="99">
        <v>42.450651000000001</v>
      </c>
      <c r="F887" s="99">
        <f t="shared" si="12"/>
        <v>2.3556764771404802E-2</v>
      </c>
      <c r="G887" s="97">
        <v>15.972441</v>
      </c>
      <c r="H887" s="97">
        <v>3.7094000000000002E-2</v>
      </c>
    </row>
    <row r="888" spans="2:8" x14ac:dyDescent="0.25">
      <c r="B888" s="97">
        <v>4.9292999999999997E-2</v>
      </c>
      <c r="C888" s="98">
        <v>-20</v>
      </c>
      <c r="D888" s="98">
        <v>40</v>
      </c>
      <c r="E888" s="99">
        <v>42.23357</v>
      </c>
      <c r="F888" s="99">
        <f t="shared" si="12"/>
        <v>2.3677846793439438E-2</v>
      </c>
      <c r="G888" s="97">
        <v>21.305183</v>
      </c>
      <c r="H888" s="97">
        <v>4.9292999999999997E-2</v>
      </c>
    </row>
    <row r="889" spans="2:8" x14ac:dyDescent="0.25">
      <c r="B889" s="97">
        <v>6.139E-2</v>
      </c>
      <c r="C889" s="98">
        <v>-15</v>
      </c>
      <c r="D889" s="98">
        <v>40</v>
      </c>
      <c r="E889" s="99">
        <v>42.014597999999999</v>
      </c>
      <c r="F889" s="99">
        <f t="shared" si="12"/>
        <v>2.3801251174651247E-2</v>
      </c>
      <c r="G889" s="97">
        <v>26.654454000000001</v>
      </c>
      <c r="H889" s="97">
        <v>6.139E-2</v>
      </c>
    </row>
    <row r="890" spans="2:8" x14ac:dyDescent="0.25">
      <c r="B890" s="97">
        <v>7.3389999999999997E-2</v>
      </c>
      <c r="C890" s="98">
        <v>-10</v>
      </c>
      <c r="D890" s="98">
        <v>40</v>
      </c>
      <c r="E890" s="99">
        <v>41.793722000000002</v>
      </c>
      <c r="F890" s="99">
        <f t="shared" si="12"/>
        <v>2.3927038611205768E-2</v>
      </c>
      <c r="G890" s="97">
        <v>32.020161999999999</v>
      </c>
      <c r="H890" s="97">
        <v>7.3389999999999997E-2</v>
      </c>
    </row>
    <row r="891" spans="2:8" x14ac:dyDescent="0.25">
      <c r="B891" s="97">
        <v>8.5292999999999994E-2</v>
      </c>
      <c r="C891" s="98">
        <v>-5</v>
      </c>
      <c r="D891" s="98">
        <v>40</v>
      </c>
      <c r="E891" s="99">
        <v>41.570915999999997</v>
      </c>
      <c r="F891" s="99">
        <f t="shared" si="12"/>
        <v>2.4055279416984703E-2</v>
      </c>
      <c r="G891" s="97">
        <v>37.402270999999999</v>
      </c>
      <c r="H891" s="97">
        <v>8.5292999999999994E-2</v>
      </c>
    </row>
    <row r="892" spans="2:8" x14ac:dyDescent="0.25">
      <c r="B892" s="97">
        <v>9.7101000000000007E-2</v>
      </c>
      <c r="C892" s="98">
        <v>0</v>
      </c>
      <c r="D892" s="98">
        <v>40</v>
      </c>
      <c r="E892" s="99">
        <v>41.346150999999999</v>
      </c>
      <c r="F892" s="99">
        <f t="shared" si="12"/>
        <v>2.4186048176527968E-2</v>
      </c>
      <c r="G892" s="97">
        <v>42.800804999999997</v>
      </c>
      <c r="H892" s="97">
        <v>9.7101000000000007E-2</v>
      </c>
    </row>
    <row r="893" spans="2:8" x14ac:dyDescent="0.25">
      <c r="B893" s="97">
        <v>0.108818</v>
      </c>
      <c r="C893" s="98">
        <v>5</v>
      </c>
      <c r="D893" s="98">
        <v>40</v>
      </c>
      <c r="E893" s="99">
        <v>41.119388000000001</v>
      </c>
      <c r="F893" s="99">
        <f t="shared" si="12"/>
        <v>2.431942810043768E-2</v>
      </c>
      <c r="G893" s="97">
        <v>48.215856000000002</v>
      </c>
      <c r="H893" s="97">
        <v>0.108818</v>
      </c>
    </row>
    <row r="894" spans="2:8" x14ac:dyDescent="0.25">
      <c r="B894" s="97">
        <v>0.120445</v>
      </c>
      <c r="C894" s="98">
        <v>10</v>
      </c>
      <c r="D894" s="98">
        <v>40</v>
      </c>
      <c r="E894" s="99">
        <v>40.890582000000002</v>
      </c>
      <c r="F894" s="99">
        <f t="shared" si="12"/>
        <v>2.4455509094979375E-2</v>
      </c>
      <c r="G894" s="97">
        <v>53.647582</v>
      </c>
      <c r="H894" s="97">
        <v>0.120445</v>
      </c>
    </row>
    <row r="895" spans="2:8" x14ac:dyDescent="0.25">
      <c r="B895" s="97">
        <v>1.31599</v>
      </c>
      <c r="C895" s="98">
        <v>15</v>
      </c>
      <c r="D895" s="98">
        <v>40</v>
      </c>
      <c r="E895" s="99">
        <v>0.14077000000000001</v>
      </c>
      <c r="F895" s="99">
        <f t="shared" si="12"/>
        <v>7.1037863181075513</v>
      </c>
      <c r="G895" s="97">
        <v>617.17191400000002</v>
      </c>
      <c r="H895" s="97">
        <v>1.31599</v>
      </c>
    </row>
    <row r="896" spans="2:8" x14ac:dyDescent="0.25">
      <c r="B896" s="97">
        <v>1.322227</v>
      </c>
      <c r="C896" s="98">
        <v>20</v>
      </c>
      <c r="D896" s="98">
        <v>40</v>
      </c>
      <c r="E896" s="99">
        <v>0.138956</v>
      </c>
      <c r="F896" s="99">
        <f t="shared" si="12"/>
        <v>7.196522640260226</v>
      </c>
      <c r="G896" s="97">
        <v>620.14808200000004</v>
      </c>
      <c r="H896" s="97">
        <v>1.322227</v>
      </c>
    </row>
    <row r="897" spans="2:8" x14ac:dyDescent="0.25">
      <c r="B897" s="97">
        <v>1.328333</v>
      </c>
      <c r="C897" s="98">
        <v>25</v>
      </c>
      <c r="D897" s="98">
        <v>40</v>
      </c>
      <c r="E897" s="99">
        <v>0.13720499999999999</v>
      </c>
      <c r="F897" s="99">
        <f t="shared" si="12"/>
        <v>7.2883641266717687</v>
      </c>
      <c r="G897" s="97">
        <v>623.09207600000002</v>
      </c>
      <c r="H897" s="97">
        <v>1.328333</v>
      </c>
    </row>
    <row r="898" spans="2:8" x14ac:dyDescent="0.25">
      <c r="B898" s="97">
        <v>1.334317</v>
      </c>
      <c r="C898" s="98">
        <v>30</v>
      </c>
      <c r="D898" s="98">
        <v>40</v>
      </c>
      <c r="E898" s="99">
        <v>0.13551199999999999</v>
      </c>
      <c r="F898" s="99">
        <f t="shared" si="12"/>
        <v>7.3794202727433733</v>
      </c>
      <c r="G898" s="97">
        <v>626.00722399999995</v>
      </c>
      <c r="H898" s="97">
        <v>1.334317</v>
      </c>
    </row>
    <row r="899" spans="2:8" x14ac:dyDescent="0.25">
      <c r="B899" s="97">
        <v>1.3401879999999999</v>
      </c>
      <c r="C899" s="98">
        <v>35</v>
      </c>
      <c r="D899" s="98">
        <v>40</v>
      </c>
      <c r="E899" s="99">
        <v>0.13387299999999999</v>
      </c>
      <c r="F899" s="99">
        <f t="shared" si="12"/>
        <v>7.4697661216227322</v>
      </c>
      <c r="G899" s="97">
        <v>628.89648599999998</v>
      </c>
      <c r="H899" s="97">
        <v>1.3401879999999999</v>
      </c>
    </row>
    <row r="900" spans="2:8" x14ac:dyDescent="0.25">
      <c r="B900" s="97">
        <v>1.345953</v>
      </c>
      <c r="C900" s="98">
        <v>40</v>
      </c>
      <c r="D900" s="98">
        <v>40</v>
      </c>
      <c r="E900" s="99">
        <v>0.13228400000000001</v>
      </c>
      <c r="F900" s="99">
        <f t="shared" si="12"/>
        <v>7.559493211575095</v>
      </c>
      <c r="G900" s="97">
        <v>631.76250700000003</v>
      </c>
      <c r="H900" s="97">
        <v>1.345953</v>
      </c>
    </row>
    <row r="901" spans="2:8" x14ac:dyDescent="0.25">
      <c r="B901" s="97">
        <v>1.351618</v>
      </c>
      <c r="C901" s="98">
        <v>45</v>
      </c>
      <c r="D901" s="98">
        <v>40</v>
      </c>
      <c r="E901" s="99">
        <v>0.130743</v>
      </c>
      <c r="F901" s="99">
        <f t="shared" si="12"/>
        <v>7.6485930413100514</v>
      </c>
      <c r="G901" s="97">
        <v>634.60765700000002</v>
      </c>
      <c r="H901" s="97">
        <v>1.351618</v>
      </c>
    </row>
    <row r="902" spans="2:8" x14ac:dyDescent="0.25">
      <c r="B902" s="97">
        <v>1.357191</v>
      </c>
      <c r="C902" s="98">
        <v>50</v>
      </c>
      <c r="D902" s="98">
        <v>40</v>
      </c>
      <c r="E902" s="99">
        <v>0.129247</v>
      </c>
      <c r="F902" s="99">
        <f t="shared" si="12"/>
        <v>7.7371234922280596</v>
      </c>
      <c r="G902" s="97">
        <v>637.43407000000002</v>
      </c>
      <c r="H902" s="97">
        <v>1.357191</v>
      </c>
    </row>
    <row r="903" spans="2:8" x14ac:dyDescent="0.25">
      <c r="B903" s="97">
        <v>1.3626769999999999</v>
      </c>
      <c r="C903" s="98">
        <v>55</v>
      </c>
      <c r="D903" s="98">
        <v>40</v>
      </c>
      <c r="E903" s="99">
        <v>0.12779299999999999</v>
      </c>
      <c r="F903" s="99">
        <f t="shared" si="12"/>
        <v>7.8251547424350321</v>
      </c>
      <c r="G903" s="97">
        <v>640.24367299999994</v>
      </c>
      <c r="H903" s="97">
        <v>1.3626769999999999</v>
      </c>
    </row>
    <row r="904" spans="2:8" x14ac:dyDescent="0.25">
      <c r="B904" s="97">
        <v>1.3680810000000001</v>
      </c>
      <c r="C904" s="98">
        <v>60</v>
      </c>
      <c r="D904" s="98">
        <v>40</v>
      </c>
      <c r="E904" s="99">
        <v>0.12637999999999999</v>
      </c>
      <c r="F904" s="99">
        <f t="shared" si="12"/>
        <v>7.912644405760406</v>
      </c>
      <c r="G904" s="97">
        <v>643.03820499999995</v>
      </c>
      <c r="H904" s="97">
        <v>1.3680810000000001</v>
      </c>
    </row>
    <row r="905" spans="2:8" x14ac:dyDescent="0.25">
      <c r="B905" s="97">
        <v>1.373407</v>
      </c>
      <c r="C905" s="98">
        <v>65</v>
      </c>
      <c r="D905" s="98">
        <v>40</v>
      </c>
      <c r="E905" s="99">
        <v>0.125004</v>
      </c>
      <c r="F905" s="99">
        <f t="shared" si="12"/>
        <v>7.9997440081917377</v>
      </c>
      <c r="G905" s="97">
        <v>645.81924900000001</v>
      </c>
      <c r="H905" s="97">
        <v>1.373407</v>
      </c>
    </row>
    <row r="906" spans="2:8" x14ac:dyDescent="0.25">
      <c r="B906" s="97">
        <v>1.3786590000000001</v>
      </c>
      <c r="C906" s="98">
        <v>70</v>
      </c>
      <c r="D906" s="98">
        <v>40</v>
      </c>
      <c r="E906" s="99">
        <v>0.123663</v>
      </c>
      <c r="F906" s="99">
        <f t="shared" si="12"/>
        <v>8.0864931305240866</v>
      </c>
      <c r="G906" s="97">
        <v>648.58823800000005</v>
      </c>
      <c r="H906" s="97">
        <v>1.3786590000000001</v>
      </c>
    </row>
    <row r="907" spans="2:8" x14ac:dyDescent="0.25">
      <c r="B907" s="97">
        <v>1.383842</v>
      </c>
      <c r="C907" s="98">
        <v>75</v>
      </c>
      <c r="D907" s="98">
        <v>40</v>
      </c>
      <c r="E907" s="99">
        <v>0.12235699999999999</v>
      </c>
      <c r="F907" s="99">
        <f t="shared" si="12"/>
        <v>8.1728058059612447</v>
      </c>
      <c r="G907" s="97">
        <v>651.34648300000003</v>
      </c>
      <c r="H907" s="97">
        <v>1.383842</v>
      </c>
    </row>
    <row r="908" spans="2:8" x14ac:dyDescent="0.25">
      <c r="B908" s="97">
        <v>1.3889590000000001</v>
      </c>
      <c r="C908" s="98">
        <v>80</v>
      </c>
      <c r="D908" s="98">
        <v>40</v>
      </c>
      <c r="E908" s="99">
        <v>0.121084</v>
      </c>
      <c r="F908" s="99">
        <f t="shared" si="12"/>
        <v>8.2587294770572495</v>
      </c>
      <c r="G908" s="97">
        <v>654.09517800000003</v>
      </c>
      <c r="H908" s="97">
        <v>1.3889590000000001</v>
      </c>
    </row>
    <row r="909" spans="2:8" x14ac:dyDescent="0.25">
      <c r="B909" s="97">
        <v>1.3940140000000001</v>
      </c>
      <c r="C909" s="98">
        <v>85</v>
      </c>
      <c r="D909" s="98">
        <v>40</v>
      </c>
      <c r="E909" s="99">
        <v>0.119841</v>
      </c>
      <c r="F909" s="99">
        <f t="shared" si="12"/>
        <v>8.3443896496190781</v>
      </c>
      <c r="G909" s="97">
        <v>656.83541400000001</v>
      </c>
      <c r="H909" s="97">
        <v>1.3940140000000001</v>
      </c>
    </row>
    <row r="910" spans="2:8" x14ac:dyDescent="0.25">
      <c r="B910" s="97">
        <v>1.399008</v>
      </c>
      <c r="C910" s="98">
        <v>90</v>
      </c>
      <c r="D910" s="98">
        <v>40</v>
      </c>
      <c r="E910" s="99">
        <v>0.118629</v>
      </c>
      <c r="F910" s="99">
        <f t="shared" si="12"/>
        <v>8.4296419931045534</v>
      </c>
      <c r="G910" s="97">
        <v>659.56819199999995</v>
      </c>
      <c r="H910" s="97">
        <v>1.399008</v>
      </c>
    </row>
    <row r="911" spans="2:8" x14ac:dyDescent="0.25">
      <c r="B911" s="97">
        <v>1.403945</v>
      </c>
      <c r="C911" s="98">
        <v>95</v>
      </c>
      <c r="D911" s="98">
        <v>40</v>
      </c>
      <c r="E911" s="99">
        <v>0.11744400000000001</v>
      </c>
      <c r="F911" s="99">
        <f t="shared" si="12"/>
        <v>8.5146963659275912</v>
      </c>
      <c r="G911" s="97">
        <v>662.29443300000003</v>
      </c>
      <c r="H911" s="97">
        <v>1.403945</v>
      </c>
    </row>
    <row r="912" spans="2:8" x14ac:dyDescent="0.25">
      <c r="B912" s="97">
        <v>1.408828</v>
      </c>
      <c r="C912" s="98">
        <v>100</v>
      </c>
      <c r="D912" s="98">
        <v>40</v>
      </c>
      <c r="E912" s="99">
        <v>0.116286</v>
      </c>
      <c r="F912" s="99">
        <f t="shared" si="12"/>
        <v>8.5994874705467552</v>
      </c>
      <c r="G912" s="97">
        <v>665.01497900000004</v>
      </c>
      <c r="H912" s="97">
        <v>1.408828</v>
      </c>
    </row>
    <row r="913" spans="2:8" x14ac:dyDescent="0.25">
      <c r="B913" s="97">
        <v>1.413659</v>
      </c>
      <c r="C913" s="98">
        <v>105</v>
      </c>
      <c r="D913" s="98">
        <v>40</v>
      </c>
      <c r="E913" s="99">
        <v>0.11515499999999999</v>
      </c>
      <c r="F913" s="99">
        <f t="shared" si="12"/>
        <v>8.683947722634711</v>
      </c>
      <c r="G913" s="97">
        <v>667.73060899999996</v>
      </c>
      <c r="H913" s="97">
        <v>1.413659</v>
      </c>
    </row>
    <row r="914" spans="2:8" x14ac:dyDescent="0.25">
      <c r="B914" s="97">
        <v>1.4184399999999999</v>
      </c>
      <c r="C914" s="98">
        <v>110</v>
      </c>
      <c r="D914" s="98">
        <v>40</v>
      </c>
      <c r="E914" s="99">
        <v>0.114048</v>
      </c>
      <c r="F914" s="99">
        <f t="shared" si="12"/>
        <v>8.7682379349046027</v>
      </c>
      <c r="G914" s="97">
        <v>670.44204200000001</v>
      </c>
      <c r="H914" s="97">
        <v>1.4184399999999999</v>
      </c>
    </row>
    <row r="915" spans="2:8" x14ac:dyDescent="0.25">
      <c r="B915" s="97">
        <v>1.4231720000000001</v>
      </c>
      <c r="C915" s="98">
        <v>115</v>
      </c>
      <c r="D915" s="98">
        <v>40</v>
      </c>
      <c r="E915" s="99">
        <v>0.112966</v>
      </c>
      <c r="F915" s="99">
        <f t="shared" si="12"/>
        <v>8.8522210222544846</v>
      </c>
      <c r="G915" s="97">
        <v>673.14994100000001</v>
      </c>
      <c r="H915" s="97">
        <v>1.4231720000000001</v>
      </c>
    </row>
    <row r="916" spans="2:8" x14ac:dyDescent="0.25">
      <c r="B916" s="97">
        <v>1.427859</v>
      </c>
      <c r="C916" s="98">
        <v>120</v>
      </c>
      <c r="D916" s="98">
        <v>40</v>
      </c>
      <c r="E916" s="99">
        <v>0.11190600000000001</v>
      </c>
      <c r="F916" s="99">
        <f t="shared" si="12"/>
        <v>8.9360713455936231</v>
      </c>
      <c r="G916" s="97">
        <v>675.854919</v>
      </c>
      <c r="H916" s="97">
        <v>1.427859</v>
      </c>
    </row>
    <row r="917" spans="2:8" x14ac:dyDescent="0.25">
      <c r="B917" s="97">
        <v>1.432501</v>
      </c>
      <c r="C917" s="98">
        <v>125</v>
      </c>
      <c r="D917" s="98">
        <v>40</v>
      </c>
      <c r="E917" s="99">
        <v>0.11086799999999999</v>
      </c>
      <c r="F917" s="99">
        <f t="shared" si="12"/>
        <v>9.0197351805750987</v>
      </c>
      <c r="G917" s="97">
        <v>678.557545</v>
      </c>
      <c r="H917" s="97">
        <v>1.432501</v>
      </c>
    </row>
    <row r="918" spans="2:8" x14ac:dyDescent="0.25">
      <c r="B918" s="97">
        <v>1.437101</v>
      </c>
      <c r="C918" s="98">
        <v>130</v>
      </c>
      <c r="D918" s="98">
        <v>40</v>
      </c>
      <c r="E918" s="99">
        <v>0.10985200000000001</v>
      </c>
      <c r="F918" s="99">
        <f t="shared" si="12"/>
        <v>9.103156974838873</v>
      </c>
      <c r="G918" s="97">
        <v>681.25834899999995</v>
      </c>
      <c r="H918" s="97">
        <v>1.437101</v>
      </c>
    </row>
    <row r="919" spans="2:8" x14ac:dyDescent="0.25">
      <c r="B919" s="97">
        <v>1.4416599999999999</v>
      </c>
      <c r="C919" s="98">
        <v>135</v>
      </c>
      <c r="D919" s="98">
        <v>40</v>
      </c>
      <c r="E919" s="99">
        <v>0.108857</v>
      </c>
      <c r="F919" s="99">
        <f t="shared" si="12"/>
        <v>9.1863637616322329</v>
      </c>
      <c r="G919" s="97">
        <v>683.95781999999997</v>
      </c>
      <c r="H919" s="97">
        <v>1.4416599999999999</v>
      </c>
    </row>
    <row r="920" spans="2:8" x14ac:dyDescent="0.25">
      <c r="B920" s="97">
        <v>1.4461790000000001</v>
      </c>
      <c r="C920" s="98">
        <v>140</v>
      </c>
      <c r="D920" s="98">
        <v>40</v>
      </c>
      <c r="E920" s="99">
        <v>0.107881</v>
      </c>
      <c r="F920" s="99">
        <f t="shared" si="12"/>
        <v>9.2694728450792994</v>
      </c>
      <c r="G920" s="97">
        <v>686.65641700000003</v>
      </c>
      <c r="H920" s="97">
        <v>1.4461790000000001</v>
      </c>
    </row>
    <row r="921" spans="2:8" x14ac:dyDescent="0.25">
      <c r="B921" s="97">
        <v>1.4506589999999999</v>
      </c>
      <c r="C921" s="98">
        <v>145</v>
      </c>
      <c r="D921" s="98">
        <v>40</v>
      </c>
      <c r="E921" s="99">
        <v>0.10692400000000001</v>
      </c>
      <c r="F921" s="99">
        <f t="shared" si="12"/>
        <v>9.3524372451460849</v>
      </c>
      <c r="G921" s="97">
        <v>689.35456499999998</v>
      </c>
      <c r="H921" s="97">
        <v>1.4506589999999999</v>
      </c>
    </row>
    <row r="922" spans="2:8" x14ac:dyDescent="0.25">
      <c r="B922" s="97">
        <v>1.455103</v>
      </c>
      <c r="C922" s="98">
        <v>150</v>
      </c>
      <c r="D922" s="98">
        <v>40</v>
      </c>
      <c r="E922" s="99">
        <v>0.105986</v>
      </c>
      <c r="F922" s="99">
        <f t="shared" si="12"/>
        <v>9.4352084237540819</v>
      </c>
      <c r="G922" s="97">
        <v>692.05266200000005</v>
      </c>
      <c r="H922" s="97">
        <v>1.455103</v>
      </c>
    </row>
    <row r="923" spans="2:8" x14ac:dyDescent="0.25">
      <c r="B923" s="106">
        <v>1.4663999999999999</v>
      </c>
      <c r="C923" s="106">
        <v>160</v>
      </c>
      <c r="D923" s="107"/>
      <c r="E923" s="106"/>
      <c r="F923" s="106">
        <v>9.6007999999999996</v>
      </c>
      <c r="G923" s="106">
        <v>698.49</v>
      </c>
      <c r="H923" s="106">
        <v>1.4663999999999999</v>
      </c>
    </row>
    <row r="924" spans="2:8" x14ac:dyDescent="0.25">
      <c r="B924" s="106">
        <v>1.4835</v>
      </c>
      <c r="C924" s="106">
        <v>180</v>
      </c>
      <c r="D924" s="107"/>
      <c r="E924" s="106"/>
      <c r="F924" s="106">
        <v>9.9293999999999993</v>
      </c>
      <c r="G924" s="106">
        <v>709.31</v>
      </c>
      <c r="H924" s="106">
        <v>1.4835</v>
      </c>
    </row>
    <row r="925" spans="2:8" x14ac:dyDescent="0.25">
      <c r="B925" s="106">
        <v>1.5002</v>
      </c>
      <c r="C925" s="106">
        <v>200</v>
      </c>
      <c r="D925" s="107"/>
      <c r="E925" s="106"/>
      <c r="F925" s="106">
        <v>10.256</v>
      </c>
      <c r="G925" s="106">
        <v>720.16</v>
      </c>
      <c r="H925" s="106">
        <v>1.5002</v>
      </c>
    </row>
    <row r="926" spans="2:8" x14ac:dyDescent="0.25">
      <c r="B926" s="106">
        <v>1.5165</v>
      </c>
      <c r="C926" s="106">
        <v>220</v>
      </c>
      <c r="D926" s="107"/>
      <c r="E926" s="106"/>
      <c r="F926" s="106">
        <v>10.582000000000001</v>
      </c>
      <c r="G926" s="106">
        <v>731.05</v>
      </c>
      <c r="H926" s="106">
        <v>1.5165</v>
      </c>
    </row>
    <row r="927" spans="2:8" x14ac:dyDescent="0.25">
      <c r="B927" s="106">
        <v>1.534</v>
      </c>
      <c r="C927" t="s">
        <v>374</v>
      </c>
      <c r="D927" t="s">
        <v>374</v>
      </c>
      <c r="E927" t="s">
        <v>374</v>
      </c>
      <c r="F927" t="s">
        <v>374</v>
      </c>
      <c r="G927" t="s">
        <v>374</v>
      </c>
      <c r="H927" t="s">
        <v>374</v>
      </c>
    </row>
    <row r="930" spans="1:8" ht="15.75" x14ac:dyDescent="0.25">
      <c r="A930" s="92">
        <v>43.125999999999998</v>
      </c>
      <c r="C930" s="109" t="s">
        <v>401</v>
      </c>
      <c r="D930" s="101"/>
      <c r="E930" s="110"/>
      <c r="F930" s="101"/>
      <c r="G930" s="110"/>
    </row>
    <row r="931" spans="1:8" x14ac:dyDescent="0.25">
      <c r="B931" s="96" t="s">
        <v>266</v>
      </c>
      <c r="C931" s="96" t="s">
        <v>375</v>
      </c>
      <c r="D931" s="96" t="s">
        <v>380</v>
      </c>
      <c r="E931" s="96" t="s">
        <v>381</v>
      </c>
      <c r="F931" s="96" t="s">
        <v>382</v>
      </c>
      <c r="G931" s="96" t="s">
        <v>265</v>
      </c>
      <c r="H931" s="96" t="s">
        <v>266</v>
      </c>
    </row>
    <row r="932" spans="1:8" x14ac:dyDescent="0.25">
      <c r="B932" s="96" t="s">
        <v>383</v>
      </c>
      <c r="C932" s="96" t="s">
        <v>384</v>
      </c>
      <c r="D932" s="96" t="s">
        <v>385</v>
      </c>
      <c r="E932" s="96" t="s">
        <v>386</v>
      </c>
      <c r="F932" s="96" t="s">
        <v>387</v>
      </c>
      <c r="G932" s="96" t="s">
        <v>388</v>
      </c>
      <c r="H932" s="96" t="s">
        <v>383</v>
      </c>
    </row>
    <row r="933" spans="1:8" x14ac:dyDescent="0.25">
      <c r="B933" s="97">
        <v>-2.5489999999999999E-2</v>
      </c>
      <c r="C933" s="98">
        <v>-50</v>
      </c>
      <c r="D933" s="98">
        <v>43.13</v>
      </c>
      <c r="E933" s="99">
        <v>43.51</v>
      </c>
      <c r="F933" s="99">
        <f t="shared" ref="F933:F973" si="13">1/E933</f>
        <v>2.2983222247759137E-2</v>
      </c>
      <c r="G933" s="97">
        <v>-10.43</v>
      </c>
      <c r="H933" s="97">
        <v>-2.5489999999999999E-2</v>
      </c>
    </row>
    <row r="934" spans="1:8" x14ac:dyDescent="0.25">
      <c r="B934" s="97">
        <v>-1.2760000000000001E-2</v>
      </c>
      <c r="C934" s="98">
        <v>-45</v>
      </c>
      <c r="D934" s="98">
        <v>43.13</v>
      </c>
      <c r="E934" s="99">
        <v>43.3</v>
      </c>
      <c r="F934" s="99">
        <f t="shared" si="13"/>
        <v>2.3094688221709007E-2</v>
      </c>
      <c r="G934" s="97">
        <v>-5.1820000000000004</v>
      </c>
      <c r="H934" s="97">
        <v>-1.2760000000000001E-2</v>
      </c>
    </row>
    <row r="935" spans="1:8" x14ac:dyDescent="0.25">
      <c r="B935" s="97">
        <v>-1.3999999999999999E-4</v>
      </c>
      <c r="C935" s="98">
        <v>-40</v>
      </c>
      <c r="D935" s="98">
        <v>43.13</v>
      </c>
      <c r="E935" s="99">
        <v>43.09</v>
      </c>
      <c r="F935" s="99">
        <f t="shared" si="13"/>
        <v>2.3207240659085634E-2</v>
      </c>
      <c r="G935" s="97">
        <v>8.2960000000000006E-2</v>
      </c>
      <c r="H935" s="97">
        <v>-1.3999999999999999E-4</v>
      </c>
    </row>
    <row r="936" spans="1:8" x14ac:dyDescent="0.25">
      <c r="B936" s="97">
        <v>1.2370000000000001E-2</v>
      </c>
      <c r="C936" s="98">
        <v>-35</v>
      </c>
      <c r="D936" s="98">
        <v>43.13</v>
      </c>
      <c r="E936" s="99">
        <v>42.88</v>
      </c>
      <c r="F936" s="99">
        <f t="shared" si="13"/>
        <v>2.3320895522388058E-2</v>
      </c>
      <c r="G936" s="97">
        <v>5.3650000000000002</v>
      </c>
      <c r="H936" s="97">
        <v>1.2370000000000001E-2</v>
      </c>
    </row>
    <row r="937" spans="1:8" x14ac:dyDescent="0.25">
      <c r="B937" s="97">
        <v>2.478E-2</v>
      </c>
      <c r="C937" s="98">
        <v>-30</v>
      </c>
      <c r="D937" s="98">
        <v>43.13</v>
      </c>
      <c r="E937" s="99">
        <v>42.67</v>
      </c>
      <c r="F937" s="99">
        <f t="shared" si="13"/>
        <v>2.343566908835247E-2</v>
      </c>
      <c r="G937" s="97">
        <v>10.66</v>
      </c>
      <c r="H937" s="97">
        <v>2.478E-2</v>
      </c>
    </row>
    <row r="938" spans="1:8" x14ac:dyDescent="0.25">
      <c r="B938" s="97">
        <v>3.7080000000000002E-2</v>
      </c>
      <c r="C938" s="98">
        <v>-25</v>
      </c>
      <c r="D938" s="98">
        <v>43.13</v>
      </c>
      <c r="E938" s="99">
        <v>42.45</v>
      </c>
      <c r="F938" s="99">
        <f t="shared" si="13"/>
        <v>2.3557126030624261E-2</v>
      </c>
      <c r="G938" s="97">
        <v>15.98</v>
      </c>
      <c r="H938" s="97">
        <v>3.7080000000000002E-2</v>
      </c>
    </row>
    <row r="939" spans="1:8" x14ac:dyDescent="0.25">
      <c r="B939" s="97">
        <v>4.9279999999999997E-2</v>
      </c>
      <c r="C939" s="98">
        <v>-20</v>
      </c>
      <c r="D939" s="98">
        <v>43.13</v>
      </c>
      <c r="E939" s="100">
        <v>42.23</v>
      </c>
      <c r="F939" s="100">
        <f t="shared" si="13"/>
        <v>2.3679848448969927E-2</v>
      </c>
      <c r="G939" s="97">
        <v>21.31</v>
      </c>
      <c r="H939" s="97">
        <v>4.9279999999999997E-2</v>
      </c>
    </row>
    <row r="940" spans="1:8" x14ac:dyDescent="0.25">
      <c r="B940" s="97">
        <v>6.1379999999999997E-2</v>
      </c>
      <c r="C940" s="98">
        <v>-15</v>
      </c>
      <c r="D940" s="98">
        <v>43.13</v>
      </c>
      <c r="E940" s="99">
        <v>42.02</v>
      </c>
      <c r="F940" s="99">
        <f t="shared" si="13"/>
        <v>2.3798191337458353E-2</v>
      </c>
      <c r="G940" s="97">
        <v>26.66</v>
      </c>
      <c r="H940" s="97">
        <v>6.1379999999999997E-2</v>
      </c>
    </row>
    <row r="941" spans="1:8" x14ac:dyDescent="0.25">
      <c r="B941" s="97">
        <v>7.3380000000000001E-2</v>
      </c>
      <c r="C941" s="98">
        <v>-10</v>
      </c>
      <c r="D941" s="98">
        <v>43.13</v>
      </c>
      <c r="E941" s="100">
        <v>41.79</v>
      </c>
      <c r="F941" s="100">
        <f t="shared" si="13"/>
        <v>2.3929169657812874E-2</v>
      </c>
      <c r="G941" s="97">
        <v>32.03</v>
      </c>
      <c r="H941" s="97">
        <v>7.3380000000000001E-2</v>
      </c>
    </row>
    <row r="942" spans="1:8" x14ac:dyDescent="0.25">
      <c r="B942" s="97">
        <v>8.5279999999999995E-2</v>
      </c>
      <c r="C942" s="98">
        <v>-5</v>
      </c>
      <c r="D942" s="98">
        <v>43.13</v>
      </c>
      <c r="E942" s="99">
        <v>41.57</v>
      </c>
      <c r="F942" s="99">
        <f t="shared" si="13"/>
        <v>2.4055809477988934E-2</v>
      </c>
      <c r="G942" s="97">
        <v>37.409999999999997</v>
      </c>
      <c r="H942" s="97">
        <v>8.5279999999999995E-2</v>
      </c>
    </row>
    <row r="943" spans="1:8" x14ac:dyDescent="0.25">
      <c r="B943" s="97">
        <v>9.7089999999999996E-2</v>
      </c>
      <c r="C943" s="98">
        <v>0</v>
      </c>
      <c r="D943" s="98">
        <v>43.13</v>
      </c>
      <c r="E943" s="100">
        <v>41.35</v>
      </c>
      <c r="F943" s="100">
        <f t="shared" si="13"/>
        <v>2.4183796856106408E-2</v>
      </c>
      <c r="G943" s="97">
        <v>42.81</v>
      </c>
      <c r="H943" s="97">
        <v>9.7089999999999996E-2</v>
      </c>
    </row>
    <row r="944" spans="1:8" x14ac:dyDescent="0.25">
      <c r="B944" s="97">
        <v>0.10879999999999999</v>
      </c>
      <c r="C944" s="98">
        <v>5</v>
      </c>
      <c r="D944" s="98">
        <v>43.13</v>
      </c>
      <c r="E944" s="99">
        <v>41.12</v>
      </c>
      <c r="F944" s="99">
        <f t="shared" si="13"/>
        <v>2.4319066147859923E-2</v>
      </c>
      <c r="G944" s="97">
        <v>48.22</v>
      </c>
      <c r="H944" s="97">
        <v>0.10879999999999999</v>
      </c>
    </row>
    <row r="945" spans="2:8" x14ac:dyDescent="0.25">
      <c r="B945" s="97">
        <v>0.12039999999999999</v>
      </c>
      <c r="C945" s="98">
        <v>10</v>
      </c>
      <c r="D945" s="98">
        <v>43.13</v>
      </c>
      <c r="E945" s="100">
        <v>40.89</v>
      </c>
      <c r="F945" s="100">
        <f t="shared" si="13"/>
        <v>2.4455857177794083E-2</v>
      </c>
      <c r="G945" s="97">
        <v>53.65</v>
      </c>
      <c r="H945" s="97">
        <v>0.12039999999999999</v>
      </c>
    </row>
    <row r="946" spans="2:8" x14ac:dyDescent="0.25">
      <c r="B946" s="97">
        <v>0.13200000000000001</v>
      </c>
      <c r="C946" s="98">
        <v>15</v>
      </c>
      <c r="D946" s="98">
        <v>43.13</v>
      </c>
      <c r="E946" s="99">
        <v>40.659999999999997</v>
      </c>
      <c r="F946" s="99">
        <f t="shared" si="13"/>
        <v>2.4594195769798328E-2</v>
      </c>
      <c r="G946" s="97">
        <v>59.1</v>
      </c>
      <c r="H946" s="97">
        <v>0.13200000000000001</v>
      </c>
    </row>
    <row r="947" spans="2:8" x14ac:dyDescent="0.25">
      <c r="B947" s="97">
        <v>1.3120000000000001</v>
      </c>
      <c r="C947" s="98">
        <v>20</v>
      </c>
      <c r="D947" s="98">
        <v>43.13</v>
      </c>
      <c r="E947" s="100">
        <v>0.15040000000000001</v>
      </c>
      <c r="F947" s="100">
        <f t="shared" si="13"/>
        <v>6.6489361702127656</v>
      </c>
      <c r="G947" s="97">
        <v>619.20000000000005</v>
      </c>
      <c r="H947" s="97">
        <v>1.3120000000000001</v>
      </c>
    </row>
    <row r="948" spans="2:8" x14ac:dyDescent="0.25">
      <c r="B948" s="97">
        <v>1.3180000000000001</v>
      </c>
      <c r="C948" s="98">
        <v>25</v>
      </c>
      <c r="D948" s="98">
        <v>43.13</v>
      </c>
      <c r="E948" s="99">
        <v>0.14849999999999999</v>
      </c>
      <c r="F948" s="99">
        <f t="shared" si="13"/>
        <v>6.7340067340067344</v>
      </c>
      <c r="G948" s="97">
        <v>622.20000000000005</v>
      </c>
      <c r="H948" s="97">
        <v>1.3180000000000001</v>
      </c>
    </row>
    <row r="949" spans="2:8" x14ac:dyDescent="0.25">
      <c r="B949" s="97">
        <v>1.3240000000000001</v>
      </c>
      <c r="C949" s="98">
        <v>30</v>
      </c>
      <c r="D949" s="98">
        <v>43.13</v>
      </c>
      <c r="E949" s="100">
        <v>0.1467</v>
      </c>
      <c r="F949" s="100">
        <f t="shared" si="13"/>
        <v>6.8166325835037496</v>
      </c>
      <c r="G949" s="97">
        <v>625.1</v>
      </c>
      <c r="H949" s="97">
        <v>1.3240000000000001</v>
      </c>
    </row>
    <row r="950" spans="2:8" x14ac:dyDescent="0.25">
      <c r="B950" s="97">
        <v>1.33</v>
      </c>
      <c r="C950" s="98">
        <v>35</v>
      </c>
      <c r="D950" s="98">
        <v>43.13</v>
      </c>
      <c r="E950" s="99">
        <v>0.1449</v>
      </c>
      <c r="F950" s="99">
        <f t="shared" si="13"/>
        <v>6.9013112491373363</v>
      </c>
      <c r="G950" s="97">
        <v>628.1</v>
      </c>
      <c r="H950" s="97">
        <v>1.33</v>
      </c>
    </row>
    <row r="951" spans="2:8" x14ac:dyDescent="0.25">
      <c r="B951" s="97">
        <v>1.3360000000000001</v>
      </c>
      <c r="C951" s="98">
        <v>40</v>
      </c>
      <c r="D951" s="98">
        <v>43.13</v>
      </c>
      <c r="E951" s="100">
        <v>0.1431</v>
      </c>
      <c r="F951" s="100">
        <f t="shared" si="13"/>
        <v>6.9881201956673653</v>
      </c>
      <c r="G951" s="97">
        <v>631</v>
      </c>
      <c r="H951" s="97">
        <v>1.3360000000000001</v>
      </c>
    </row>
    <row r="952" spans="2:8" x14ac:dyDescent="0.25">
      <c r="B952" s="97">
        <v>1.3420000000000001</v>
      </c>
      <c r="C952" s="98">
        <v>45</v>
      </c>
      <c r="D952" s="98">
        <v>43.13</v>
      </c>
      <c r="E952" s="99">
        <v>0.1414</v>
      </c>
      <c r="F952" s="99">
        <f t="shared" si="13"/>
        <v>7.0721357850070721</v>
      </c>
      <c r="G952" s="97">
        <v>633.79999999999995</v>
      </c>
      <c r="H952" s="97">
        <v>1.3420000000000001</v>
      </c>
    </row>
    <row r="953" spans="2:8" x14ac:dyDescent="0.25">
      <c r="B953" s="97">
        <v>1.347</v>
      </c>
      <c r="C953" s="98">
        <v>50</v>
      </c>
      <c r="D953" s="98">
        <v>43.13</v>
      </c>
      <c r="E953" s="100">
        <v>0.13980000000000001</v>
      </c>
      <c r="F953" s="100">
        <f t="shared" si="13"/>
        <v>7.1530758226037188</v>
      </c>
      <c r="G953" s="97">
        <v>636.70000000000005</v>
      </c>
      <c r="H953" s="97">
        <v>1.347</v>
      </c>
    </row>
    <row r="954" spans="2:8" x14ac:dyDescent="0.25">
      <c r="B954" s="97">
        <v>1.353</v>
      </c>
      <c r="C954" s="98">
        <v>55</v>
      </c>
      <c r="D954" s="98">
        <v>43.13</v>
      </c>
      <c r="E954" s="99">
        <v>0.13819999999999999</v>
      </c>
      <c r="F954" s="99">
        <f t="shared" si="13"/>
        <v>7.2358900144717806</v>
      </c>
      <c r="G954" s="97">
        <v>639.5</v>
      </c>
      <c r="H954" s="97">
        <v>1.353</v>
      </c>
    </row>
    <row r="955" spans="2:8" x14ac:dyDescent="0.25">
      <c r="B955" s="97">
        <v>1.3580000000000001</v>
      </c>
      <c r="C955" s="98">
        <v>60</v>
      </c>
      <c r="D955" s="98">
        <v>43.13</v>
      </c>
      <c r="E955" s="100">
        <v>0.1366</v>
      </c>
      <c r="F955" s="100">
        <f t="shared" si="13"/>
        <v>7.3206442166910692</v>
      </c>
      <c r="G955" s="97">
        <v>642.4</v>
      </c>
      <c r="H955" s="97">
        <v>1.3580000000000001</v>
      </c>
    </row>
    <row r="956" spans="2:8" x14ac:dyDescent="0.25">
      <c r="B956" s="97">
        <v>1.3640000000000001</v>
      </c>
      <c r="C956" s="98">
        <v>65</v>
      </c>
      <c r="D956" s="98">
        <v>43.13</v>
      </c>
      <c r="E956" s="99">
        <v>0.1351</v>
      </c>
      <c r="F956" s="99">
        <f t="shared" si="13"/>
        <v>7.4019245003700966</v>
      </c>
      <c r="G956" s="97">
        <v>645.20000000000005</v>
      </c>
      <c r="H956" s="97">
        <v>1.3640000000000001</v>
      </c>
    </row>
    <row r="957" spans="2:8" x14ac:dyDescent="0.25">
      <c r="B957" s="97">
        <v>1.369</v>
      </c>
      <c r="C957" s="98">
        <v>70</v>
      </c>
      <c r="D957" s="98">
        <v>43.13</v>
      </c>
      <c r="E957" s="100">
        <v>0.13370000000000001</v>
      </c>
      <c r="F957" s="100">
        <f t="shared" si="13"/>
        <v>7.4794315632011958</v>
      </c>
      <c r="G957" s="97">
        <v>648</v>
      </c>
      <c r="H957" s="97">
        <v>1.369</v>
      </c>
    </row>
    <row r="958" spans="2:8" x14ac:dyDescent="0.25">
      <c r="B958" s="97">
        <v>1.3740000000000001</v>
      </c>
      <c r="C958" s="98">
        <v>75</v>
      </c>
      <c r="D958" s="98">
        <v>43.13</v>
      </c>
      <c r="E958" s="99">
        <v>0.13220000000000001</v>
      </c>
      <c r="F958" s="99">
        <f t="shared" si="13"/>
        <v>7.5642965204235999</v>
      </c>
      <c r="G958" s="97">
        <v>650.70000000000005</v>
      </c>
      <c r="H958" s="97">
        <v>1.3740000000000001</v>
      </c>
    </row>
    <row r="959" spans="2:8" x14ac:dyDescent="0.25">
      <c r="B959" s="97">
        <v>1.379</v>
      </c>
      <c r="C959" s="98">
        <v>80</v>
      </c>
      <c r="D959" s="98">
        <v>43.13</v>
      </c>
      <c r="E959" s="100">
        <v>0.13089999999999999</v>
      </c>
      <c r="F959" s="100">
        <f t="shared" si="13"/>
        <v>7.6394194041252872</v>
      </c>
      <c r="G959" s="97">
        <v>653.5</v>
      </c>
      <c r="H959" s="97">
        <v>1.379</v>
      </c>
    </row>
    <row r="960" spans="2:8" x14ac:dyDescent="0.25">
      <c r="B960" s="97">
        <v>1.3839999999999999</v>
      </c>
      <c r="C960" s="98">
        <v>85</v>
      </c>
      <c r="D960" s="98">
        <v>43.13</v>
      </c>
      <c r="E960" s="99">
        <v>0.1295</v>
      </c>
      <c r="F960" s="99">
        <f t="shared" si="13"/>
        <v>7.7220077220077217</v>
      </c>
      <c r="G960" s="97">
        <v>656.3</v>
      </c>
      <c r="H960" s="97">
        <v>1.3839999999999999</v>
      </c>
    </row>
    <row r="961" spans="2:8" x14ac:dyDescent="0.25">
      <c r="B961" s="97">
        <v>1.389</v>
      </c>
      <c r="C961" s="98">
        <v>90</v>
      </c>
      <c r="D961" s="98">
        <v>43.13</v>
      </c>
      <c r="E961" s="100">
        <v>0.12820000000000001</v>
      </c>
      <c r="F961" s="100">
        <f t="shared" si="13"/>
        <v>7.8003120124804983</v>
      </c>
      <c r="G961" s="97">
        <v>659</v>
      </c>
      <c r="H961" s="97">
        <v>1.389</v>
      </c>
    </row>
    <row r="962" spans="2:8" x14ac:dyDescent="0.25">
      <c r="B962" s="97">
        <v>1.3939999999999999</v>
      </c>
      <c r="C962" s="98">
        <v>95</v>
      </c>
      <c r="D962" s="98">
        <v>43.13</v>
      </c>
      <c r="E962" s="99">
        <v>0.12690000000000001</v>
      </c>
      <c r="F962" s="99">
        <f t="shared" si="13"/>
        <v>7.8802206461780919</v>
      </c>
      <c r="G962" s="97">
        <v>661.8</v>
      </c>
      <c r="H962" s="97">
        <v>1.3939999999999999</v>
      </c>
    </row>
    <row r="963" spans="2:8" x14ac:dyDescent="0.25">
      <c r="B963" s="97">
        <v>1.399</v>
      </c>
      <c r="C963" s="98">
        <v>100</v>
      </c>
      <c r="D963" s="98">
        <v>43.13</v>
      </c>
      <c r="E963" s="100">
        <v>0.12559999999999999</v>
      </c>
      <c r="F963" s="100">
        <f t="shared" si="13"/>
        <v>7.9617834394904463</v>
      </c>
      <c r="G963" s="97">
        <v>664.5</v>
      </c>
      <c r="H963" s="97">
        <v>1.399</v>
      </c>
    </row>
    <row r="964" spans="2:8" x14ac:dyDescent="0.25">
      <c r="B964" s="97">
        <v>1.4039999999999999</v>
      </c>
      <c r="C964" s="98">
        <v>105</v>
      </c>
      <c r="D964" s="98">
        <v>43.13</v>
      </c>
      <c r="E964" s="99">
        <v>0.1244</v>
      </c>
      <c r="F964" s="99">
        <f t="shared" si="13"/>
        <v>8.0385852090032159</v>
      </c>
      <c r="G964" s="97">
        <v>667.2</v>
      </c>
      <c r="H964" s="97">
        <v>1.4039999999999999</v>
      </c>
    </row>
    <row r="965" spans="2:8" x14ac:dyDescent="0.25">
      <c r="B965" s="97">
        <v>1.409</v>
      </c>
      <c r="C965" s="98">
        <v>110</v>
      </c>
      <c r="D965" s="98">
        <v>43.13</v>
      </c>
      <c r="E965" s="100">
        <v>0.1232</v>
      </c>
      <c r="F965" s="100">
        <f t="shared" si="13"/>
        <v>8.1168831168831161</v>
      </c>
      <c r="G965" s="97">
        <v>670</v>
      </c>
      <c r="H965" s="97">
        <v>1.409</v>
      </c>
    </row>
    <row r="966" spans="2:8" x14ac:dyDescent="0.25">
      <c r="B966" s="97">
        <v>1.4139999999999999</v>
      </c>
      <c r="C966" s="98">
        <v>115</v>
      </c>
      <c r="D966" s="98">
        <v>43.13</v>
      </c>
      <c r="E966" s="99">
        <v>0.122</v>
      </c>
      <c r="F966" s="99">
        <f t="shared" si="13"/>
        <v>8.1967213114754092</v>
      </c>
      <c r="G966" s="97">
        <v>672.7</v>
      </c>
      <c r="H966" s="97">
        <v>1.4139999999999999</v>
      </c>
    </row>
    <row r="967" spans="2:8" x14ac:dyDescent="0.25">
      <c r="B967" s="97">
        <v>1.419</v>
      </c>
      <c r="C967" s="98">
        <v>120</v>
      </c>
      <c r="D967" s="98">
        <v>43.13</v>
      </c>
      <c r="E967" s="100">
        <v>0.12089999999999999</v>
      </c>
      <c r="F967" s="100">
        <f t="shared" si="13"/>
        <v>8.2712985938792389</v>
      </c>
      <c r="G967" s="97">
        <v>675.4</v>
      </c>
      <c r="H967" s="97">
        <v>1.419</v>
      </c>
    </row>
    <row r="968" spans="2:8" x14ac:dyDescent="0.25">
      <c r="B968" s="97">
        <v>1.423</v>
      </c>
      <c r="C968" s="98">
        <v>125</v>
      </c>
      <c r="D968" s="98">
        <v>43.13</v>
      </c>
      <c r="E968" s="99">
        <v>0.1197</v>
      </c>
      <c r="F968" s="99">
        <f t="shared" si="13"/>
        <v>8.3542188805346704</v>
      </c>
      <c r="G968" s="97">
        <v>678.1</v>
      </c>
      <c r="H968" s="97">
        <v>1.423</v>
      </c>
    </row>
    <row r="969" spans="2:8" x14ac:dyDescent="0.25">
      <c r="B969" s="97">
        <v>1.4279999999999999</v>
      </c>
      <c r="C969" s="98">
        <v>130</v>
      </c>
      <c r="D969" s="98">
        <v>43.13</v>
      </c>
      <c r="E969" s="100">
        <v>0.1186</v>
      </c>
      <c r="F969" s="100">
        <f t="shared" si="13"/>
        <v>8.4317032040472171</v>
      </c>
      <c r="G969" s="97">
        <v>680.8</v>
      </c>
      <c r="H969" s="97">
        <v>1.4279999999999999</v>
      </c>
    </row>
    <row r="970" spans="2:8" x14ac:dyDescent="0.25">
      <c r="B970" s="97">
        <v>1.4319999999999999</v>
      </c>
      <c r="C970" s="98">
        <v>135</v>
      </c>
      <c r="D970" s="98">
        <v>43.13</v>
      </c>
      <c r="E970" s="99">
        <v>0.11749999999999999</v>
      </c>
      <c r="F970" s="99">
        <f t="shared" si="13"/>
        <v>8.5106382978723403</v>
      </c>
      <c r="G970" s="97">
        <v>683.5</v>
      </c>
      <c r="H970" s="97">
        <v>1.4319999999999999</v>
      </c>
    </row>
    <row r="971" spans="2:8" x14ac:dyDescent="0.25">
      <c r="B971" s="97">
        <v>1.4370000000000001</v>
      </c>
      <c r="C971" s="98">
        <v>140</v>
      </c>
      <c r="D971" s="98">
        <v>43.13</v>
      </c>
      <c r="E971" s="100">
        <v>0.11650000000000001</v>
      </c>
      <c r="F971" s="100">
        <f t="shared" si="13"/>
        <v>8.5836909871244629</v>
      </c>
      <c r="G971" s="97">
        <v>686.3</v>
      </c>
      <c r="H971" s="97">
        <v>1.4370000000000001</v>
      </c>
    </row>
    <row r="972" spans="2:8" x14ac:dyDescent="0.25">
      <c r="B972" s="97">
        <v>1.4410000000000001</v>
      </c>
      <c r="C972" s="98">
        <v>145</v>
      </c>
      <c r="D972" s="98">
        <v>43.13</v>
      </c>
      <c r="E972" s="99">
        <v>0.11550000000000001</v>
      </c>
      <c r="F972" s="99">
        <f t="shared" si="13"/>
        <v>8.6580086580086579</v>
      </c>
      <c r="G972" s="97">
        <v>689</v>
      </c>
      <c r="H972" s="97">
        <v>1.4410000000000001</v>
      </c>
    </row>
    <row r="973" spans="2:8" x14ac:dyDescent="0.25">
      <c r="B973" s="97">
        <v>1.446</v>
      </c>
      <c r="C973" s="98">
        <v>150</v>
      </c>
      <c r="D973" s="98">
        <v>43.13</v>
      </c>
      <c r="E973" s="100">
        <v>0.1144</v>
      </c>
      <c r="F973" s="100">
        <f t="shared" si="13"/>
        <v>8.7412587412587417</v>
      </c>
      <c r="G973" s="97">
        <v>691.7</v>
      </c>
      <c r="H973" s="97">
        <v>1.446</v>
      </c>
    </row>
    <row r="974" spans="2:8" x14ac:dyDescent="0.25">
      <c r="B974" s="97">
        <v>1.452</v>
      </c>
      <c r="C974" t="s">
        <v>374</v>
      </c>
      <c r="D974" t="s">
        <v>374</v>
      </c>
      <c r="E974" t="s">
        <v>374</v>
      </c>
      <c r="F974" t="s">
        <v>374</v>
      </c>
      <c r="G974" t="s">
        <v>374</v>
      </c>
      <c r="H974" t="s">
        <v>374</v>
      </c>
    </row>
    <row r="977" spans="1:8" ht="15.75" x14ac:dyDescent="0.25">
      <c r="A977" s="92">
        <v>45</v>
      </c>
      <c r="C977" s="109" t="s">
        <v>402</v>
      </c>
      <c r="D977" s="101"/>
      <c r="E977" s="110"/>
      <c r="F977" s="110"/>
      <c r="G977" s="111"/>
    </row>
    <row r="978" spans="1:8" x14ac:dyDescent="0.25">
      <c r="B978" s="96" t="s">
        <v>266</v>
      </c>
      <c r="C978" s="96" t="s">
        <v>375</v>
      </c>
      <c r="D978" s="96" t="s">
        <v>380</v>
      </c>
      <c r="E978" s="96" t="s">
        <v>381</v>
      </c>
      <c r="F978" s="96" t="s">
        <v>382</v>
      </c>
      <c r="G978" s="96" t="s">
        <v>265</v>
      </c>
      <c r="H978" s="96" t="s">
        <v>266</v>
      </c>
    </row>
    <row r="979" spans="1:8" x14ac:dyDescent="0.25">
      <c r="B979" s="96" t="s">
        <v>383</v>
      </c>
      <c r="C979" s="96" t="s">
        <v>384</v>
      </c>
      <c r="D979" s="96" t="s">
        <v>385</v>
      </c>
      <c r="E979" s="96" t="s">
        <v>386</v>
      </c>
      <c r="F979" s="96" t="s">
        <v>387</v>
      </c>
      <c r="G979" s="96" t="s">
        <v>388</v>
      </c>
      <c r="H979" s="96" t="s">
        <v>383</v>
      </c>
    </row>
    <row r="980" spans="1:8" x14ac:dyDescent="0.25">
      <c r="B980" s="97">
        <v>-2.5496000000000001E-2</v>
      </c>
      <c r="C980" s="98">
        <v>-50</v>
      </c>
      <c r="D980" s="98">
        <v>45</v>
      </c>
      <c r="E980" s="99">
        <v>43.508760000000002</v>
      </c>
      <c r="F980" s="99">
        <f t="shared" ref="F980:F1020" si="14">1/E980</f>
        <v>2.2983877269772798E-2</v>
      </c>
      <c r="G980" s="97">
        <v>-10.423906000000001</v>
      </c>
      <c r="H980" s="97">
        <v>-2.5496000000000001E-2</v>
      </c>
    </row>
    <row r="981" spans="1:8" x14ac:dyDescent="0.25">
      <c r="B981" s="97">
        <v>-1.2765E-2</v>
      </c>
      <c r="C981" s="98">
        <v>-45</v>
      </c>
      <c r="D981" s="98">
        <v>45</v>
      </c>
      <c r="E981" s="99">
        <v>43.301144000000001</v>
      </c>
      <c r="F981" s="99">
        <f t="shared" si="14"/>
        <v>2.3094078068699526E-2</v>
      </c>
      <c r="G981" s="97">
        <v>-5.1769090000000002</v>
      </c>
      <c r="H981" s="97">
        <v>-1.2765E-2</v>
      </c>
    </row>
    <row r="982" spans="1:8" x14ac:dyDescent="0.25">
      <c r="B982" s="97">
        <v>-1.45E-4</v>
      </c>
      <c r="C982" s="98">
        <v>-40</v>
      </c>
      <c r="D982" s="98">
        <v>45</v>
      </c>
      <c r="E982" s="99">
        <v>43.091621000000004</v>
      </c>
      <c r="F982" s="99">
        <f t="shared" si="14"/>
        <v>2.3206367660200108E-2</v>
      </c>
      <c r="G982" s="97">
        <v>8.7708999999999995E-2</v>
      </c>
      <c r="H982" s="97">
        <v>-1.45E-4</v>
      </c>
    </row>
    <row r="983" spans="1:8" x14ac:dyDescent="0.25">
      <c r="B983" s="97">
        <v>1.2366E-2</v>
      </c>
      <c r="C983" s="98">
        <v>-35</v>
      </c>
      <c r="D983" s="98">
        <v>45</v>
      </c>
      <c r="E983" s="99">
        <v>42.880206999999999</v>
      </c>
      <c r="F983" s="99">
        <f t="shared" si="14"/>
        <v>2.3320782943048759E-2</v>
      </c>
      <c r="G983" s="97">
        <v>5.3696669999999997</v>
      </c>
      <c r="H983" s="97">
        <v>1.2366E-2</v>
      </c>
    </row>
    <row r="984" spans="1:8" x14ac:dyDescent="0.25">
      <c r="B984" s="97">
        <v>2.4771000000000001E-2</v>
      </c>
      <c r="C984" s="98">
        <v>-30</v>
      </c>
      <c r="D984" s="98">
        <v>45</v>
      </c>
      <c r="E984" s="99">
        <v>42.666912000000004</v>
      </c>
      <c r="F984" s="99">
        <f t="shared" si="14"/>
        <v>2.3437365235149894E-2</v>
      </c>
      <c r="G984" s="97">
        <v>10.668706</v>
      </c>
      <c r="H984" s="97">
        <v>2.4771000000000001E-2</v>
      </c>
    </row>
    <row r="985" spans="1:8" x14ac:dyDescent="0.25">
      <c r="B985" s="97">
        <v>3.7072000000000001E-2</v>
      </c>
      <c r="C985" s="98">
        <v>-25</v>
      </c>
      <c r="D985" s="98">
        <v>45</v>
      </c>
      <c r="E985" s="99">
        <v>42.451740000000001</v>
      </c>
      <c r="F985" s="99">
        <f t="shared" si="14"/>
        <v>2.3556160477756626E-2</v>
      </c>
      <c r="G985" s="97">
        <v>15.984598</v>
      </c>
      <c r="H985" s="97">
        <v>3.7072000000000001E-2</v>
      </c>
    </row>
    <row r="986" spans="1:8" x14ac:dyDescent="0.25">
      <c r="B986" s="97">
        <v>4.9270000000000001E-2</v>
      </c>
      <c r="C986" s="98">
        <v>-20</v>
      </c>
      <c r="D986" s="98">
        <v>45</v>
      </c>
      <c r="E986" s="99">
        <v>42.234689000000003</v>
      </c>
      <c r="F986" s="99">
        <f t="shared" si="14"/>
        <v>2.3677219453421331E-2</v>
      </c>
      <c r="G986" s="97">
        <v>21.317155</v>
      </c>
      <c r="H986" s="97">
        <v>4.9270000000000001E-2</v>
      </c>
    </row>
    <row r="987" spans="1:8" x14ac:dyDescent="0.25">
      <c r="B987" s="97">
        <v>6.1366999999999998E-2</v>
      </c>
      <c r="C987" s="98">
        <v>-15</v>
      </c>
      <c r="D987" s="98">
        <v>45</v>
      </c>
      <c r="E987" s="99">
        <v>42.015749</v>
      </c>
      <c r="F987" s="99">
        <f t="shared" si="14"/>
        <v>2.3800599151522921E-2</v>
      </c>
      <c r="G987" s="97">
        <v>26.666232999999998</v>
      </c>
      <c r="H987" s="97">
        <v>6.1366999999999998E-2</v>
      </c>
    </row>
    <row r="988" spans="1:8" x14ac:dyDescent="0.25">
      <c r="B988" s="97">
        <v>7.3366000000000001E-2</v>
      </c>
      <c r="C988" s="98">
        <v>-10</v>
      </c>
      <c r="D988" s="98">
        <v>45</v>
      </c>
      <c r="E988" s="99">
        <v>41.794905</v>
      </c>
      <c r="F988" s="99">
        <f t="shared" si="14"/>
        <v>2.3926361359117816E-2</v>
      </c>
      <c r="G988" s="97">
        <v>32.031740999999997</v>
      </c>
      <c r="H988" s="97">
        <v>7.3366000000000001E-2</v>
      </c>
    </row>
    <row r="989" spans="1:8" x14ac:dyDescent="0.25">
      <c r="B989" s="97">
        <v>8.5268999999999998E-2</v>
      </c>
      <c r="C989" s="98">
        <v>-5</v>
      </c>
      <c r="D989" s="98">
        <v>45</v>
      </c>
      <c r="E989" s="99">
        <v>41.572133000000001</v>
      </c>
      <c r="F989" s="99">
        <f t="shared" si="14"/>
        <v>2.4054575212679126E-2</v>
      </c>
      <c r="G989" s="97">
        <v>37.413640999999998</v>
      </c>
      <c r="H989" s="97">
        <v>8.5268999999999998E-2</v>
      </c>
    </row>
    <row r="990" spans="1:8" x14ac:dyDescent="0.25">
      <c r="B990" s="97">
        <v>9.7076999999999997E-2</v>
      </c>
      <c r="C990" s="98">
        <v>0</v>
      </c>
      <c r="D990" s="98">
        <v>45</v>
      </c>
      <c r="E990" s="99">
        <v>41.347403</v>
      </c>
      <c r="F990" s="99">
        <f t="shared" si="14"/>
        <v>2.4185315822616477E-2</v>
      </c>
      <c r="G990" s="97">
        <v>42.811959000000002</v>
      </c>
      <c r="H990" s="97">
        <v>9.7076999999999997E-2</v>
      </c>
    </row>
    <row r="991" spans="1:8" x14ac:dyDescent="0.25">
      <c r="B991" s="97">
        <v>0.108793</v>
      </c>
      <c r="C991" s="98">
        <v>5</v>
      </c>
      <c r="D991" s="98">
        <v>45</v>
      </c>
      <c r="E991" s="99">
        <v>41.120677000000001</v>
      </c>
      <c r="F991" s="99">
        <f t="shared" si="14"/>
        <v>2.4318665765157513E-2</v>
      </c>
      <c r="G991" s="97">
        <v>48.226782</v>
      </c>
      <c r="H991" s="97">
        <v>0.108793</v>
      </c>
    </row>
    <row r="992" spans="1:8" x14ac:dyDescent="0.25">
      <c r="B992" s="97">
        <v>0.120419</v>
      </c>
      <c r="C992" s="98">
        <v>10</v>
      </c>
      <c r="D992" s="98">
        <v>45</v>
      </c>
      <c r="E992" s="99">
        <v>40.891908999999998</v>
      </c>
      <c r="F992" s="99">
        <f t="shared" si="14"/>
        <v>2.4454715479289558E-2</v>
      </c>
      <c r="G992" s="97">
        <v>53.658270999999999</v>
      </c>
      <c r="H992" s="97">
        <v>0.120419</v>
      </c>
    </row>
    <row r="993" spans="2:8" x14ac:dyDescent="0.25">
      <c r="B993" s="97">
        <v>0.13195899999999999</v>
      </c>
      <c r="C993" s="98">
        <v>15</v>
      </c>
      <c r="D993" s="98">
        <v>45</v>
      </c>
      <c r="E993" s="99">
        <v>40.661045000000001</v>
      </c>
      <c r="F993" s="99">
        <f t="shared" si="14"/>
        <v>2.4593563692226799E-2</v>
      </c>
      <c r="G993" s="97">
        <v>59.106655000000003</v>
      </c>
      <c r="H993" s="97">
        <v>0.13195899999999999</v>
      </c>
    </row>
    <row r="994" spans="2:8" x14ac:dyDescent="0.25">
      <c r="B994" s="97">
        <v>1.3059529999999999</v>
      </c>
      <c r="C994" s="98">
        <v>20</v>
      </c>
      <c r="D994" s="98">
        <v>45</v>
      </c>
      <c r="E994" s="99">
        <v>0.157384</v>
      </c>
      <c r="F994" s="99">
        <f t="shared" si="14"/>
        <v>6.3538860367000458</v>
      </c>
      <c r="G994" s="97">
        <v>618.59941800000001</v>
      </c>
      <c r="H994" s="97">
        <v>1.3059529999999999</v>
      </c>
    </row>
    <row r="995" spans="2:8" x14ac:dyDescent="0.25">
      <c r="B995" s="97">
        <v>1.312214</v>
      </c>
      <c r="C995" s="98">
        <v>25</v>
      </c>
      <c r="D995" s="98">
        <v>45</v>
      </c>
      <c r="E995" s="99">
        <v>0.15534500000000001</v>
      </c>
      <c r="F995" s="99">
        <f t="shared" si="14"/>
        <v>6.4372847532910615</v>
      </c>
      <c r="G995" s="97">
        <v>621.61836700000003</v>
      </c>
      <c r="H995" s="97">
        <v>1.312214</v>
      </c>
    </row>
    <row r="996" spans="2:8" x14ac:dyDescent="0.25">
      <c r="B996" s="97">
        <v>1.3183400000000001</v>
      </c>
      <c r="C996" s="98">
        <v>30</v>
      </c>
      <c r="D996" s="98">
        <v>45</v>
      </c>
      <c r="E996" s="99">
        <v>0.15337700000000001</v>
      </c>
      <c r="F996" s="99">
        <f t="shared" si="14"/>
        <v>6.5198823813218407</v>
      </c>
      <c r="G996" s="97">
        <v>624.60262799999998</v>
      </c>
      <c r="H996" s="97">
        <v>1.3183400000000001</v>
      </c>
    </row>
    <row r="997" spans="2:8" x14ac:dyDescent="0.25">
      <c r="B997" s="97">
        <v>1.324341</v>
      </c>
      <c r="C997" s="98">
        <v>35</v>
      </c>
      <c r="D997" s="98">
        <v>45</v>
      </c>
      <c r="E997" s="99">
        <v>0.151476</v>
      </c>
      <c r="F997" s="99">
        <f t="shared" si="14"/>
        <v>6.6017058807995985</v>
      </c>
      <c r="G997" s="97">
        <v>627.55578500000001</v>
      </c>
      <c r="H997" s="97">
        <v>1.324341</v>
      </c>
    </row>
    <row r="998" spans="2:8" x14ac:dyDescent="0.25">
      <c r="B998" s="97">
        <v>1.3302240000000001</v>
      </c>
      <c r="C998" s="98">
        <v>40</v>
      </c>
      <c r="D998" s="98">
        <v>45</v>
      </c>
      <c r="E998" s="99">
        <v>0.14963599999999999</v>
      </c>
      <c r="F998" s="99">
        <f t="shared" si="14"/>
        <v>6.6828837980165208</v>
      </c>
      <c r="G998" s="97">
        <v>630.48101999999994</v>
      </c>
      <c r="H998" s="97">
        <v>1.3302240000000001</v>
      </c>
    </row>
    <row r="999" spans="2:8" x14ac:dyDescent="0.25">
      <c r="B999" s="97">
        <v>1.3360000000000001</v>
      </c>
      <c r="C999" s="98">
        <v>45</v>
      </c>
      <c r="D999" s="98">
        <v>45</v>
      </c>
      <c r="E999" s="99">
        <v>0.14785400000000001</v>
      </c>
      <c r="F999" s="99">
        <f t="shared" si="14"/>
        <v>6.7634287878582917</v>
      </c>
      <c r="G999" s="97">
        <v>633.381169</v>
      </c>
      <c r="H999" s="97">
        <v>1.3360000000000001</v>
      </c>
    </row>
    <row r="1000" spans="2:8" x14ac:dyDescent="0.25">
      <c r="B1000" s="97">
        <v>1.341674</v>
      </c>
      <c r="C1000" s="98">
        <v>50</v>
      </c>
      <c r="D1000" s="98">
        <v>45</v>
      </c>
      <c r="E1000" s="99">
        <v>0.14612700000000001</v>
      </c>
      <c r="F1000" s="99">
        <f t="shared" si="14"/>
        <v>6.8433622807557803</v>
      </c>
      <c r="G1000" s="97">
        <v>636.25877300000002</v>
      </c>
      <c r="H1000" s="97">
        <v>1.341674</v>
      </c>
    </row>
    <row r="1001" spans="2:8" x14ac:dyDescent="0.25">
      <c r="B1001" s="97">
        <v>1.347253</v>
      </c>
      <c r="C1001" s="98">
        <v>55</v>
      </c>
      <c r="D1001" s="98">
        <v>45</v>
      </c>
      <c r="E1001" s="99">
        <v>0.144451</v>
      </c>
      <c r="F1001" s="99">
        <f t="shared" si="14"/>
        <v>6.9227627361527437</v>
      </c>
      <c r="G1001" s="97">
        <v>639.11611200000004</v>
      </c>
      <c r="H1001" s="97">
        <v>1.347253</v>
      </c>
    </row>
    <row r="1002" spans="2:8" x14ac:dyDescent="0.25">
      <c r="B1002" s="97">
        <v>1.3527420000000001</v>
      </c>
      <c r="C1002" s="98">
        <v>60</v>
      </c>
      <c r="D1002" s="98">
        <v>45</v>
      </c>
      <c r="E1002" s="99">
        <v>0.14282300000000001</v>
      </c>
      <c r="F1002" s="99">
        <f t="shared" si="14"/>
        <v>7.001673399942586</v>
      </c>
      <c r="G1002" s="97">
        <v>641.95524399999999</v>
      </c>
      <c r="H1002" s="97">
        <v>1.3527420000000001</v>
      </c>
    </row>
    <row r="1003" spans="2:8" x14ac:dyDescent="0.25">
      <c r="B1003" s="97">
        <v>1.3581479999999999</v>
      </c>
      <c r="C1003" s="98">
        <v>65</v>
      </c>
      <c r="D1003" s="98">
        <v>45</v>
      </c>
      <c r="E1003" s="99">
        <v>0.14124</v>
      </c>
      <c r="F1003" s="99">
        <f t="shared" si="14"/>
        <v>7.0801472670631549</v>
      </c>
      <c r="G1003" s="97">
        <v>644.77802799999995</v>
      </c>
      <c r="H1003" s="97">
        <v>1.3581479999999999</v>
      </c>
    </row>
    <row r="1004" spans="2:8" x14ac:dyDescent="0.25">
      <c r="B1004" s="97">
        <v>1.363475</v>
      </c>
      <c r="C1004" s="98">
        <v>70</v>
      </c>
      <c r="D1004" s="98">
        <v>45</v>
      </c>
      <c r="E1004" s="99">
        <v>0.13969999999999999</v>
      </c>
      <c r="F1004" s="99">
        <f t="shared" si="14"/>
        <v>7.1581961345740881</v>
      </c>
      <c r="G1004" s="97">
        <v>647.58614699999998</v>
      </c>
      <c r="H1004" s="97">
        <v>1.363475</v>
      </c>
    </row>
    <row r="1005" spans="2:8" x14ac:dyDescent="0.25">
      <c r="B1005" s="97">
        <v>1.368727</v>
      </c>
      <c r="C1005" s="98">
        <v>75</v>
      </c>
      <c r="D1005" s="98">
        <v>45</v>
      </c>
      <c r="E1005" s="99">
        <v>0.13820099999999999</v>
      </c>
      <c r="F1005" s="99">
        <f t="shared" si="14"/>
        <v>7.2358376567463338</v>
      </c>
      <c r="G1005" s="97">
        <v>650.38113099999998</v>
      </c>
      <c r="H1005" s="97">
        <v>1.368727</v>
      </c>
    </row>
    <row r="1006" spans="2:8" x14ac:dyDescent="0.25">
      <c r="B1006" s="97">
        <v>1.373909</v>
      </c>
      <c r="C1006" s="98">
        <v>80</v>
      </c>
      <c r="D1006" s="98">
        <v>45</v>
      </c>
      <c r="E1006" s="99">
        <v>0.13674</v>
      </c>
      <c r="F1006" s="99">
        <f t="shared" si="14"/>
        <v>7.3131490419774758</v>
      </c>
      <c r="G1006" s="97">
        <v>653.16437199999996</v>
      </c>
      <c r="H1006" s="97">
        <v>1.373909</v>
      </c>
    </row>
    <row r="1007" spans="2:8" x14ac:dyDescent="0.25">
      <c r="B1007" s="97">
        <v>1.3790230000000001</v>
      </c>
      <c r="C1007" s="98">
        <v>85</v>
      </c>
      <c r="D1007" s="98">
        <v>45</v>
      </c>
      <c r="E1007" s="99">
        <v>0.13531599999999999</v>
      </c>
      <c r="F1007" s="99">
        <f t="shared" si="14"/>
        <v>7.3901090780099921</v>
      </c>
      <c r="G1007" s="97">
        <v>655.93714</v>
      </c>
      <c r="H1007" s="97">
        <v>1.3790230000000001</v>
      </c>
    </row>
    <row r="1008" spans="2:8" x14ac:dyDescent="0.25">
      <c r="B1008" s="97">
        <v>1.3840730000000001</v>
      </c>
      <c r="C1008" s="98">
        <v>90</v>
      </c>
      <c r="D1008" s="98">
        <v>45</v>
      </c>
      <c r="E1008" s="99">
        <v>0.13392699999999999</v>
      </c>
      <c r="F1008" s="99">
        <f t="shared" si="14"/>
        <v>7.4667542765835124</v>
      </c>
      <c r="G1008" s="97">
        <v>658.70059500000002</v>
      </c>
      <c r="H1008" s="97">
        <v>1.3840730000000001</v>
      </c>
    </row>
    <row r="1009" spans="1:8" x14ac:dyDescent="0.25">
      <c r="B1009" s="97">
        <v>1.3890629999999999</v>
      </c>
      <c r="C1009" s="98">
        <v>95</v>
      </c>
      <c r="D1009" s="98">
        <v>45</v>
      </c>
      <c r="E1009" s="99">
        <v>0.132572</v>
      </c>
      <c r="F1009" s="99">
        <f t="shared" si="14"/>
        <v>7.543070935039073</v>
      </c>
      <c r="G1009" s="97">
        <v>661.45579999999995</v>
      </c>
      <c r="H1009" s="97">
        <v>1.3890629999999999</v>
      </c>
    </row>
    <row r="1010" spans="1:8" x14ac:dyDescent="0.25">
      <c r="B1010" s="97">
        <v>1.3939950000000001</v>
      </c>
      <c r="C1010" s="98">
        <v>100</v>
      </c>
      <c r="D1010" s="98">
        <v>45</v>
      </c>
      <c r="E1010" s="99">
        <v>0.131249</v>
      </c>
      <c r="F1010" s="99">
        <f t="shared" si="14"/>
        <v>7.6191056693765287</v>
      </c>
      <c r="G1010" s="97">
        <v>664.20373099999995</v>
      </c>
      <c r="H1010" s="97">
        <v>1.3939950000000001</v>
      </c>
    </row>
    <row r="1011" spans="1:8" x14ac:dyDescent="0.25">
      <c r="B1011" s="97">
        <v>1.3988719999999999</v>
      </c>
      <c r="C1011" s="98">
        <v>105</v>
      </c>
      <c r="D1011" s="98">
        <v>45</v>
      </c>
      <c r="E1011" s="99">
        <v>0.12995599999999999</v>
      </c>
      <c r="F1011" s="99">
        <f t="shared" si="14"/>
        <v>7.6949121241035439</v>
      </c>
      <c r="G1011" s="97">
        <v>666.94528400000002</v>
      </c>
      <c r="H1011" s="97">
        <v>1.3988719999999999</v>
      </c>
    </row>
    <row r="1012" spans="1:8" x14ac:dyDescent="0.25">
      <c r="B1012" s="97">
        <v>1.4036960000000001</v>
      </c>
      <c r="C1012" s="98">
        <v>110</v>
      </c>
      <c r="D1012" s="98">
        <v>45</v>
      </c>
      <c r="E1012" s="99">
        <v>0.128692</v>
      </c>
      <c r="F1012" s="99">
        <f t="shared" si="14"/>
        <v>7.7704907841979303</v>
      </c>
      <c r="G1012" s="97">
        <v>669.68128200000001</v>
      </c>
      <c r="H1012" s="97">
        <v>1.4036960000000001</v>
      </c>
    </row>
    <row r="1013" spans="1:8" x14ac:dyDescent="0.25">
      <c r="B1013" s="97">
        <v>1.408469</v>
      </c>
      <c r="C1013" s="98">
        <v>115</v>
      </c>
      <c r="D1013" s="98">
        <v>45</v>
      </c>
      <c r="E1013" s="99">
        <v>0.12745699999999999</v>
      </c>
      <c r="F1013" s="99">
        <f t="shared" si="14"/>
        <v>7.8457832837741366</v>
      </c>
      <c r="G1013" s="97">
        <v>672.41248700000006</v>
      </c>
      <c r="H1013" s="97">
        <v>1.408469</v>
      </c>
    </row>
    <row r="1014" spans="1:8" x14ac:dyDescent="0.25">
      <c r="B1014" s="97">
        <v>1.4131940000000001</v>
      </c>
      <c r="C1014" s="98">
        <v>120</v>
      </c>
      <c r="D1014" s="98">
        <v>45</v>
      </c>
      <c r="E1014" s="99">
        <v>0.126248</v>
      </c>
      <c r="F1014" s="99">
        <f t="shared" si="14"/>
        <v>7.9209175590900447</v>
      </c>
      <c r="G1014" s="97">
        <v>675.13960199999997</v>
      </c>
      <c r="H1014" s="97">
        <v>1.4131940000000001</v>
      </c>
    </row>
    <row r="1015" spans="1:8" x14ac:dyDescent="0.25">
      <c r="B1015" s="97">
        <v>1.4178729999999999</v>
      </c>
      <c r="C1015" s="98">
        <v>125</v>
      </c>
      <c r="D1015" s="98">
        <v>45</v>
      </c>
      <c r="E1015" s="99">
        <v>0.12506500000000001</v>
      </c>
      <c r="F1015" s="99">
        <f t="shared" si="14"/>
        <v>7.9958421620757196</v>
      </c>
      <c r="G1015" s="97">
        <v>677.86327500000004</v>
      </c>
      <c r="H1015" s="97">
        <v>1.4178729999999999</v>
      </c>
    </row>
    <row r="1016" spans="1:8" x14ac:dyDescent="0.25">
      <c r="B1016" s="97">
        <v>1.422507</v>
      </c>
      <c r="C1016" s="98">
        <v>130</v>
      </c>
      <c r="D1016" s="98">
        <v>45</v>
      </c>
      <c r="E1016" s="99">
        <v>0.123907</v>
      </c>
      <c r="F1016" s="99">
        <f t="shared" si="14"/>
        <v>8.0705690558241265</v>
      </c>
      <c r="G1016" s="97">
        <v>680.58411000000001</v>
      </c>
      <c r="H1016" s="97">
        <v>1.422507</v>
      </c>
    </row>
    <row r="1017" spans="1:8" x14ac:dyDescent="0.25">
      <c r="B1017" s="97">
        <v>1.427098</v>
      </c>
      <c r="C1017" s="98">
        <v>135</v>
      </c>
      <c r="D1017" s="98">
        <v>45</v>
      </c>
      <c r="E1017" s="99">
        <v>0.12277399999999999</v>
      </c>
      <c r="F1017" s="99">
        <f t="shared" si="14"/>
        <v>8.1450469969211721</v>
      </c>
      <c r="G1017" s="97">
        <v>683.30266500000005</v>
      </c>
      <c r="H1017" s="97">
        <v>1.427098</v>
      </c>
    </row>
    <row r="1018" spans="1:8" x14ac:dyDescent="0.25">
      <c r="B1018" s="97">
        <v>1.4316469999999999</v>
      </c>
      <c r="C1018" s="98">
        <v>140</v>
      </c>
      <c r="D1018" s="98">
        <v>45</v>
      </c>
      <c r="E1018" s="99">
        <v>0.12166299999999999</v>
      </c>
      <c r="F1018" s="99">
        <f t="shared" si="14"/>
        <v>8.2194257909142472</v>
      </c>
      <c r="G1018" s="97">
        <v>686.01945899999998</v>
      </c>
      <c r="H1018" s="97">
        <v>1.4316469999999999</v>
      </c>
    </row>
    <row r="1019" spans="1:8" x14ac:dyDescent="0.25">
      <c r="B1019" s="97">
        <v>1.4361569999999999</v>
      </c>
      <c r="C1019" s="98">
        <v>145</v>
      </c>
      <c r="D1019" s="98">
        <v>45</v>
      </c>
      <c r="E1019" s="99">
        <v>0.120574</v>
      </c>
      <c r="F1019" s="99">
        <f t="shared" si="14"/>
        <v>8.2936619835121999</v>
      </c>
      <c r="G1019" s="97">
        <v>688.73497499999996</v>
      </c>
      <c r="H1019" s="97">
        <v>1.4361569999999999</v>
      </c>
    </row>
    <row r="1020" spans="1:8" x14ac:dyDescent="0.25">
      <c r="B1020" s="97">
        <v>1.440628</v>
      </c>
      <c r="C1020" s="98">
        <v>150</v>
      </c>
      <c r="D1020" s="98">
        <v>45</v>
      </c>
      <c r="E1020" s="99">
        <v>0.119507</v>
      </c>
      <c r="F1020" s="99">
        <f t="shared" si="14"/>
        <v>8.3677106780355963</v>
      </c>
      <c r="G1020" s="97">
        <v>691.44966399999998</v>
      </c>
      <c r="H1020" s="97">
        <v>1.440628</v>
      </c>
    </row>
    <row r="1021" spans="1:8" x14ac:dyDescent="0.25">
      <c r="B1021" s="97">
        <v>1.4470000000000001</v>
      </c>
      <c r="C1021" t="s">
        <v>374</v>
      </c>
      <c r="D1021" t="s">
        <v>374</v>
      </c>
      <c r="E1021" t="s">
        <v>374</v>
      </c>
      <c r="F1021" t="s">
        <v>374</v>
      </c>
      <c r="G1021" t="s">
        <v>374</v>
      </c>
      <c r="H1021" t="s">
        <v>374</v>
      </c>
    </row>
    <row r="1024" spans="1:8" ht="15.75" x14ac:dyDescent="0.25">
      <c r="A1024" s="92">
        <v>48.194000000000003</v>
      </c>
      <c r="C1024" s="109" t="s">
        <v>403</v>
      </c>
      <c r="D1024" s="101"/>
      <c r="E1024" s="110"/>
      <c r="F1024" s="101"/>
      <c r="G1024" s="110"/>
    </row>
    <row r="1025" spans="2:8" x14ac:dyDescent="0.25">
      <c r="B1025" s="96" t="s">
        <v>266</v>
      </c>
      <c r="C1025" s="96" t="s">
        <v>375</v>
      </c>
      <c r="D1025" s="96" t="s">
        <v>380</v>
      </c>
      <c r="E1025" s="96" t="s">
        <v>381</v>
      </c>
      <c r="F1025" s="96" t="s">
        <v>382</v>
      </c>
      <c r="G1025" s="96" t="s">
        <v>265</v>
      </c>
      <c r="H1025" s="96" t="s">
        <v>266</v>
      </c>
    </row>
    <row r="1026" spans="2:8" x14ac:dyDescent="0.25">
      <c r="B1026" s="96" t="s">
        <v>383</v>
      </c>
      <c r="C1026" s="96" t="s">
        <v>384</v>
      </c>
      <c r="D1026" s="96" t="s">
        <v>385</v>
      </c>
      <c r="E1026" s="96" t="s">
        <v>386</v>
      </c>
      <c r="F1026" s="96" t="s">
        <v>387</v>
      </c>
      <c r="G1026" s="96" t="s">
        <v>388</v>
      </c>
      <c r="H1026" s="96" t="s">
        <v>383</v>
      </c>
    </row>
    <row r="1027" spans="2:8" x14ac:dyDescent="0.25">
      <c r="B1027" s="97">
        <v>-2.5510000000000001E-2</v>
      </c>
      <c r="C1027" s="98">
        <v>-50</v>
      </c>
      <c r="D1027" s="98">
        <v>48.19</v>
      </c>
      <c r="E1027" s="99">
        <v>43.51</v>
      </c>
      <c r="F1027" s="99">
        <f t="shared" ref="F1027:F1067" si="15">1/E1027</f>
        <v>2.2983222247759137E-2</v>
      </c>
      <c r="G1027" s="97">
        <v>-10.42</v>
      </c>
      <c r="H1027" s="97">
        <v>-2.5510000000000001E-2</v>
      </c>
    </row>
    <row r="1028" spans="2:8" x14ac:dyDescent="0.25">
      <c r="B1028" s="97">
        <v>-1.278E-2</v>
      </c>
      <c r="C1028" s="98">
        <v>-45</v>
      </c>
      <c r="D1028" s="98">
        <v>48.19</v>
      </c>
      <c r="E1028" s="99">
        <v>43.3</v>
      </c>
      <c r="F1028" s="99">
        <f t="shared" si="15"/>
        <v>2.3094688221709007E-2</v>
      </c>
      <c r="G1028" s="97">
        <v>-5.1689999999999996</v>
      </c>
      <c r="H1028" s="97">
        <v>-1.278E-2</v>
      </c>
    </row>
    <row r="1029" spans="2:8" x14ac:dyDescent="0.25">
      <c r="B1029" s="97">
        <v>-1.6000000000000001E-4</v>
      </c>
      <c r="C1029" s="98">
        <v>-40</v>
      </c>
      <c r="D1029" s="98">
        <v>48.19</v>
      </c>
      <c r="E1029" s="99">
        <v>43.09</v>
      </c>
      <c r="F1029" s="99">
        <f t="shared" si="15"/>
        <v>2.3207240659085634E-2</v>
      </c>
      <c r="G1029" s="97">
        <v>9.5810000000000006E-2</v>
      </c>
      <c r="H1029" s="97">
        <v>-1.6000000000000001E-4</v>
      </c>
    </row>
    <row r="1030" spans="2:8" x14ac:dyDescent="0.25">
      <c r="B1030" s="97">
        <v>1.235E-2</v>
      </c>
      <c r="C1030" s="98">
        <v>-35</v>
      </c>
      <c r="D1030" s="98">
        <v>48.19</v>
      </c>
      <c r="E1030" s="99">
        <v>42.88</v>
      </c>
      <c r="F1030" s="99">
        <f t="shared" si="15"/>
        <v>2.3320895522388058E-2</v>
      </c>
      <c r="G1030" s="97">
        <v>5.3780000000000001</v>
      </c>
      <c r="H1030" s="97">
        <v>1.235E-2</v>
      </c>
    </row>
    <row r="1031" spans="2:8" x14ac:dyDescent="0.25">
      <c r="B1031" s="97">
        <v>2.4760000000000001E-2</v>
      </c>
      <c r="C1031" s="98">
        <v>-30</v>
      </c>
      <c r="D1031" s="98">
        <v>48.19</v>
      </c>
      <c r="E1031" s="99">
        <v>42.67</v>
      </c>
      <c r="F1031" s="99">
        <f t="shared" si="15"/>
        <v>2.343566908835247E-2</v>
      </c>
      <c r="G1031" s="97">
        <v>10.68</v>
      </c>
      <c r="H1031" s="97">
        <v>2.4760000000000001E-2</v>
      </c>
    </row>
    <row r="1032" spans="2:8" x14ac:dyDescent="0.25">
      <c r="B1032" s="97">
        <v>3.7060000000000003E-2</v>
      </c>
      <c r="C1032" s="98">
        <v>-25</v>
      </c>
      <c r="D1032" s="98">
        <v>48.19</v>
      </c>
      <c r="E1032" s="99">
        <v>42.45</v>
      </c>
      <c r="F1032" s="99">
        <f t="shared" si="15"/>
        <v>2.3557126030624261E-2</v>
      </c>
      <c r="G1032" s="97">
        <v>15.99</v>
      </c>
      <c r="H1032" s="97">
        <v>3.7060000000000003E-2</v>
      </c>
    </row>
    <row r="1033" spans="2:8" x14ac:dyDescent="0.25">
      <c r="B1033" s="97">
        <v>4.9259999999999998E-2</v>
      </c>
      <c r="C1033" s="98">
        <v>-20</v>
      </c>
      <c r="D1033" s="98">
        <v>48.19</v>
      </c>
      <c r="E1033" s="100">
        <v>42.24</v>
      </c>
      <c r="F1033" s="100">
        <f t="shared" si="15"/>
        <v>2.3674242424242424E-2</v>
      </c>
      <c r="G1033" s="97">
        <v>21.32</v>
      </c>
      <c r="H1033" s="97">
        <v>4.9259999999999998E-2</v>
      </c>
    </row>
    <row r="1034" spans="2:8" x14ac:dyDescent="0.25">
      <c r="B1034" s="97">
        <v>6.1350000000000002E-2</v>
      </c>
      <c r="C1034" s="98">
        <v>-15</v>
      </c>
      <c r="D1034" s="98">
        <v>48.19</v>
      </c>
      <c r="E1034" s="99">
        <v>42.02</v>
      </c>
      <c r="F1034" s="99">
        <f t="shared" si="15"/>
        <v>2.3798191337458353E-2</v>
      </c>
      <c r="G1034" s="97">
        <v>26.67</v>
      </c>
      <c r="H1034" s="97">
        <v>6.1350000000000002E-2</v>
      </c>
    </row>
    <row r="1035" spans="2:8" x14ac:dyDescent="0.25">
      <c r="B1035" s="97">
        <v>7.3349999999999999E-2</v>
      </c>
      <c r="C1035" s="98">
        <v>-10</v>
      </c>
      <c r="D1035" s="98">
        <v>48.19</v>
      </c>
      <c r="E1035" s="100">
        <v>41.8</v>
      </c>
      <c r="F1035" s="100">
        <f t="shared" si="15"/>
        <v>2.3923444976076555E-2</v>
      </c>
      <c r="G1035" s="97">
        <v>32.04</v>
      </c>
      <c r="H1035" s="97">
        <v>7.3349999999999999E-2</v>
      </c>
    </row>
    <row r="1036" spans="2:8" x14ac:dyDescent="0.25">
      <c r="B1036" s="97">
        <v>8.5250000000000006E-2</v>
      </c>
      <c r="C1036" s="98">
        <v>-5</v>
      </c>
      <c r="D1036" s="98">
        <v>48.19</v>
      </c>
      <c r="E1036" s="99">
        <v>41.57</v>
      </c>
      <c r="F1036" s="99">
        <f t="shared" si="15"/>
        <v>2.4055809477988934E-2</v>
      </c>
      <c r="G1036" s="97">
        <v>37.42</v>
      </c>
      <c r="H1036" s="97">
        <v>8.5250000000000006E-2</v>
      </c>
    </row>
    <row r="1037" spans="2:8" x14ac:dyDescent="0.25">
      <c r="B1037" s="97">
        <v>9.7059999999999994E-2</v>
      </c>
      <c r="C1037" s="98">
        <v>0</v>
      </c>
      <c r="D1037" s="98">
        <v>48.19</v>
      </c>
      <c r="E1037" s="100">
        <v>41.35</v>
      </c>
      <c r="F1037" s="100">
        <f t="shared" si="15"/>
        <v>2.4183796856106408E-2</v>
      </c>
      <c r="G1037" s="97">
        <v>42.82</v>
      </c>
      <c r="H1037" s="97">
        <v>9.7059999999999994E-2</v>
      </c>
    </row>
    <row r="1038" spans="2:8" x14ac:dyDescent="0.25">
      <c r="B1038" s="97">
        <v>0.10879999999999999</v>
      </c>
      <c r="C1038" s="98">
        <v>5</v>
      </c>
      <c r="D1038" s="98">
        <v>48.19</v>
      </c>
      <c r="E1038" s="99">
        <v>41.12</v>
      </c>
      <c r="F1038" s="99">
        <f t="shared" si="15"/>
        <v>2.4319066147859923E-2</v>
      </c>
      <c r="G1038" s="97">
        <v>48.23</v>
      </c>
      <c r="H1038" s="97">
        <v>0.10879999999999999</v>
      </c>
    </row>
    <row r="1039" spans="2:8" x14ac:dyDescent="0.25">
      <c r="B1039" s="97">
        <v>0.12039999999999999</v>
      </c>
      <c r="C1039" s="98">
        <v>10</v>
      </c>
      <c r="D1039" s="98">
        <v>48.19</v>
      </c>
      <c r="E1039" s="100">
        <v>40.89</v>
      </c>
      <c r="F1039" s="100">
        <f t="shared" si="15"/>
        <v>2.4455857177794083E-2</v>
      </c>
      <c r="G1039" s="97">
        <v>53.67</v>
      </c>
      <c r="H1039" s="97">
        <v>0.12039999999999999</v>
      </c>
    </row>
    <row r="1040" spans="2:8" x14ac:dyDescent="0.25">
      <c r="B1040" s="97">
        <v>0.13189999999999999</v>
      </c>
      <c r="C1040" s="98">
        <v>15</v>
      </c>
      <c r="D1040" s="98">
        <v>48.19</v>
      </c>
      <c r="E1040" s="99">
        <v>40.659999999999997</v>
      </c>
      <c r="F1040" s="99">
        <f t="shared" si="15"/>
        <v>2.4594195769798328E-2</v>
      </c>
      <c r="G1040" s="97">
        <v>59.11</v>
      </c>
      <c r="H1040" s="97">
        <v>0.13189999999999999</v>
      </c>
    </row>
    <row r="1041" spans="2:8" x14ac:dyDescent="0.25">
      <c r="B1041" s="97">
        <v>1.296</v>
      </c>
      <c r="C1041" s="98">
        <v>20</v>
      </c>
      <c r="D1041" s="98">
        <v>48.19</v>
      </c>
      <c r="E1041" s="100">
        <v>0.16930000000000001</v>
      </c>
      <c r="F1041" s="100">
        <f t="shared" si="15"/>
        <v>5.9066745422327225</v>
      </c>
      <c r="G1041" s="97">
        <v>617.6</v>
      </c>
      <c r="H1041" s="97">
        <v>1.296</v>
      </c>
    </row>
    <row r="1042" spans="2:8" x14ac:dyDescent="0.25">
      <c r="B1042" s="97">
        <v>1.3029999999999999</v>
      </c>
      <c r="C1042" s="98">
        <v>25</v>
      </c>
      <c r="D1042" s="98">
        <v>48.19</v>
      </c>
      <c r="E1042" s="99">
        <v>0.1671</v>
      </c>
      <c r="F1042" s="99">
        <f t="shared" si="15"/>
        <v>5.9844404548174746</v>
      </c>
      <c r="G1042" s="97">
        <v>620.70000000000005</v>
      </c>
      <c r="H1042" s="97">
        <v>1.3029999999999999</v>
      </c>
    </row>
    <row r="1043" spans="2:8" x14ac:dyDescent="0.25">
      <c r="B1043" s="97">
        <v>1.3089999999999999</v>
      </c>
      <c r="C1043" s="98">
        <v>30</v>
      </c>
      <c r="D1043" s="98">
        <v>48.19</v>
      </c>
      <c r="E1043" s="100">
        <v>0.16489999999999999</v>
      </c>
      <c r="F1043" s="100">
        <f t="shared" si="15"/>
        <v>6.0642813826561559</v>
      </c>
      <c r="G1043" s="97">
        <v>623.70000000000005</v>
      </c>
      <c r="H1043" s="97">
        <v>1.3089999999999999</v>
      </c>
    </row>
    <row r="1044" spans="2:8" x14ac:dyDescent="0.25">
      <c r="B1044" s="97">
        <v>1.3149999999999999</v>
      </c>
      <c r="C1044" s="98">
        <v>35</v>
      </c>
      <c r="D1044" s="98">
        <v>48.19</v>
      </c>
      <c r="E1044" s="99">
        <v>0.1628</v>
      </c>
      <c r="F1044" s="99">
        <f t="shared" si="15"/>
        <v>6.1425061425061429</v>
      </c>
      <c r="G1044" s="97">
        <v>626.70000000000005</v>
      </c>
      <c r="H1044" s="97">
        <v>1.3149999999999999</v>
      </c>
    </row>
    <row r="1045" spans="2:8" x14ac:dyDescent="0.25">
      <c r="B1045" s="97">
        <v>1.321</v>
      </c>
      <c r="C1045" s="98">
        <v>40</v>
      </c>
      <c r="D1045" s="98">
        <v>48.19</v>
      </c>
      <c r="E1045" s="100">
        <v>0.1608</v>
      </c>
      <c r="F1045" s="100">
        <f t="shared" si="15"/>
        <v>6.2189054726368163</v>
      </c>
      <c r="G1045" s="97">
        <v>629.70000000000005</v>
      </c>
      <c r="H1045" s="97">
        <v>1.321</v>
      </c>
    </row>
    <row r="1046" spans="2:8" x14ac:dyDescent="0.25">
      <c r="B1046" s="97">
        <v>1.327</v>
      </c>
      <c r="C1046" s="98">
        <v>45</v>
      </c>
      <c r="D1046" s="98">
        <v>48.19</v>
      </c>
      <c r="E1046" s="99">
        <v>0.15890000000000001</v>
      </c>
      <c r="F1046" s="99">
        <f t="shared" si="15"/>
        <v>6.293266205160478</v>
      </c>
      <c r="G1046" s="97">
        <v>632.6</v>
      </c>
      <c r="H1046" s="97">
        <v>1.327</v>
      </c>
    </row>
    <row r="1047" spans="2:8" x14ac:dyDescent="0.25">
      <c r="B1047" s="97">
        <v>1.333</v>
      </c>
      <c r="C1047" s="98">
        <v>50</v>
      </c>
      <c r="D1047" s="98">
        <v>48.19</v>
      </c>
      <c r="E1047" s="100">
        <v>0.157</v>
      </c>
      <c r="F1047" s="100">
        <f t="shared" si="15"/>
        <v>6.369426751592357</v>
      </c>
      <c r="G1047" s="97">
        <v>635.5</v>
      </c>
      <c r="H1047" s="97">
        <v>1.333</v>
      </c>
    </row>
    <row r="1048" spans="2:8" x14ac:dyDescent="0.25">
      <c r="B1048" s="97">
        <v>1.3380000000000001</v>
      </c>
      <c r="C1048" s="98">
        <v>55</v>
      </c>
      <c r="D1048" s="98">
        <v>48.19</v>
      </c>
      <c r="E1048" s="99">
        <v>0.1552</v>
      </c>
      <c r="F1048" s="99">
        <f t="shared" si="15"/>
        <v>6.4432989690721651</v>
      </c>
      <c r="G1048" s="97">
        <v>638.4</v>
      </c>
      <c r="H1048" s="97">
        <v>1.3380000000000001</v>
      </c>
    </row>
    <row r="1049" spans="2:8" x14ac:dyDescent="0.25">
      <c r="B1049" s="97">
        <v>1.3440000000000001</v>
      </c>
      <c r="C1049" s="98">
        <v>60</v>
      </c>
      <c r="D1049" s="98">
        <v>48.19</v>
      </c>
      <c r="E1049" s="100">
        <v>0.15340000000000001</v>
      </c>
      <c r="F1049" s="100">
        <f t="shared" si="15"/>
        <v>6.5189048239895691</v>
      </c>
      <c r="G1049" s="97">
        <v>641.29999999999995</v>
      </c>
      <c r="H1049" s="97">
        <v>1.3440000000000001</v>
      </c>
    </row>
    <row r="1050" spans="2:8" x14ac:dyDescent="0.25">
      <c r="B1050" s="97">
        <v>1.349</v>
      </c>
      <c r="C1050" s="98">
        <v>65</v>
      </c>
      <c r="D1050" s="98">
        <v>48.19</v>
      </c>
      <c r="E1050" s="99">
        <v>0.1517</v>
      </c>
      <c r="F1050" s="99">
        <f t="shared" si="15"/>
        <v>6.5919578114700066</v>
      </c>
      <c r="G1050" s="97">
        <v>644.1</v>
      </c>
      <c r="H1050" s="97">
        <v>1.349</v>
      </c>
    </row>
    <row r="1051" spans="2:8" x14ac:dyDescent="0.25">
      <c r="B1051" s="97">
        <v>1.355</v>
      </c>
      <c r="C1051" s="98">
        <v>70</v>
      </c>
      <c r="D1051" s="98">
        <v>48.19</v>
      </c>
      <c r="E1051" s="100">
        <v>0.15</v>
      </c>
      <c r="F1051" s="100">
        <f t="shared" si="15"/>
        <v>6.666666666666667</v>
      </c>
      <c r="G1051" s="97">
        <v>646.9</v>
      </c>
      <c r="H1051" s="97">
        <v>1.355</v>
      </c>
    </row>
    <row r="1052" spans="2:8" x14ac:dyDescent="0.25">
      <c r="B1052" s="97">
        <v>1.36</v>
      </c>
      <c r="C1052" s="98">
        <v>75</v>
      </c>
      <c r="D1052" s="98">
        <v>48.19</v>
      </c>
      <c r="E1052" s="99">
        <v>0.1484</v>
      </c>
      <c r="F1052" s="99">
        <f t="shared" si="15"/>
        <v>6.7385444743935308</v>
      </c>
      <c r="G1052" s="97">
        <v>649.79999999999995</v>
      </c>
      <c r="H1052" s="97">
        <v>1.36</v>
      </c>
    </row>
    <row r="1053" spans="2:8" x14ac:dyDescent="0.25">
      <c r="B1053" s="97">
        <v>1.365</v>
      </c>
      <c r="C1053" s="98">
        <v>80</v>
      </c>
      <c r="D1053" s="98">
        <v>48.19</v>
      </c>
      <c r="E1053" s="100">
        <v>0.14680000000000001</v>
      </c>
      <c r="F1053" s="100">
        <f t="shared" si="15"/>
        <v>6.8119891008174385</v>
      </c>
      <c r="G1053" s="97">
        <v>652.6</v>
      </c>
      <c r="H1053" s="97">
        <v>1.365</v>
      </c>
    </row>
    <row r="1054" spans="2:8" x14ac:dyDescent="0.25">
      <c r="B1054" s="97">
        <v>1.37</v>
      </c>
      <c r="C1054" s="98">
        <v>85</v>
      </c>
      <c r="D1054" s="98">
        <v>48.19</v>
      </c>
      <c r="E1054" s="99">
        <v>0.14530000000000001</v>
      </c>
      <c r="F1054" s="99">
        <f t="shared" si="15"/>
        <v>6.8823124569855469</v>
      </c>
      <c r="G1054" s="97">
        <v>655.4</v>
      </c>
      <c r="H1054" s="97">
        <v>1.37</v>
      </c>
    </row>
    <row r="1055" spans="2:8" x14ac:dyDescent="0.25">
      <c r="B1055" s="97">
        <v>1.375</v>
      </c>
      <c r="C1055" s="98">
        <v>90</v>
      </c>
      <c r="D1055" s="98">
        <v>48.19</v>
      </c>
      <c r="E1055" s="100">
        <v>0.14380000000000001</v>
      </c>
      <c r="F1055" s="100">
        <f t="shared" si="15"/>
        <v>6.9541029207232263</v>
      </c>
      <c r="G1055" s="97">
        <v>658.1</v>
      </c>
      <c r="H1055" s="97">
        <v>1.375</v>
      </c>
    </row>
    <row r="1056" spans="2:8" x14ac:dyDescent="0.25">
      <c r="B1056" s="97">
        <v>1.38</v>
      </c>
      <c r="C1056" s="98">
        <v>95</v>
      </c>
      <c r="D1056" s="98">
        <v>48.19</v>
      </c>
      <c r="E1056" s="99">
        <v>0.14230000000000001</v>
      </c>
      <c r="F1056" s="99">
        <f t="shared" si="15"/>
        <v>7.0274068868587483</v>
      </c>
      <c r="G1056" s="97">
        <v>660.9</v>
      </c>
      <c r="H1056" s="97">
        <v>1.38</v>
      </c>
    </row>
    <row r="1057" spans="1:8" x14ac:dyDescent="0.25">
      <c r="B1057" s="97">
        <v>1.385</v>
      </c>
      <c r="C1057" s="98">
        <v>100</v>
      </c>
      <c r="D1057" s="98">
        <v>48.19</v>
      </c>
      <c r="E1057" s="100">
        <v>0.1409</v>
      </c>
      <c r="F1057" s="100">
        <f t="shared" si="15"/>
        <v>7.0972320794889994</v>
      </c>
      <c r="G1057" s="97">
        <v>663.7</v>
      </c>
      <c r="H1057" s="97">
        <v>1.385</v>
      </c>
    </row>
    <row r="1058" spans="1:8" x14ac:dyDescent="0.25">
      <c r="B1058" s="97">
        <v>1.39</v>
      </c>
      <c r="C1058" s="98">
        <v>105</v>
      </c>
      <c r="D1058" s="98">
        <v>48.19</v>
      </c>
      <c r="E1058" s="99">
        <v>0.13950000000000001</v>
      </c>
      <c r="F1058" s="99">
        <f t="shared" si="15"/>
        <v>7.1684587813620064</v>
      </c>
      <c r="G1058" s="97">
        <v>666.4</v>
      </c>
      <c r="H1058" s="97">
        <v>1.39</v>
      </c>
    </row>
    <row r="1059" spans="1:8" x14ac:dyDescent="0.25">
      <c r="B1059" s="97">
        <v>1.395</v>
      </c>
      <c r="C1059" s="98">
        <v>110</v>
      </c>
      <c r="D1059" s="98">
        <v>48.19</v>
      </c>
      <c r="E1059" s="100">
        <v>0.1381</v>
      </c>
      <c r="F1059" s="100">
        <f t="shared" si="15"/>
        <v>7.24112961622013</v>
      </c>
      <c r="G1059" s="97">
        <v>669.2</v>
      </c>
      <c r="H1059" s="97">
        <v>1.395</v>
      </c>
    </row>
    <row r="1060" spans="1:8" x14ac:dyDescent="0.25">
      <c r="B1060" s="97">
        <v>1.4</v>
      </c>
      <c r="C1060" s="98">
        <v>115</v>
      </c>
      <c r="D1060" s="98">
        <v>48.19</v>
      </c>
      <c r="E1060" s="99">
        <v>0.1368</v>
      </c>
      <c r="F1060" s="99">
        <f t="shared" si="15"/>
        <v>7.3099415204678362</v>
      </c>
      <c r="G1060" s="97">
        <v>671.9</v>
      </c>
      <c r="H1060" s="97">
        <v>1.4</v>
      </c>
    </row>
    <row r="1061" spans="1:8" x14ac:dyDescent="0.25">
      <c r="B1061" s="97">
        <v>1.405</v>
      </c>
      <c r="C1061" s="98">
        <v>120</v>
      </c>
      <c r="D1061" s="98">
        <v>48.19</v>
      </c>
      <c r="E1061" s="100">
        <v>0.13550000000000001</v>
      </c>
      <c r="F1061" s="100">
        <f t="shared" si="15"/>
        <v>7.3800738007380069</v>
      </c>
      <c r="G1061" s="97">
        <v>674.7</v>
      </c>
      <c r="H1061" s="97">
        <v>1.405</v>
      </c>
    </row>
    <row r="1062" spans="1:8" x14ac:dyDescent="0.25">
      <c r="B1062" s="97">
        <v>1.409</v>
      </c>
      <c r="C1062" s="98">
        <v>125</v>
      </c>
      <c r="D1062" s="98">
        <v>48.19</v>
      </c>
      <c r="E1062" s="99">
        <v>0.13420000000000001</v>
      </c>
      <c r="F1062" s="99">
        <f t="shared" si="15"/>
        <v>7.4515648286140079</v>
      </c>
      <c r="G1062" s="97">
        <v>677.4</v>
      </c>
      <c r="H1062" s="97">
        <v>1.409</v>
      </c>
    </row>
    <row r="1063" spans="1:8" x14ac:dyDescent="0.25">
      <c r="B1063" s="97">
        <v>1.4139999999999999</v>
      </c>
      <c r="C1063" s="98">
        <v>130</v>
      </c>
      <c r="D1063" s="98">
        <v>48.19</v>
      </c>
      <c r="E1063" s="100">
        <v>0.13289999999999999</v>
      </c>
      <c r="F1063" s="100">
        <f t="shared" si="15"/>
        <v>7.5244544770504147</v>
      </c>
      <c r="G1063" s="97">
        <v>680.2</v>
      </c>
      <c r="H1063" s="97">
        <v>1.4139999999999999</v>
      </c>
    </row>
    <row r="1064" spans="1:8" x14ac:dyDescent="0.25">
      <c r="B1064" s="97">
        <v>1.419</v>
      </c>
      <c r="C1064" s="98">
        <v>135</v>
      </c>
      <c r="D1064" s="98">
        <v>48.19</v>
      </c>
      <c r="E1064" s="99">
        <v>0.13170000000000001</v>
      </c>
      <c r="F1064" s="99">
        <f t="shared" si="15"/>
        <v>7.59301442672741</v>
      </c>
      <c r="G1064" s="97">
        <v>682.9</v>
      </c>
      <c r="H1064" s="97">
        <v>1.419</v>
      </c>
    </row>
    <row r="1065" spans="1:8" x14ac:dyDescent="0.25">
      <c r="B1065" s="97">
        <v>1.423</v>
      </c>
      <c r="C1065" s="98">
        <v>140</v>
      </c>
      <c r="D1065" s="98">
        <v>48.19</v>
      </c>
      <c r="E1065" s="100">
        <v>0.1305</v>
      </c>
      <c r="F1065" s="100">
        <f t="shared" si="15"/>
        <v>7.6628352490421454</v>
      </c>
      <c r="G1065" s="97">
        <v>685.6</v>
      </c>
      <c r="H1065" s="97">
        <v>1.423</v>
      </c>
    </row>
    <row r="1066" spans="1:8" x14ac:dyDescent="0.25">
      <c r="B1066" s="97">
        <v>1.4279999999999999</v>
      </c>
      <c r="C1066" s="98">
        <v>145</v>
      </c>
      <c r="D1066" s="98">
        <v>48.19</v>
      </c>
      <c r="E1066" s="99">
        <v>0.1293</v>
      </c>
      <c r="F1066" s="99">
        <f t="shared" si="15"/>
        <v>7.7339520494972929</v>
      </c>
      <c r="G1066" s="97">
        <v>688.3</v>
      </c>
      <c r="H1066" s="97">
        <v>1.4279999999999999</v>
      </c>
    </row>
    <row r="1067" spans="1:8" x14ac:dyDescent="0.25">
      <c r="B1067" s="97">
        <v>1.4319999999999999</v>
      </c>
      <c r="C1067" s="98">
        <v>150</v>
      </c>
      <c r="D1067" s="98">
        <v>48.19</v>
      </c>
      <c r="E1067" s="100">
        <v>0.12820000000000001</v>
      </c>
      <c r="F1067" s="100">
        <f t="shared" si="15"/>
        <v>7.8003120124804983</v>
      </c>
      <c r="G1067" s="97">
        <v>691.1</v>
      </c>
      <c r="H1067" s="97">
        <v>1.4319999999999999</v>
      </c>
    </row>
    <row r="1068" spans="1:8" x14ac:dyDescent="0.25">
      <c r="B1068" s="97">
        <v>1.4370000000000001</v>
      </c>
      <c r="C1068" t="s">
        <v>374</v>
      </c>
      <c r="D1068" t="s">
        <v>374</v>
      </c>
      <c r="E1068" t="s">
        <v>374</v>
      </c>
      <c r="F1068" t="s">
        <v>374</v>
      </c>
      <c r="G1068" t="s">
        <v>374</v>
      </c>
      <c r="H1068" t="s">
        <v>374</v>
      </c>
    </row>
    <row r="1071" spans="1:8" ht="15.75" x14ac:dyDescent="0.25">
      <c r="A1071" s="92">
        <v>50</v>
      </c>
      <c r="C1071" s="109" t="s">
        <v>404</v>
      </c>
      <c r="D1071" s="101"/>
      <c r="E1071" s="110"/>
      <c r="F1071" s="110"/>
      <c r="G1071" s="111"/>
    </row>
    <row r="1072" spans="1:8" x14ac:dyDescent="0.25">
      <c r="B1072" s="96" t="s">
        <v>266</v>
      </c>
      <c r="C1072" s="96" t="s">
        <v>375</v>
      </c>
      <c r="D1072" s="96" t="s">
        <v>380</v>
      </c>
      <c r="E1072" s="96" t="s">
        <v>381</v>
      </c>
      <c r="F1072" s="96" t="s">
        <v>382</v>
      </c>
      <c r="G1072" s="96" t="s">
        <v>265</v>
      </c>
      <c r="H1072" s="96" t="s">
        <v>266</v>
      </c>
    </row>
    <row r="1073" spans="2:8" x14ac:dyDescent="0.25">
      <c r="B1073" s="96" t="s">
        <v>383</v>
      </c>
      <c r="C1073" s="96" t="s">
        <v>384</v>
      </c>
      <c r="D1073" s="96" t="s">
        <v>385</v>
      </c>
      <c r="E1073" s="96" t="s">
        <v>386</v>
      </c>
      <c r="F1073" s="96" t="s">
        <v>387</v>
      </c>
      <c r="G1073" s="96" t="s">
        <v>388</v>
      </c>
      <c r="H1073" s="96" t="s">
        <v>383</v>
      </c>
    </row>
    <row r="1074" spans="2:8" x14ac:dyDescent="0.25">
      <c r="B1074" s="97">
        <v>-2.5516E-2</v>
      </c>
      <c r="C1074" s="98">
        <v>-50</v>
      </c>
      <c r="D1074" s="98">
        <v>50</v>
      </c>
      <c r="E1074" s="99">
        <v>43.509711000000003</v>
      </c>
      <c r="F1074" s="99">
        <f t="shared" ref="F1074:F1114" si="16">1/E1074</f>
        <v>2.2983374906811033E-2</v>
      </c>
      <c r="G1074" s="97">
        <v>-10.410907</v>
      </c>
      <c r="H1074" s="97">
        <v>-2.5516E-2</v>
      </c>
    </row>
    <row r="1075" spans="2:8" x14ac:dyDescent="0.25">
      <c r="B1075" s="97">
        <v>-1.2786E-2</v>
      </c>
      <c r="C1075" s="98">
        <v>-45</v>
      </c>
      <c r="D1075" s="98">
        <v>50</v>
      </c>
      <c r="E1075" s="99">
        <v>43.302120000000002</v>
      </c>
      <c r="F1075" s="99">
        <f t="shared" si="16"/>
        <v>2.3093557544064815E-2</v>
      </c>
      <c r="G1075" s="97">
        <v>-5.1640680000000003</v>
      </c>
      <c r="H1075" s="97">
        <v>-1.2786E-2</v>
      </c>
    </row>
    <row r="1076" spans="2:8" x14ac:dyDescent="0.25">
      <c r="B1076" s="97">
        <v>-1.66E-4</v>
      </c>
      <c r="C1076" s="98">
        <v>-40</v>
      </c>
      <c r="D1076" s="98">
        <v>50</v>
      </c>
      <c r="E1076" s="99">
        <v>43.092624000000001</v>
      </c>
      <c r="F1076" s="99">
        <f t="shared" si="16"/>
        <v>2.3205827521665889E-2</v>
      </c>
      <c r="G1076" s="97">
        <v>0.10038800000000001</v>
      </c>
      <c r="H1076" s="97">
        <v>-1.66E-4</v>
      </c>
    </row>
    <row r="1077" spans="2:8" x14ac:dyDescent="0.25">
      <c r="B1077" s="97">
        <v>1.2345E-2</v>
      </c>
      <c r="C1077" s="98">
        <v>-35</v>
      </c>
      <c r="D1077" s="98">
        <v>50</v>
      </c>
      <c r="E1077" s="99">
        <v>42.881238000000003</v>
      </c>
      <c r="F1077" s="99">
        <f t="shared" si="16"/>
        <v>2.3320222237986691E-2</v>
      </c>
      <c r="G1077" s="97">
        <v>5.3821779999999997</v>
      </c>
      <c r="H1077" s="97">
        <v>1.2345E-2</v>
      </c>
    </row>
    <row r="1078" spans="2:8" x14ac:dyDescent="0.25">
      <c r="B1078" s="97">
        <v>2.4750000000000001E-2</v>
      </c>
      <c r="C1078" s="98">
        <v>-30</v>
      </c>
      <c r="D1078" s="98">
        <v>50</v>
      </c>
      <c r="E1078" s="99">
        <v>42.667971000000001</v>
      </c>
      <c r="F1078" s="99">
        <f t="shared" si="16"/>
        <v>2.3436783530203485E-2</v>
      </c>
      <c r="G1078" s="97">
        <v>10.681044</v>
      </c>
      <c r="H1078" s="97">
        <v>2.4750000000000001E-2</v>
      </c>
    </row>
    <row r="1079" spans="2:8" x14ac:dyDescent="0.25">
      <c r="B1079" s="97">
        <v>3.705E-2</v>
      </c>
      <c r="C1079" s="98">
        <v>-25</v>
      </c>
      <c r="D1079" s="98">
        <v>50</v>
      </c>
      <c r="E1079" s="99">
        <v>42.452829000000001</v>
      </c>
      <c r="F1079" s="99">
        <f t="shared" si="16"/>
        <v>2.3555556215111129E-2</v>
      </c>
      <c r="G1079" s="97">
        <v>15.996756</v>
      </c>
      <c r="H1079" s="97">
        <v>3.705E-2</v>
      </c>
    </row>
    <row r="1080" spans="2:8" x14ac:dyDescent="0.25">
      <c r="B1080" s="97">
        <v>4.9246999999999999E-2</v>
      </c>
      <c r="C1080" s="98">
        <v>-20</v>
      </c>
      <c r="D1080" s="98">
        <v>50</v>
      </c>
      <c r="E1080" s="99">
        <v>42.235807999999999</v>
      </c>
      <c r="F1080" s="99">
        <f t="shared" si="16"/>
        <v>2.3676592146644856E-2</v>
      </c>
      <c r="G1080" s="97">
        <v>21.329128000000001</v>
      </c>
      <c r="H1080" s="97">
        <v>4.9246999999999999E-2</v>
      </c>
    </row>
    <row r="1081" spans="2:8" x14ac:dyDescent="0.25">
      <c r="B1081" s="97">
        <v>6.1344000000000003E-2</v>
      </c>
      <c r="C1081" s="98">
        <v>-15</v>
      </c>
      <c r="D1081" s="98">
        <v>50</v>
      </c>
      <c r="E1081" s="99">
        <v>42.0169</v>
      </c>
      <c r="F1081" s="99">
        <f t="shared" si="16"/>
        <v>2.3799947164117295E-2</v>
      </c>
      <c r="G1081" s="97">
        <v>26.678014000000001</v>
      </c>
      <c r="H1081" s="97">
        <v>6.1344000000000003E-2</v>
      </c>
    </row>
    <row r="1082" spans="2:8" x14ac:dyDescent="0.25">
      <c r="B1082" s="97">
        <v>7.3343000000000005E-2</v>
      </c>
      <c r="C1082" s="98">
        <v>-10</v>
      </c>
      <c r="D1082" s="98">
        <v>50</v>
      </c>
      <c r="E1082" s="99">
        <v>41.796087999999997</v>
      </c>
      <c r="F1082" s="99">
        <f t="shared" si="16"/>
        <v>2.3925684145367866E-2</v>
      </c>
      <c r="G1082" s="97">
        <v>32.043320999999999</v>
      </c>
      <c r="H1082" s="97">
        <v>7.3343000000000005E-2</v>
      </c>
    </row>
    <row r="1083" spans="2:8" x14ac:dyDescent="0.25">
      <c r="B1083" s="97">
        <v>8.5245000000000001E-2</v>
      </c>
      <c r="C1083" s="98">
        <v>-5</v>
      </c>
      <c r="D1083" s="98">
        <v>50</v>
      </c>
      <c r="E1083" s="99">
        <v>41.573349999999998</v>
      </c>
      <c r="F1083" s="99">
        <f t="shared" si="16"/>
        <v>2.4053871049602691E-2</v>
      </c>
      <c r="G1083" s="97">
        <v>37.425013</v>
      </c>
      <c r="H1083" s="97">
        <v>8.5245000000000001E-2</v>
      </c>
    </row>
    <row r="1084" spans="2:8" x14ac:dyDescent="0.25">
      <c r="B1084" s="97">
        <v>9.7051999999999999E-2</v>
      </c>
      <c r="C1084" s="98">
        <v>0</v>
      </c>
      <c r="D1084" s="98">
        <v>50</v>
      </c>
      <c r="E1084" s="99">
        <v>41.348655000000001</v>
      </c>
      <c r="F1084" s="99">
        <f t="shared" si="16"/>
        <v>2.4184583513055018E-2</v>
      </c>
      <c r="G1084" s="97">
        <v>42.823113999999997</v>
      </c>
      <c r="H1084" s="97">
        <v>9.7051999999999999E-2</v>
      </c>
    </row>
    <row r="1085" spans="2:8" x14ac:dyDescent="0.25">
      <c r="B1085" s="97">
        <v>0.108768</v>
      </c>
      <c r="C1085" s="98">
        <v>5</v>
      </c>
      <c r="D1085" s="98">
        <v>50</v>
      </c>
      <c r="E1085" s="99">
        <v>41.121965000000003</v>
      </c>
      <c r="F1085" s="99">
        <f t="shared" si="16"/>
        <v>2.4317904069029773E-2</v>
      </c>
      <c r="G1085" s="97">
        <v>48.23771</v>
      </c>
      <c r="H1085" s="97">
        <v>0.108768</v>
      </c>
    </row>
    <row r="1086" spans="2:8" x14ac:dyDescent="0.25">
      <c r="B1086" s="97">
        <v>0.120394</v>
      </c>
      <c r="C1086" s="98">
        <v>10</v>
      </c>
      <c r="D1086" s="98">
        <v>50</v>
      </c>
      <c r="E1086" s="99">
        <v>40.893236000000002</v>
      </c>
      <c r="F1086" s="99">
        <f t="shared" si="16"/>
        <v>2.445392191510596E-2</v>
      </c>
      <c r="G1086" s="97">
        <v>53.668961000000003</v>
      </c>
      <c r="H1086" s="97">
        <v>0.120394</v>
      </c>
    </row>
    <row r="1087" spans="2:8" x14ac:dyDescent="0.25">
      <c r="B1087" s="97">
        <v>0.13193299999999999</v>
      </c>
      <c r="C1087" s="98">
        <v>15</v>
      </c>
      <c r="D1087" s="98">
        <v>50</v>
      </c>
      <c r="E1087" s="99">
        <v>40.662412000000003</v>
      </c>
      <c r="F1087" s="99">
        <f t="shared" si="16"/>
        <v>2.4592736899129348E-2</v>
      </c>
      <c r="G1087" s="97">
        <v>59.117095999999997</v>
      </c>
      <c r="H1087" s="97">
        <v>0.13193299999999999</v>
      </c>
    </row>
    <row r="1088" spans="2:8" x14ac:dyDescent="0.25">
      <c r="B1088" s="97">
        <v>0.14338600000000001</v>
      </c>
      <c r="C1088" s="98">
        <v>20</v>
      </c>
      <c r="D1088" s="98">
        <v>50</v>
      </c>
      <c r="E1088" s="99">
        <v>40.429431000000001</v>
      </c>
      <c r="F1088" s="99">
        <f t="shared" si="16"/>
        <v>2.4734456440903163E-2</v>
      </c>
      <c r="G1088" s="97">
        <v>64.582421999999994</v>
      </c>
      <c r="H1088" s="97">
        <v>0.14338600000000001</v>
      </c>
    </row>
    <row r="1089" spans="2:8" x14ac:dyDescent="0.25">
      <c r="B1089" s="97">
        <v>1.2974889999999999</v>
      </c>
      <c r="C1089" s="98">
        <v>25</v>
      </c>
      <c r="D1089" s="98">
        <v>50</v>
      </c>
      <c r="E1089" s="99">
        <v>0.173737</v>
      </c>
      <c r="F1089" s="99">
        <f t="shared" si="16"/>
        <v>5.7558263352078143</v>
      </c>
      <c r="G1089" s="97">
        <v>620.11521100000004</v>
      </c>
      <c r="H1089" s="97">
        <v>1.2974889999999999</v>
      </c>
    </row>
    <row r="1090" spans="2:8" x14ac:dyDescent="0.25">
      <c r="B1090" s="97">
        <v>1.3037639999999999</v>
      </c>
      <c r="C1090" s="98">
        <v>30</v>
      </c>
      <c r="D1090" s="98">
        <v>50</v>
      </c>
      <c r="E1090" s="99">
        <v>0.17147699999999999</v>
      </c>
      <c r="F1090" s="99">
        <f t="shared" si="16"/>
        <v>5.8316858820716488</v>
      </c>
      <c r="G1090" s="97">
        <v>623.171964</v>
      </c>
      <c r="H1090" s="97">
        <v>1.3037639999999999</v>
      </c>
    </row>
    <row r="1091" spans="2:8" x14ac:dyDescent="0.25">
      <c r="B1091" s="97">
        <v>1.3099000000000001</v>
      </c>
      <c r="C1091" s="98">
        <v>35</v>
      </c>
      <c r="D1091" s="98">
        <v>50</v>
      </c>
      <c r="E1091" s="99">
        <v>0.169297</v>
      </c>
      <c r="F1091" s="99">
        <f t="shared" si="16"/>
        <v>5.9067792104998906</v>
      </c>
      <c r="G1091" s="97">
        <v>626.19192699999996</v>
      </c>
      <c r="H1091" s="97">
        <v>1.3099000000000001</v>
      </c>
    </row>
    <row r="1092" spans="2:8" x14ac:dyDescent="0.25">
      <c r="B1092" s="97">
        <v>1.3159080000000001</v>
      </c>
      <c r="C1092" s="98">
        <v>40</v>
      </c>
      <c r="D1092" s="98">
        <v>50</v>
      </c>
      <c r="E1092" s="99">
        <v>0.16719200000000001</v>
      </c>
      <c r="F1092" s="99">
        <f t="shared" si="16"/>
        <v>5.9811474233216897</v>
      </c>
      <c r="G1092" s="97">
        <v>629.17889500000001</v>
      </c>
      <c r="H1092" s="97">
        <v>1.3159080000000001</v>
      </c>
    </row>
    <row r="1093" spans="2:8" x14ac:dyDescent="0.25">
      <c r="B1093" s="97">
        <v>1.3217970000000001</v>
      </c>
      <c r="C1093" s="98">
        <v>45</v>
      </c>
      <c r="D1093" s="98">
        <v>50</v>
      </c>
      <c r="E1093" s="99">
        <v>0.165156</v>
      </c>
      <c r="F1093" s="99">
        <f t="shared" si="16"/>
        <v>6.0548814454212989</v>
      </c>
      <c r="G1093" s="97">
        <v>632.13623500000006</v>
      </c>
      <c r="H1093" s="97">
        <v>1.3217970000000001</v>
      </c>
    </row>
    <row r="1094" spans="2:8" x14ac:dyDescent="0.25">
      <c r="B1094" s="97">
        <v>1.3275760000000001</v>
      </c>
      <c r="C1094" s="98">
        <v>50</v>
      </c>
      <c r="D1094" s="98">
        <v>50</v>
      </c>
      <c r="E1094" s="99">
        <v>0.163185</v>
      </c>
      <c r="F1094" s="99">
        <f t="shared" si="16"/>
        <v>6.1280142169929839</v>
      </c>
      <c r="G1094" s="97">
        <v>635.06694200000004</v>
      </c>
      <c r="H1094" s="97">
        <v>1.3275760000000001</v>
      </c>
    </row>
    <row r="1095" spans="2:8" x14ac:dyDescent="0.25">
      <c r="B1095" s="97">
        <v>1.333251</v>
      </c>
      <c r="C1095" s="98">
        <v>55</v>
      </c>
      <c r="D1095" s="98">
        <v>50</v>
      </c>
      <c r="E1095" s="99">
        <v>0.161276</v>
      </c>
      <c r="F1095" s="99">
        <f t="shared" si="16"/>
        <v>6.2005506088940701</v>
      </c>
      <c r="G1095" s="97">
        <v>637.97369700000002</v>
      </c>
      <c r="H1095" s="97">
        <v>1.333251</v>
      </c>
    </row>
    <row r="1096" spans="2:8" x14ac:dyDescent="0.25">
      <c r="B1096" s="97">
        <v>1.33883</v>
      </c>
      <c r="C1096" s="98">
        <v>60</v>
      </c>
      <c r="D1096" s="98">
        <v>50</v>
      </c>
      <c r="E1096" s="99">
        <v>0.15942300000000001</v>
      </c>
      <c r="F1096" s="99">
        <f t="shared" si="16"/>
        <v>6.2726206381764236</v>
      </c>
      <c r="G1096" s="97">
        <v>640.85890600000005</v>
      </c>
      <c r="H1096" s="97">
        <v>1.33883</v>
      </c>
    </row>
    <row r="1097" spans="2:8" x14ac:dyDescent="0.25">
      <c r="B1097" s="97">
        <v>1.344319</v>
      </c>
      <c r="C1097" s="98">
        <v>65</v>
      </c>
      <c r="D1097" s="98">
        <v>50</v>
      </c>
      <c r="E1097" s="99">
        <v>0.15762399999999999</v>
      </c>
      <c r="F1097" s="99">
        <f t="shared" si="16"/>
        <v>6.3442115413896367</v>
      </c>
      <c r="G1097" s="97">
        <v>643.72473300000001</v>
      </c>
      <c r="H1097" s="97">
        <v>1.344319</v>
      </c>
    </row>
    <row r="1098" spans="2:8" x14ac:dyDescent="0.25">
      <c r="B1098" s="97">
        <v>1.3497220000000001</v>
      </c>
      <c r="C1098" s="98">
        <v>70</v>
      </c>
      <c r="D1098" s="98">
        <v>50</v>
      </c>
      <c r="E1098" s="99">
        <v>0.15587599999999999</v>
      </c>
      <c r="F1098" s="99">
        <f t="shared" si="16"/>
        <v>6.4153557956324265</v>
      </c>
      <c r="G1098" s="97">
        <v>646.57313399999998</v>
      </c>
      <c r="H1098" s="97">
        <v>1.3497220000000001</v>
      </c>
    </row>
    <row r="1099" spans="2:8" x14ac:dyDescent="0.25">
      <c r="B1099" s="97">
        <v>1.3550450000000001</v>
      </c>
      <c r="C1099" s="98">
        <v>75</v>
      </c>
      <c r="D1099" s="98">
        <v>50</v>
      </c>
      <c r="E1099" s="99">
        <v>0.15417600000000001</v>
      </c>
      <c r="F1099" s="99">
        <f t="shared" si="16"/>
        <v>6.4860938148609382</v>
      </c>
      <c r="G1099" s="97">
        <v>649.40588000000002</v>
      </c>
      <c r="H1099" s="97">
        <v>1.3550450000000001</v>
      </c>
    </row>
    <row r="1100" spans="2:8" x14ac:dyDescent="0.25">
      <c r="B1100" s="97">
        <v>1.3602920000000001</v>
      </c>
      <c r="C1100" s="98">
        <v>80</v>
      </c>
      <c r="D1100" s="98">
        <v>50</v>
      </c>
      <c r="E1100" s="99">
        <v>0.15252099999999999</v>
      </c>
      <c r="F1100" s="99">
        <f t="shared" si="16"/>
        <v>6.5564741904393502</v>
      </c>
      <c r="G1100" s="97">
        <v>652.22457799999995</v>
      </c>
      <c r="H1100" s="97">
        <v>1.3602920000000001</v>
      </c>
    </row>
    <row r="1101" spans="2:8" x14ac:dyDescent="0.25">
      <c r="B1101" s="97">
        <v>1.3654679999999999</v>
      </c>
      <c r="C1101" s="98">
        <v>85</v>
      </c>
      <c r="D1101" s="98">
        <v>50</v>
      </c>
      <c r="E1101" s="99">
        <v>0.15090899999999999</v>
      </c>
      <c r="F1101" s="99">
        <f t="shared" si="16"/>
        <v>6.62651001596989</v>
      </c>
      <c r="G1101" s="97">
        <v>655.03068900000005</v>
      </c>
      <c r="H1101" s="97">
        <v>1.3654679999999999</v>
      </c>
    </row>
    <row r="1102" spans="2:8" x14ac:dyDescent="0.25">
      <c r="B1102" s="97">
        <v>1.370576</v>
      </c>
      <c r="C1102" s="98">
        <v>90</v>
      </c>
      <c r="D1102" s="98">
        <v>50</v>
      </c>
      <c r="E1102" s="99">
        <v>0.149338</v>
      </c>
      <c r="F1102" s="99">
        <f t="shared" si="16"/>
        <v>6.6962193145749911</v>
      </c>
      <c r="G1102" s="97">
        <v>657.82554600000003</v>
      </c>
      <c r="H1102" s="97">
        <v>1.370576</v>
      </c>
    </row>
    <row r="1103" spans="2:8" x14ac:dyDescent="0.25">
      <c r="B1103" s="97">
        <v>1.3756200000000001</v>
      </c>
      <c r="C1103" s="98">
        <v>95</v>
      </c>
      <c r="D1103" s="98">
        <v>50</v>
      </c>
      <c r="E1103" s="99">
        <v>0.14780599999999999</v>
      </c>
      <c r="F1103" s="99">
        <f t="shared" si="16"/>
        <v>6.765625211425788</v>
      </c>
      <c r="G1103" s="97">
        <v>660.610366</v>
      </c>
      <c r="H1103" s="97">
        <v>1.3756200000000001</v>
      </c>
    </row>
    <row r="1104" spans="2:8" x14ac:dyDescent="0.25">
      <c r="B1104" s="97">
        <v>1.3806020000000001</v>
      </c>
      <c r="C1104" s="98">
        <v>100</v>
      </c>
      <c r="D1104" s="98">
        <v>50</v>
      </c>
      <c r="E1104" s="99">
        <v>0.146312</v>
      </c>
      <c r="F1104" s="99">
        <f t="shared" si="16"/>
        <v>6.8347093881568153</v>
      </c>
      <c r="G1104" s="97">
        <v>663.38626299999999</v>
      </c>
      <c r="H1104" s="97">
        <v>1.3806020000000001</v>
      </c>
    </row>
    <row r="1105" spans="2:8" x14ac:dyDescent="0.25">
      <c r="B1105" s="97">
        <v>1.385526</v>
      </c>
      <c r="C1105" s="98">
        <v>105</v>
      </c>
      <c r="D1105" s="98">
        <v>50</v>
      </c>
      <c r="E1105" s="99">
        <v>0.14485300000000001</v>
      </c>
      <c r="F1105" s="99">
        <f t="shared" si="16"/>
        <v>6.9035504960201024</v>
      </c>
      <c r="G1105" s="97">
        <v>666.15426000000002</v>
      </c>
      <c r="H1105" s="97">
        <v>1.385526</v>
      </c>
    </row>
    <row r="1106" spans="2:8" x14ac:dyDescent="0.25">
      <c r="B1106" s="97">
        <v>1.3903939999999999</v>
      </c>
      <c r="C1106" s="98">
        <v>110</v>
      </c>
      <c r="D1106" s="98">
        <v>50</v>
      </c>
      <c r="E1106" s="99">
        <v>0.143427</v>
      </c>
      <c r="F1106" s="99">
        <f t="shared" si="16"/>
        <v>6.9721879422981727</v>
      </c>
      <c r="G1106" s="97">
        <v>668.91529500000001</v>
      </c>
      <c r="H1106" s="97">
        <v>1.3903939999999999</v>
      </c>
    </row>
    <row r="1107" spans="2:8" x14ac:dyDescent="0.25">
      <c r="B1107" s="97">
        <v>1.3952089999999999</v>
      </c>
      <c r="C1107" s="98">
        <v>115</v>
      </c>
      <c r="D1107" s="98">
        <v>50</v>
      </c>
      <c r="E1107" s="99">
        <v>0.14203499999999999</v>
      </c>
      <c r="F1107" s="99">
        <f t="shared" si="16"/>
        <v>7.0405181821382055</v>
      </c>
      <c r="G1107" s="97">
        <v>671.67023099999994</v>
      </c>
      <c r="H1107" s="97">
        <v>1.3952089999999999</v>
      </c>
    </row>
    <row r="1108" spans="2:8" x14ac:dyDescent="0.25">
      <c r="B1108" s="97">
        <v>1.3999729999999999</v>
      </c>
      <c r="C1108" s="98">
        <v>120</v>
      </c>
      <c r="D1108" s="98">
        <v>50</v>
      </c>
      <c r="E1108" s="99">
        <v>0.14067299999999999</v>
      </c>
      <c r="F1108" s="99">
        <f t="shared" si="16"/>
        <v>7.1086846800736465</v>
      </c>
      <c r="G1108" s="97">
        <v>674.41986599999996</v>
      </c>
      <c r="H1108" s="97">
        <v>1.3999729999999999</v>
      </c>
    </row>
    <row r="1109" spans="2:8" x14ac:dyDescent="0.25">
      <c r="B1109" s="97">
        <v>1.4046879999999999</v>
      </c>
      <c r="C1109" s="98">
        <v>125</v>
      </c>
      <c r="D1109" s="98">
        <v>50</v>
      </c>
      <c r="E1109" s="99">
        <v>0.13934099999999999</v>
      </c>
      <c r="F1109" s="99">
        <f t="shared" si="16"/>
        <v>7.1766386060097176</v>
      </c>
      <c r="G1109" s="97">
        <v>677.16493300000002</v>
      </c>
      <c r="H1109" s="97">
        <v>1.4046879999999999</v>
      </c>
    </row>
    <row r="1110" spans="2:8" x14ac:dyDescent="0.25">
      <c r="B1110" s="97">
        <v>1.4093560000000001</v>
      </c>
      <c r="C1110" s="98">
        <v>130</v>
      </c>
      <c r="D1110" s="98">
        <v>50</v>
      </c>
      <c r="E1110" s="99">
        <v>0.13803799999999999</v>
      </c>
      <c r="F1110" s="99">
        <f t="shared" si="16"/>
        <v>7.2443819817731354</v>
      </c>
      <c r="G1110" s="97">
        <v>679.906114</v>
      </c>
      <c r="H1110" s="97">
        <v>1.4093560000000001</v>
      </c>
    </row>
    <row r="1111" spans="2:8" x14ac:dyDescent="0.25">
      <c r="B1111" s="97">
        <v>1.41398</v>
      </c>
      <c r="C1111" s="98">
        <v>135</v>
      </c>
      <c r="D1111" s="98">
        <v>50</v>
      </c>
      <c r="E1111" s="99">
        <v>0.136763</v>
      </c>
      <c r="F1111" s="99">
        <f t="shared" si="16"/>
        <v>7.3119191594217741</v>
      </c>
      <c r="G1111" s="97">
        <v>682.64403800000002</v>
      </c>
      <c r="H1111" s="97">
        <v>1.41398</v>
      </c>
    </row>
    <row r="1112" spans="2:8" x14ac:dyDescent="0.25">
      <c r="B1112" s="97">
        <v>1.41856</v>
      </c>
      <c r="C1112" s="98">
        <v>140</v>
      </c>
      <c r="D1112" s="98">
        <v>50</v>
      </c>
      <c r="E1112" s="99">
        <v>0.135514</v>
      </c>
      <c r="F1112" s="99">
        <f t="shared" si="16"/>
        <v>7.3793113626636364</v>
      </c>
      <c r="G1112" s="97">
        <v>685.37928799999997</v>
      </c>
      <c r="H1112" s="97">
        <v>1.41856</v>
      </c>
    </row>
    <row r="1113" spans="2:8" x14ac:dyDescent="0.25">
      <c r="B1113" s="97">
        <v>1.4230989999999999</v>
      </c>
      <c r="C1113" s="98">
        <v>145</v>
      </c>
      <c r="D1113" s="98">
        <v>50</v>
      </c>
      <c r="E1113" s="99">
        <v>0.13428999999999999</v>
      </c>
      <c r="F1113" s="99">
        <f t="shared" si="16"/>
        <v>7.4465708541216777</v>
      </c>
      <c r="G1113" s="97">
        <v>688.11240799999996</v>
      </c>
      <c r="H1113" s="97">
        <v>1.4230989999999999</v>
      </c>
    </row>
    <row r="1114" spans="2:8" x14ac:dyDescent="0.25">
      <c r="B1114" s="97">
        <v>1.4275979999999999</v>
      </c>
      <c r="C1114" s="98">
        <v>150</v>
      </c>
      <c r="D1114" s="98">
        <v>50</v>
      </c>
      <c r="E1114" s="99">
        <v>0.13309099999999999</v>
      </c>
      <c r="F1114" s="99">
        <f t="shared" si="16"/>
        <v>7.5136560699070571</v>
      </c>
      <c r="G1114" s="97">
        <v>690.84390299999995</v>
      </c>
      <c r="H1114" s="97">
        <v>1.4275979999999999</v>
      </c>
    </row>
    <row r="1115" spans="2:8" x14ac:dyDescent="0.25">
      <c r="B1115" s="106">
        <v>1.4390000000000001</v>
      </c>
      <c r="C1115" s="106">
        <v>160</v>
      </c>
      <c r="D1115" s="107"/>
      <c r="E1115" s="106"/>
      <c r="F1115" s="106">
        <v>7.6478000000000002</v>
      </c>
      <c r="G1115" s="106">
        <v>697.36</v>
      </c>
      <c r="H1115" s="106">
        <v>1.4390000000000001</v>
      </c>
    </row>
    <row r="1116" spans="2:8" x14ac:dyDescent="0.25">
      <c r="B1116" s="106">
        <v>1.4563999999999999</v>
      </c>
      <c r="C1116" s="106">
        <v>180</v>
      </c>
      <c r="D1116" s="107"/>
      <c r="E1116" s="106"/>
      <c r="F1116" s="106">
        <v>7.9135</v>
      </c>
      <c r="G1116" s="106">
        <v>708.29</v>
      </c>
      <c r="H1116" s="106">
        <v>1.4563999999999999</v>
      </c>
    </row>
    <row r="1117" spans="2:8" x14ac:dyDescent="0.25">
      <c r="B1117" s="106">
        <v>1.4732000000000001</v>
      </c>
      <c r="C1117" s="106">
        <v>200</v>
      </c>
      <c r="D1117" s="107"/>
      <c r="E1117" s="106"/>
      <c r="F1117" s="106">
        <v>8.1776</v>
      </c>
      <c r="G1117" s="106">
        <v>719.23</v>
      </c>
      <c r="H1117" s="106">
        <v>1.4732000000000001</v>
      </c>
    </row>
    <row r="1118" spans="2:8" x14ac:dyDescent="0.25">
      <c r="B1118" s="106">
        <v>1.4896</v>
      </c>
      <c r="C1118" s="106">
        <v>220</v>
      </c>
      <c r="D1118" s="107"/>
      <c r="E1118" s="106"/>
      <c r="F1118" s="106">
        <v>8.4403000000000006</v>
      </c>
      <c r="G1118" s="106">
        <v>730.2</v>
      </c>
      <c r="H1118" s="106">
        <v>1.4896</v>
      </c>
    </row>
    <row r="1119" spans="2:8" x14ac:dyDescent="0.25">
      <c r="B1119" s="106">
        <v>1.5049999999999999</v>
      </c>
      <c r="C1119" t="s">
        <v>374</v>
      </c>
      <c r="D1119" t="s">
        <v>374</v>
      </c>
      <c r="E1119" t="s">
        <v>374</v>
      </c>
      <c r="F1119" t="s">
        <v>374</v>
      </c>
      <c r="G1119" t="s">
        <v>374</v>
      </c>
      <c r="H1119" t="s">
        <v>374</v>
      </c>
    </row>
    <row r="1122" spans="1:8" ht="15.75" x14ac:dyDescent="0.25">
      <c r="A1122" s="92">
        <v>53.72</v>
      </c>
      <c r="C1122" s="109" t="s">
        <v>405</v>
      </c>
      <c r="D1122" s="101"/>
      <c r="E1122" s="110"/>
      <c r="F1122" s="101"/>
      <c r="G1122" s="110"/>
    </row>
    <row r="1123" spans="1:8" x14ac:dyDescent="0.25">
      <c r="B1123" s="96" t="s">
        <v>266</v>
      </c>
      <c r="C1123" s="96" t="s">
        <v>375</v>
      </c>
      <c r="D1123" s="96" t="s">
        <v>380</v>
      </c>
      <c r="E1123" s="96" t="s">
        <v>381</v>
      </c>
      <c r="F1123" s="96" t="s">
        <v>382</v>
      </c>
      <c r="G1123" s="96" t="s">
        <v>265</v>
      </c>
      <c r="H1123" s="96" t="s">
        <v>266</v>
      </c>
    </row>
    <row r="1124" spans="1:8" x14ac:dyDescent="0.25">
      <c r="B1124" s="96" t="s">
        <v>383</v>
      </c>
      <c r="C1124" s="96" t="s">
        <v>384</v>
      </c>
      <c r="D1124" s="96" t="s">
        <v>385</v>
      </c>
      <c r="E1124" s="96" t="s">
        <v>386</v>
      </c>
      <c r="F1124" s="96" t="s">
        <v>387</v>
      </c>
      <c r="G1124" s="96" t="s">
        <v>388</v>
      </c>
      <c r="H1124" s="96" t="s">
        <v>383</v>
      </c>
    </row>
    <row r="1125" spans="1:8" x14ac:dyDescent="0.25">
      <c r="B1125" s="97">
        <v>-2.5530000000000001E-2</v>
      </c>
      <c r="C1125" s="98">
        <v>-50</v>
      </c>
      <c r="D1125" s="98">
        <v>53.72</v>
      </c>
      <c r="E1125" s="99">
        <v>43.51</v>
      </c>
      <c r="F1125" s="99">
        <f t="shared" ref="F1125:F1165" si="17">1/E1125</f>
        <v>2.2983222247759137E-2</v>
      </c>
      <c r="G1125" s="97">
        <v>-10.4</v>
      </c>
      <c r="H1125" s="97">
        <v>-2.5530000000000001E-2</v>
      </c>
    </row>
    <row r="1126" spans="1:8" x14ac:dyDescent="0.25">
      <c r="B1126" s="97">
        <v>-1.2800000000000001E-2</v>
      </c>
      <c r="C1126" s="98">
        <v>-45</v>
      </c>
      <c r="D1126" s="98">
        <v>53.72</v>
      </c>
      <c r="E1126" s="99">
        <v>43.3</v>
      </c>
      <c r="F1126" s="99">
        <f t="shared" si="17"/>
        <v>2.3094688221709007E-2</v>
      </c>
      <c r="G1126" s="97">
        <v>-5.1550000000000002</v>
      </c>
      <c r="H1126" s="97">
        <v>-1.2800000000000001E-2</v>
      </c>
    </row>
    <row r="1127" spans="1:8" x14ac:dyDescent="0.25">
      <c r="B1127" s="97">
        <v>-1.8000000000000001E-4</v>
      </c>
      <c r="C1127" s="98">
        <v>-40</v>
      </c>
      <c r="D1127" s="98">
        <v>53.72</v>
      </c>
      <c r="E1127" s="99">
        <v>43.09</v>
      </c>
      <c r="F1127" s="99">
        <f t="shared" si="17"/>
        <v>2.3207240659085634E-2</v>
      </c>
      <c r="G1127" s="97">
        <v>0.10979999999999999</v>
      </c>
      <c r="H1127" s="97">
        <v>-1.8000000000000001E-4</v>
      </c>
    </row>
    <row r="1128" spans="1:8" x14ac:dyDescent="0.25">
      <c r="B1128" s="97">
        <v>1.2330000000000001E-2</v>
      </c>
      <c r="C1128" s="98">
        <v>-35</v>
      </c>
      <c r="D1128" s="98">
        <v>53.72</v>
      </c>
      <c r="E1128" s="99">
        <v>42.88</v>
      </c>
      <c r="F1128" s="99">
        <f t="shared" si="17"/>
        <v>2.3320895522388058E-2</v>
      </c>
      <c r="G1128" s="97">
        <v>5.391</v>
      </c>
      <c r="H1128" s="97">
        <v>1.2330000000000001E-2</v>
      </c>
    </row>
    <row r="1129" spans="1:8" x14ac:dyDescent="0.25">
      <c r="B1129" s="97">
        <v>2.4729999999999999E-2</v>
      </c>
      <c r="C1129" s="98">
        <v>-30</v>
      </c>
      <c r="D1129" s="98">
        <v>53.72</v>
      </c>
      <c r="E1129" s="99">
        <v>42.67</v>
      </c>
      <c r="F1129" s="99">
        <f t="shared" si="17"/>
        <v>2.343566908835247E-2</v>
      </c>
      <c r="G1129" s="97">
        <v>10.69</v>
      </c>
      <c r="H1129" s="97">
        <v>2.4729999999999999E-2</v>
      </c>
    </row>
    <row r="1130" spans="1:8" x14ac:dyDescent="0.25">
      <c r="B1130" s="97">
        <v>3.703E-2</v>
      </c>
      <c r="C1130" s="98">
        <v>-25</v>
      </c>
      <c r="D1130" s="98">
        <v>53.72</v>
      </c>
      <c r="E1130" s="99">
        <v>42.45</v>
      </c>
      <c r="F1130" s="99">
        <f t="shared" si="17"/>
        <v>2.3557126030624261E-2</v>
      </c>
      <c r="G1130" s="97">
        <v>16.010000000000002</v>
      </c>
      <c r="H1130" s="97">
        <v>3.703E-2</v>
      </c>
    </row>
    <row r="1131" spans="1:8" x14ac:dyDescent="0.25">
      <c r="B1131" s="97">
        <v>4.9230000000000003E-2</v>
      </c>
      <c r="C1131" s="98">
        <v>-20</v>
      </c>
      <c r="D1131" s="98">
        <v>53.72</v>
      </c>
      <c r="E1131" s="100">
        <v>42.24</v>
      </c>
      <c r="F1131" s="100">
        <f t="shared" si="17"/>
        <v>2.3674242424242424E-2</v>
      </c>
      <c r="G1131" s="97">
        <v>21.34</v>
      </c>
      <c r="H1131" s="97">
        <v>4.9230000000000003E-2</v>
      </c>
    </row>
    <row r="1132" spans="1:8" x14ac:dyDescent="0.25">
      <c r="B1132" s="97">
        <v>6.1330000000000003E-2</v>
      </c>
      <c r="C1132" s="98">
        <v>-15</v>
      </c>
      <c r="D1132" s="98">
        <v>53.72</v>
      </c>
      <c r="E1132" s="99">
        <v>42.02</v>
      </c>
      <c r="F1132" s="99">
        <f t="shared" si="17"/>
        <v>2.3798191337458353E-2</v>
      </c>
      <c r="G1132" s="97">
        <v>26.69</v>
      </c>
      <c r="H1132" s="97">
        <v>6.1330000000000003E-2</v>
      </c>
    </row>
    <row r="1133" spans="1:8" x14ac:dyDescent="0.25">
      <c r="B1133" s="97">
        <v>7.3330000000000006E-2</v>
      </c>
      <c r="C1133" s="98">
        <v>-10</v>
      </c>
      <c r="D1133" s="98">
        <v>53.72</v>
      </c>
      <c r="E1133" s="100">
        <v>41.8</v>
      </c>
      <c r="F1133" s="100">
        <f t="shared" si="17"/>
        <v>2.3923444976076555E-2</v>
      </c>
      <c r="G1133" s="97">
        <v>32.049999999999997</v>
      </c>
      <c r="H1133" s="97">
        <v>7.3330000000000006E-2</v>
      </c>
    </row>
    <row r="1134" spans="1:8" x14ac:dyDescent="0.25">
      <c r="B1134" s="97">
        <v>8.523E-2</v>
      </c>
      <c r="C1134" s="98">
        <v>-5</v>
      </c>
      <c r="D1134" s="98">
        <v>53.72</v>
      </c>
      <c r="E1134" s="99">
        <v>41.57</v>
      </c>
      <c r="F1134" s="99">
        <f t="shared" si="17"/>
        <v>2.4055809477988934E-2</v>
      </c>
      <c r="G1134" s="97">
        <v>37.43</v>
      </c>
      <c r="H1134" s="97">
        <v>8.523E-2</v>
      </c>
    </row>
    <row r="1135" spans="1:8" x14ac:dyDescent="0.25">
      <c r="B1135" s="97">
        <v>9.7030000000000005E-2</v>
      </c>
      <c r="C1135" s="98">
        <v>0</v>
      </c>
      <c r="D1135" s="98">
        <v>53.72</v>
      </c>
      <c r="E1135" s="100">
        <v>41.35</v>
      </c>
      <c r="F1135" s="100">
        <f t="shared" si="17"/>
        <v>2.4183796856106408E-2</v>
      </c>
      <c r="G1135" s="97">
        <v>42.83</v>
      </c>
      <c r="H1135" s="97">
        <v>9.7030000000000005E-2</v>
      </c>
    </row>
    <row r="1136" spans="1:8" x14ac:dyDescent="0.25">
      <c r="B1136" s="97">
        <v>0.1087</v>
      </c>
      <c r="C1136" s="98">
        <v>5</v>
      </c>
      <c r="D1136" s="98">
        <v>53.72</v>
      </c>
      <c r="E1136" s="99">
        <v>41.12</v>
      </c>
      <c r="F1136" s="99">
        <f t="shared" si="17"/>
        <v>2.4319066147859923E-2</v>
      </c>
      <c r="G1136" s="97">
        <v>48.25</v>
      </c>
      <c r="H1136" s="97">
        <v>0.1087</v>
      </c>
    </row>
    <row r="1137" spans="2:8" x14ac:dyDescent="0.25">
      <c r="B1137" s="97">
        <v>0.12039999999999999</v>
      </c>
      <c r="C1137" s="98">
        <v>10</v>
      </c>
      <c r="D1137" s="98">
        <v>53.72</v>
      </c>
      <c r="E1137" s="100">
        <v>40.89</v>
      </c>
      <c r="F1137" s="100">
        <f t="shared" si="17"/>
        <v>2.4455857177794083E-2</v>
      </c>
      <c r="G1137" s="97">
        <v>53.68</v>
      </c>
      <c r="H1137" s="97">
        <v>0.12039999999999999</v>
      </c>
    </row>
    <row r="1138" spans="2:8" x14ac:dyDescent="0.25">
      <c r="B1138" s="97">
        <v>0.13189999999999999</v>
      </c>
      <c r="C1138" s="98">
        <v>15</v>
      </c>
      <c r="D1138" s="98">
        <v>53.72</v>
      </c>
      <c r="E1138" s="99">
        <v>40.659999999999997</v>
      </c>
      <c r="F1138" s="99">
        <f t="shared" si="17"/>
        <v>2.4594195769798328E-2</v>
      </c>
      <c r="G1138" s="97">
        <v>59.12</v>
      </c>
      <c r="H1138" s="97">
        <v>0.13189999999999999</v>
      </c>
    </row>
    <row r="1139" spans="2:8" x14ac:dyDescent="0.25">
      <c r="B1139" s="97">
        <v>0.1434</v>
      </c>
      <c r="C1139" s="98">
        <v>20</v>
      </c>
      <c r="D1139" s="98">
        <v>53.72</v>
      </c>
      <c r="E1139" s="100">
        <v>40.43</v>
      </c>
      <c r="F1139" s="100">
        <f t="shared" si="17"/>
        <v>2.4734108335394508E-2</v>
      </c>
      <c r="G1139" s="97">
        <v>64.59</v>
      </c>
      <c r="H1139" s="97">
        <v>0.1434</v>
      </c>
    </row>
    <row r="1140" spans="2:8" x14ac:dyDescent="0.25">
      <c r="B1140" s="97">
        <v>1.2869999999999999</v>
      </c>
      <c r="C1140" s="98">
        <v>25</v>
      </c>
      <c r="D1140" s="98">
        <v>53.72</v>
      </c>
      <c r="E1140" s="99">
        <v>0.18759999999999999</v>
      </c>
      <c r="F1140" s="99">
        <f t="shared" si="17"/>
        <v>5.3304904051172715</v>
      </c>
      <c r="G1140" s="97">
        <v>619</v>
      </c>
      <c r="H1140" s="97">
        <v>1.2869999999999999</v>
      </c>
    </row>
    <row r="1141" spans="2:8" x14ac:dyDescent="0.25">
      <c r="B1141" s="97">
        <v>1.294</v>
      </c>
      <c r="C1141" s="98">
        <v>30</v>
      </c>
      <c r="D1141" s="98">
        <v>53.72</v>
      </c>
      <c r="E1141" s="100">
        <v>0.18509999999999999</v>
      </c>
      <c r="F1141" s="100">
        <f t="shared" si="17"/>
        <v>5.4024851431658565</v>
      </c>
      <c r="G1141" s="97">
        <v>622.1</v>
      </c>
      <c r="H1141" s="97">
        <v>1.294</v>
      </c>
    </row>
    <row r="1142" spans="2:8" x14ac:dyDescent="0.25">
      <c r="B1142" s="97">
        <v>1.3</v>
      </c>
      <c r="C1142" s="98">
        <v>35</v>
      </c>
      <c r="D1142" s="98">
        <v>53.72</v>
      </c>
      <c r="E1142" s="99">
        <v>0.1827</v>
      </c>
      <c r="F1142" s="99">
        <f t="shared" si="17"/>
        <v>5.4734537493158184</v>
      </c>
      <c r="G1142" s="97">
        <v>625.20000000000005</v>
      </c>
      <c r="H1142" s="97">
        <v>1.3</v>
      </c>
    </row>
    <row r="1143" spans="2:8" x14ac:dyDescent="0.25">
      <c r="B1143" s="97">
        <v>1.306</v>
      </c>
      <c r="C1143" s="98">
        <v>40</v>
      </c>
      <c r="D1143" s="98">
        <v>53.72</v>
      </c>
      <c r="E1143" s="100">
        <v>0.1804</v>
      </c>
      <c r="F1143" s="100">
        <f t="shared" si="17"/>
        <v>5.5432372505543235</v>
      </c>
      <c r="G1143" s="97">
        <v>628.20000000000005</v>
      </c>
      <c r="H1143" s="97">
        <v>1.306</v>
      </c>
    </row>
    <row r="1144" spans="2:8" x14ac:dyDescent="0.25">
      <c r="B1144" s="97">
        <v>1.3120000000000001</v>
      </c>
      <c r="C1144" s="98">
        <v>45</v>
      </c>
      <c r="D1144" s="98">
        <v>53.72</v>
      </c>
      <c r="E1144" s="99">
        <v>0.1782</v>
      </c>
      <c r="F1144" s="99">
        <f t="shared" si="17"/>
        <v>5.6116722783389452</v>
      </c>
      <c r="G1144" s="97">
        <v>631.20000000000005</v>
      </c>
      <c r="H1144" s="97">
        <v>1.3120000000000001</v>
      </c>
    </row>
    <row r="1145" spans="2:8" x14ac:dyDescent="0.25">
      <c r="B1145" s="97">
        <v>1.3180000000000001</v>
      </c>
      <c r="C1145" s="98">
        <v>50</v>
      </c>
      <c r="D1145" s="98">
        <v>53.72</v>
      </c>
      <c r="E1145" s="100">
        <v>0.17599999999999999</v>
      </c>
      <c r="F1145" s="100">
        <f t="shared" si="17"/>
        <v>5.6818181818181825</v>
      </c>
      <c r="G1145" s="97">
        <v>634.20000000000005</v>
      </c>
      <c r="H1145" s="97">
        <v>1.3180000000000001</v>
      </c>
    </row>
    <row r="1146" spans="2:8" x14ac:dyDescent="0.25">
      <c r="B1146" s="97">
        <v>1.3240000000000001</v>
      </c>
      <c r="C1146" s="98">
        <v>55</v>
      </c>
      <c r="D1146" s="98">
        <v>53.72</v>
      </c>
      <c r="E1146" s="99">
        <v>0.1739</v>
      </c>
      <c r="F1146" s="99">
        <f t="shared" si="17"/>
        <v>5.7504312823461756</v>
      </c>
      <c r="G1146" s="97">
        <v>637.1</v>
      </c>
      <c r="H1146" s="97">
        <v>1.3240000000000001</v>
      </c>
    </row>
    <row r="1147" spans="2:8" x14ac:dyDescent="0.25">
      <c r="B1147" s="97">
        <v>1.329</v>
      </c>
      <c r="C1147" s="98">
        <v>60</v>
      </c>
      <c r="D1147" s="98">
        <v>53.72</v>
      </c>
      <c r="E1147" s="100">
        <v>0.1719</v>
      </c>
      <c r="F1147" s="100">
        <f t="shared" si="17"/>
        <v>5.8173356602675979</v>
      </c>
      <c r="G1147" s="97">
        <v>640</v>
      </c>
      <c r="H1147" s="97">
        <v>1.329</v>
      </c>
    </row>
    <row r="1148" spans="2:8" x14ac:dyDescent="0.25">
      <c r="B1148" s="97">
        <v>1.335</v>
      </c>
      <c r="C1148" s="98">
        <v>65</v>
      </c>
      <c r="D1148" s="98">
        <v>53.72</v>
      </c>
      <c r="E1148" s="99">
        <v>0.1699</v>
      </c>
      <c r="F1148" s="99">
        <f t="shared" si="17"/>
        <v>5.8858151854031782</v>
      </c>
      <c r="G1148" s="97">
        <v>642.9</v>
      </c>
      <c r="H1148" s="97">
        <v>1.335</v>
      </c>
    </row>
    <row r="1149" spans="2:8" x14ac:dyDescent="0.25">
      <c r="B1149" s="97">
        <v>1.34</v>
      </c>
      <c r="C1149" s="98">
        <v>70</v>
      </c>
      <c r="D1149" s="98">
        <v>53.72</v>
      </c>
      <c r="E1149" s="100">
        <v>0.16800000000000001</v>
      </c>
      <c r="F1149" s="100">
        <f t="shared" si="17"/>
        <v>5.9523809523809517</v>
      </c>
      <c r="G1149" s="97">
        <v>645.79999999999995</v>
      </c>
      <c r="H1149" s="97">
        <v>1.34</v>
      </c>
    </row>
    <row r="1150" spans="2:8" x14ac:dyDescent="0.25">
      <c r="B1150" s="97">
        <v>1.3460000000000001</v>
      </c>
      <c r="C1150" s="98">
        <v>75</v>
      </c>
      <c r="D1150" s="98">
        <v>53.72</v>
      </c>
      <c r="E1150" s="99">
        <v>0.1661</v>
      </c>
      <c r="F1150" s="99">
        <f t="shared" si="17"/>
        <v>6.0204695966285371</v>
      </c>
      <c r="G1150" s="97">
        <v>648.70000000000005</v>
      </c>
      <c r="H1150" s="97">
        <v>1.3460000000000001</v>
      </c>
    </row>
    <row r="1151" spans="2:8" x14ac:dyDescent="0.25">
      <c r="B1151" s="97">
        <v>1.351</v>
      </c>
      <c r="C1151" s="98">
        <v>80</v>
      </c>
      <c r="D1151" s="98">
        <v>53.72</v>
      </c>
      <c r="E1151" s="100">
        <v>0.1643</v>
      </c>
      <c r="F1151" s="100">
        <f t="shared" si="17"/>
        <v>6.0864272671941571</v>
      </c>
      <c r="G1151" s="97">
        <v>651.5</v>
      </c>
      <c r="H1151" s="97">
        <v>1.351</v>
      </c>
    </row>
    <row r="1152" spans="2:8" x14ac:dyDescent="0.25">
      <c r="B1152" s="97">
        <v>1.3560000000000001</v>
      </c>
      <c r="C1152" s="98">
        <v>85</v>
      </c>
      <c r="D1152" s="98">
        <v>53.72</v>
      </c>
      <c r="E1152" s="99">
        <v>0.16259999999999999</v>
      </c>
      <c r="F1152" s="99">
        <f t="shared" si="17"/>
        <v>6.1500615006150063</v>
      </c>
      <c r="G1152" s="97">
        <v>654.4</v>
      </c>
      <c r="H1152" s="97">
        <v>1.3560000000000001</v>
      </c>
    </row>
    <row r="1153" spans="2:8" x14ac:dyDescent="0.25">
      <c r="B1153" s="97">
        <v>1.361</v>
      </c>
      <c r="C1153" s="98">
        <v>90</v>
      </c>
      <c r="D1153" s="98">
        <v>53.72</v>
      </c>
      <c r="E1153" s="100">
        <v>0.16089999999999999</v>
      </c>
      <c r="F1153" s="100">
        <f t="shared" si="17"/>
        <v>6.2150403977625857</v>
      </c>
      <c r="G1153" s="97">
        <v>657.2</v>
      </c>
      <c r="H1153" s="97">
        <v>1.361</v>
      </c>
    </row>
    <row r="1154" spans="2:8" x14ac:dyDescent="0.25">
      <c r="B1154" s="97">
        <v>1.3660000000000001</v>
      </c>
      <c r="C1154" s="98">
        <v>95</v>
      </c>
      <c r="D1154" s="98">
        <v>53.72</v>
      </c>
      <c r="E1154" s="99">
        <v>0.15920000000000001</v>
      </c>
      <c r="F1154" s="99">
        <f t="shared" si="17"/>
        <v>6.2814070351758788</v>
      </c>
      <c r="G1154" s="97">
        <v>660</v>
      </c>
      <c r="H1154" s="97">
        <v>1.3660000000000001</v>
      </c>
    </row>
    <row r="1155" spans="2:8" x14ac:dyDescent="0.25">
      <c r="B1155" s="97">
        <v>1.371</v>
      </c>
      <c r="C1155" s="98">
        <v>100</v>
      </c>
      <c r="D1155" s="98">
        <v>53.72</v>
      </c>
      <c r="E1155" s="100">
        <v>0.15759999999999999</v>
      </c>
      <c r="F1155" s="100">
        <f t="shared" si="17"/>
        <v>6.3451776649746199</v>
      </c>
      <c r="G1155" s="97">
        <v>662.8</v>
      </c>
      <c r="H1155" s="97">
        <v>1.371</v>
      </c>
    </row>
    <row r="1156" spans="2:8" x14ac:dyDescent="0.25">
      <c r="B1156" s="97">
        <v>1.3759999999999999</v>
      </c>
      <c r="C1156" s="98">
        <v>105</v>
      </c>
      <c r="D1156" s="98">
        <v>53.72</v>
      </c>
      <c r="E1156" s="99">
        <v>0.156</v>
      </c>
      <c r="F1156" s="99">
        <f t="shared" si="17"/>
        <v>6.4102564102564106</v>
      </c>
      <c r="G1156" s="97">
        <v>665.6</v>
      </c>
      <c r="H1156" s="97">
        <v>1.3759999999999999</v>
      </c>
    </row>
    <row r="1157" spans="2:8" x14ac:dyDescent="0.25">
      <c r="B1157" s="97">
        <v>1.381</v>
      </c>
      <c r="C1157" s="98">
        <v>110</v>
      </c>
      <c r="D1157" s="98">
        <v>53.72</v>
      </c>
      <c r="E1157" s="100">
        <v>0.1545</v>
      </c>
      <c r="F1157" s="100">
        <f t="shared" si="17"/>
        <v>6.4724919093851137</v>
      </c>
      <c r="G1157" s="97">
        <v>668.3</v>
      </c>
      <c r="H1157" s="97">
        <v>1.381</v>
      </c>
    </row>
    <row r="1158" spans="2:8" x14ac:dyDescent="0.25">
      <c r="B1158" s="97">
        <v>1.3859999999999999</v>
      </c>
      <c r="C1158" s="98">
        <v>115</v>
      </c>
      <c r="D1158" s="98">
        <v>53.72</v>
      </c>
      <c r="E1158" s="99">
        <v>0.15290000000000001</v>
      </c>
      <c r="F1158" s="99">
        <f t="shared" si="17"/>
        <v>6.5402223675604967</v>
      </c>
      <c r="G1158" s="97">
        <v>671.1</v>
      </c>
      <c r="H1158" s="97">
        <v>1.3859999999999999</v>
      </c>
    </row>
    <row r="1159" spans="2:8" x14ac:dyDescent="0.25">
      <c r="B1159" s="97">
        <v>1.391</v>
      </c>
      <c r="C1159" s="98">
        <v>120</v>
      </c>
      <c r="D1159" s="98">
        <v>53.72</v>
      </c>
      <c r="E1159" s="100">
        <v>0.1515</v>
      </c>
      <c r="F1159" s="100">
        <f t="shared" si="17"/>
        <v>6.6006600660066006</v>
      </c>
      <c r="G1159" s="97">
        <v>673.9</v>
      </c>
      <c r="H1159" s="97">
        <v>1.391</v>
      </c>
    </row>
    <row r="1160" spans="2:8" x14ac:dyDescent="0.25">
      <c r="B1160" s="97">
        <v>1.3959999999999999</v>
      </c>
      <c r="C1160" s="98">
        <v>125</v>
      </c>
      <c r="D1160" s="98">
        <v>53.72</v>
      </c>
      <c r="E1160" s="99">
        <v>0.15</v>
      </c>
      <c r="F1160" s="99">
        <f t="shared" si="17"/>
        <v>6.666666666666667</v>
      </c>
      <c r="G1160" s="97">
        <v>676.6</v>
      </c>
      <c r="H1160" s="97">
        <v>1.3959999999999999</v>
      </c>
    </row>
    <row r="1161" spans="2:8" x14ac:dyDescent="0.25">
      <c r="B1161" s="97">
        <v>1.4</v>
      </c>
      <c r="C1161" s="98">
        <v>130</v>
      </c>
      <c r="D1161" s="98">
        <v>53.72</v>
      </c>
      <c r="E1161" s="100">
        <v>0.14860000000000001</v>
      </c>
      <c r="F1161" s="100">
        <f t="shared" si="17"/>
        <v>6.7294751009421256</v>
      </c>
      <c r="G1161" s="97">
        <v>679.4</v>
      </c>
      <c r="H1161" s="97">
        <v>1.4</v>
      </c>
    </row>
    <row r="1162" spans="2:8" x14ac:dyDescent="0.25">
      <c r="B1162" s="97">
        <v>1.405</v>
      </c>
      <c r="C1162" s="98">
        <v>135</v>
      </c>
      <c r="D1162" s="98">
        <v>53.72</v>
      </c>
      <c r="E1162" s="99">
        <v>0.1472</v>
      </c>
      <c r="F1162" s="99">
        <f t="shared" si="17"/>
        <v>6.7934782608695654</v>
      </c>
      <c r="G1162" s="97">
        <v>682.2</v>
      </c>
      <c r="H1162" s="97">
        <v>1.405</v>
      </c>
    </row>
    <row r="1163" spans="2:8" x14ac:dyDescent="0.25">
      <c r="B1163" s="97">
        <v>1.41</v>
      </c>
      <c r="C1163" s="98">
        <v>140</v>
      </c>
      <c r="D1163" s="98">
        <v>53.72</v>
      </c>
      <c r="E1163" s="100">
        <v>0.1459</v>
      </c>
      <c r="F1163" s="100">
        <f t="shared" si="17"/>
        <v>6.8540095956134337</v>
      </c>
      <c r="G1163" s="97">
        <v>684.9</v>
      </c>
      <c r="H1163" s="97">
        <v>1.41</v>
      </c>
    </row>
    <row r="1164" spans="2:8" x14ac:dyDescent="0.25">
      <c r="B1164" s="97">
        <v>1.4139999999999999</v>
      </c>
      <c r="C1164" s="98">
        <v>145</v>
      </c>
      <c r="D1164" s="98">
        <v>53.72</v>
      </c>
      <c r="E1164" s="99">
        <v>0.14449999999999999</v>
      </c>
      <c r="F1164" s="99">
        <f t="shared" si="17"/>
        <v>6.9204152249134951</v>
      </c>
      <c r="G1164" s="97">
        <v>687.6</v>
      </c>
      <c r="H1164" s="97">
        <v>1.4139999999999999</v>
      </c>
    </row>
    <row r="1165" spans="2:8" x14ac:dyDescent="0.25">
      <c r="B1165" s="97">
        <v>1.419</v>
      </c>
      <c r="C1165" s="98">
        <v>150</v>
      </c>
      <c r="D1165" s="98">
        <v>53.72</v>
      </c>
      <c r="E1165" s="100">
        <v>0.14319999999999999</v>
      </c>
      <c r="F1165" s="100">
        <f t="shared" si="17"/>
        <v>6.983240223463687</v>
      </c>
      <c r="G1165" s="97">
        <v>690.4</v>
      </c>
      <c r="H1165" s="97">
        <v>1.419</v>
      </c>
    </row>
    <row r="1166" spans="2:8" x14ac:dyDescent="0.25">
      <c r="B1166" s="97">
        <v>1.4239999999999999</v>
      </c>
      <c r="C1166" t="s">
        <v>374</v>
      </c>
      <c r="D1166" t="s">
        <v>374</v>
      </c>
      <c r="E1166" t="s">
        <v>374</v>
      </c>
      <c r="F1166" t="s">
        <v>374</v>
      </c>
      <c r="G1166" t="s">
        <v>374</v>
      </c>
      <c r="H1166" t="s">
        <v>374</v>
      </c>
    </row>
    <row r="1169" spans="1:8" ht="15.75" x14ac:dyDescent="0.25">
      <c r="A1169" s="92">
        <v>59.731000000000002</v>
      </c>
      <c r="C1169" s="109" t="s">
        <v>406</v>
      </c>
      <c r="D1169" s="101"/>
      <c r="E1169" s="110"/>
      <c r="F1169" s="101"/>
      <c r="G1169" s="110"/>
    </row>
    <row r="1170" spans="1:8" x14ac:dyDescent="0.25">
      <c r="B1170" s="96" t="s">
        <v>266</v>
      </c>
      <c r="C1170" s="96" t="s">
        <v>375</v>
      </c>
      <c r="D1170" s="96" t="s">
        <v>380</v>
      </c>
      <c r="E1170" s="96" t="s">
        <v>381</v>
      </c>
      <c r="F1170" s="96" t="s">
        <v>382</v>
      </c>
      <c r="G1170" s="96" t="s">
        <v>265</v>
      </c>
      <c r="H1170" s="96" t="s">
        <v>266</v>
      </c>
    </row>
    <row r="1171" spans="1:8" x14ac:dyDescent="0.25">
      <c r="B1171" s="96" t="s">
        <v>383</v>
      </c>
      <c r="C1171" s="96" t="s">
        <v>384</v>
      </c>
      <c r="D1171" s="96" t="s">
        <v>385</v>
      </c>
      <c r="E1171" s="96" t="s">
        <v>386</v>
      </c>
      <c r="F1171" s="96" t="s">
        <v>387</v>
      </c>
      <c r="G1171" s="96" t="s">
        <v>388</v>
      </c>
      <c r="H1171" s="96" t="s">
        <v>383</v>
      </c>
    </row>
    <row r="1172" spans="1:8" x14ac:dyDescent="0.25">
      <c r="B1172" s="97">
        <v>-2.5559999999999999E-2</v>
      </c>
      <c r="C1172" s="98">
        <v>-50</v>
      </c>
      <c r="D1172" s="98">
        <v>59.73</v>
      </c>
      <c r="E1172" s="99">
        <v>43.51</v>
      </c>
      <c r="F1172" s="99">
        <f t="shared" ref="F1172:F1212" si="18">1/E1172</f>
        <v>2.2983222247759137E-2</v>
      </c>
      <c r="G1172" s="97">
        <v>-10.39</v>
      </c>
      <c r="H1172" s="97">
        <v>-2.5559999999999999E-2</v>
      </c>
    </row>
    <row r="1173" spans="1:8" x14ac:dyDescent="0.25">
      <c r="B1173" s="97">
        <v>-1.2829999999999999E-2</v>
      </c>
      <c r="C1173" s="98">
        <v>-45</v>
      </c>
      <c r="D1173" s="98">
        <v>59.73</v>
      </c>
      <c r="E1173" s="99">
        <v>43.3</v>
      </c>
      <c r="F1173" s="99">
        <f t="shared" si="18"/>
        <v>2.3094688221709007E-2</v>
      </c>
      <c r="G1173" s="97">
        <v>-5.1390000000000002</v>
      </c>
      <c r="H1173" s="97">
        <v>-1.2829999999999999E-2</v>
      </c>
    </row>
    <row r="1174" spans="1:8" x14ac:dyDescent="0.25">
      <c r="B1174" s="97">
        <v>-2.1000000000000001E-4</v>
      </c>
      <c r="C1174" s="98">
        <v>-40</v>
      </c>
      <c r="D1174" s="98">
        <v>59.73</v>
      </c>
      <c r="E1174" s="99">
        <v>43.09</v>
      </c>
      <c r="F1174" s="99">
        <f t="shared" si="18"/>
        <v>2.3207240659085634E-2</v>
      </c>
      <c r="G1174" s="97">
        <v>0.12509999999999999</v>
      </c>
      <c r="H1174" s="97">
        <v>-2.1000000000000001E-4</v>
      </c>
    </row>
    <row r="1175" spans="1:8" x14ac:dyDescent="0.25">
      <c r="B1175" s="97">
        <v>1.23E-2</v>
      </c>
      <c r="C1175" s="98">
        <v>-35</v>
      </c>
      <c r="D1175" s="98">
        <v>59.73</v>
      </c>
      <c r="E1175" s="99">
        <v>42.88</v>
      </c>
      <c r="F1175" s="99">
        <f t="shared" si="18"/>
        <v>2.3320895522388058E-2</v>
      </c>
      <c r="G1175" s="97">
        <v>5.407</v>
      </c>
      <c r="H1175" s="97">
        <v>1.23E-2</v>
      </c>
    </row>
    <row r="1176" spans="1:8" x14ac:dyDescent="0.25">
      <c r="B1176" s="97">
        <v>2.4709999999999999E-2</v>
      </c>
      <c r="C1176" s="98">
        <v>-30</v>
      </c>
      <c r="D1176" s="98">
        <v>59.73</v>
      </c>
      <c r="E1176" s="99">
        <v>42.67</v>
      </c>
      <c r="F1176" s="99">
        <f t="shared" si="18"/>
        <v>2.343566908835247E-2</v>
      </c>
      <c r="G1176" s="97">
        <v>10.71</v>
      </c>
      <c r="H1176" s="97">
        <v>2.4709999999999999E-2</v>
      </c>
    </row>
    <row r="1177" spans="1:8" x14ac:dyDescent="0.25">
      <c r="B1177" s="97">
        <v>3.7010000000000001E-2</v>
      </c>
      <c r="C1177" s="98">
        <v>-25</v>
      </c>
      <c r="D1177" s="98">
        <v>59.73</v>
      </c>
      <c r="E1177" s="99">
        <v>42.45</v>
      </c>
      <c r="F1177" s="99">
        <f t="shared" si="18"/>
        <v>2.3557126030624261E-2</v>
      </c>
      <c r="G1177" s="97">
        <v>16.02</v>
      </c>
      <c r="H1177" s="97">
        <v>3.7010000000000001E-2</v>
      </c>
    </row>
    <row r="1178" spans="1:8" x14ac:dyDescent="0.25">
      <c r="B1178" s="97">
        <v>4.9200000000000001E-2</v>
      </c>
      <c r="C1178" s="98">
        <v>-20</v>
      </c>
      <c r="D1178" s="98">
        <v>59.73</v>
      </c>
      <c r="E1178" s="100">
        <v>42.24</v>
      </c>
      <c r="F1178" s="100">
        <f t="shared" si="18"/>
        <v>2.3674242424242424E-2</v>
      </c>
      <c r="G1178" s="97">
        <v>21.35</v>
      </c>
      <c r="H1178" s="97">
        <v>4.9200000000000001E-2</v>
      </c>
    </row>
    <row r="1179" spans="1:8" x14ac:dyDescent="0.25">
      <c r="B1179" s="97">
        <v>6.13E-2</v>
      </c>
      <c r="C1179" s="98">
        <v>-15</v>
      </c>
      <c r="D1179" s="98">
        <v>59.73</v>
      </c>
      <c r="E1179" s="99">
        <v>42.02</v>
      </c>
      <c r="F1179" s="99">
        <f t="shared" si="18"/>
        <v>2.3798191337458353E-2</v>
      </c>
      <c r="G1179" s="97">
        <v>26.7</v>
      </c>
      <c r="H1179" s="97">
        <v>6.13E-2</v>
      </c>
    </row>
    <row r="1180" spans="1:8" x14ac:dyDescent="0.25">
      <c r="B1180" s="97">
        <v>7.3300000000000004E-2</v>
      </c>
      <c r="C1180" s="98">
        <v>-10</v>
      </c>
      <c r="D1180" s="98">
        <v>59.73</v>
      </c>
      <c r="E1180" s="100">
        <v>41.8</v>
      </c>
      <c r="F1180" s="100">
        <f t="shared" si="18"/>
        <v>2.3923444976076555E-2</v>
      </c>
      <c r="G1180" s="97">
        <v>32.07</v>
      </c>
      <c r="H1180" s="97">
        <v>7.3300000000000004E-2</v>
      </c>
    </row>
    <row r="1181" spans="1:8" x14ac:dyDescent="0.25">
      <c r="B1181" s="97">
        <v>8.5199999999999998E-2</v>
      </c>
      <c r="C1181" s="98">
        <v>-5</v>
      </c>
      <c r="D1181" s="98">
        <v>59.73</v>
      </c>
      <c r="E1181" s="99">
        <v>41.58</v>
      </c>
      <c r="F1181" s="99">
        <f t="shared" si="18"/>
        <v>2.4050024050024051E-2</v>
      </c>
      <c r="G1181" s="97">
        <v>37.450000000000003</v>
      </c>
      <c r="H1181" s="97">
        <v>8.5199999999999998E-2</v>
      </c>
    </row>
    <row r="1182" spans="1:8" x14ac:dyDescent="0.25">
      <c r="B1182" s="97">
        <v>9.7000000000000003E-2</v>
      </c>
      <c r="C1182" s="98">
        <v>0</v>
      </c>
      <c r="D1182" s="98">
        <v>59.73</v>
      </c>
      <c r="E1182" s="100">
        <v>41.35</v>
      </c>
      <c r="F1182" s="100">
        <f t="shared" si="18"/>
        <v>2.4183796856106408E-2</v>
      </c>
      <c r="G1182" s="97">
        <v>42.84</v>
      </c>
      <c r="H1182" s="97">
        <v>9.7000000000000003E-2</v>
      </c>
    </row>
    <row r="1183" spans="1:8" x14ac:dyDescent="0.25">
      <c r="B1183" s="97">
        <v>0.1087</v>
      </c>
      <c r="C1183" s="98">
        <v>5</v>
      </c>
      <c r="D1183" s="98">
        <v>59.73</v>
      </c>
      <c r="E1183" s="99">
        <v>41.12</v>
      </c>
      <c r="F1183" s="99">
        <f t="shared" si="18"/>
        <v>2.4319066147859923E-2</v>
      </c>
      <c r="G1183" s="97">
        <v>48.26</v>
      </c>
      <c r="H1183" s="97">
        <v>0.1087</v>
      </c>
    </row>
    <row r="1184" spans="1:8" x14ac:dyDescent="0.25">
      <c r="B1184" s="97">
        <v>0.1203</v>
      </c>
      <c r="C1184" s="98">
        <v>10</v>
      </c>
      <c r="D1184" s="98">
        <v>59.73</v>
      </c>
      <c r="E1184" s="100">
        <v>40.9</v>
      </c>
      <c r="F1184" s="100">
        <f t="shared" si="18"/>
        <v>2.4449877750611249E-2</v>
      </c>
      <c r="G1184" s="97">
        <v>53.69</v>
      </c>
      <c r="H1184" s="97">
        <v>0.1203</v>
      </c>
    </row>
    <row r="1185" spans="2:8" x14ac:dyDescent="0.25">
      <c r="B1185" s="97">
        <v>0.13189999999999999</v>
      </c>
      <c r="C1185" s="98">
        <v>15</v>
      </c>
      <c r="D1185" s="98">
        <v>59.73</v>
      </c>
      <c r="E1185" s="99">
        <v>40.67</v>
      </c>
      <c r="F1185" s="99">
        <f t="shared" si="18"/>
        <v>2.4588148512417012E-2</v>
      </c>
      <c r="G1185" s="97">
        <v>59.14</v>
      </c>
      <c r="H1185" s="97">
        <v>0.13189999999999999</v>
      </c>
    </row>
    <row r="1186" spans="2:8" x14ac:dyDescent="0.25">
      <c r="B1186" s="97">
        <v>0.14330000000000001</v>
      </c>
      <c r="C1186" s="98">
        <v>20</v>
      </c>
      <c r="D1186" s="98">
        <v>59.73</v>
      </c>
      <c r="E1186" s="100">
        <v>40.43</v>
      </c>
      <c r="F1186" s="100">
        <f t="shared" si="18"/>
        <v>2.4734108335394508E-2</v>
      </c>
      <c r="G1186" s="97">
        <v>64.599999999999994</v>
      </c>
      <c r="H1186" s="97">
        <v>0.14330000000000001</v>
      </c>
    </row>
    <row r="1187" spans="2:8" x14ac:dyDescent="0.25">
      <c r="B1187" s="97">
        <v>0.1547</v>
      </c>
      <c r="C1187" s="98">
        <v>25</v>
      </c>
      <c r="D1187" s="98">
        <v>59.73</v>
      </c>
      <c r="E1187" s="99">
        <v>40.200000000000003</v>
      </c>
      <c r="F1187" s="99">
        <f t="shared" si="18"/>
        <v>2.4875621890547261E-2</v>
      </c>
      <c r="G1187" s="97">
        <v>70.08</v>
      </c>
      <c r="H1187" s="97">
        <v>0.1547</v>
      </c>
    </row>
    <row r="1188" spans="2:8" x14ac:dyDescent="0.25">
      <c r="B1188" s="97">
        <v>0.16600000000000001</v>
      </c>
      <c r="C1188" s="98">
        <v>30</v>
      </c>
      <c r="D1188" s="98">
        <v>59.73</v>
      </c>
      <c r="E1188" s="100">
        <v>39.96</v>
      </c>
      <c r="F1188" s="100">
        <f t="shared" si="18"/>
        <v>2.5025025025025023E-2</v>
      </c>
      <c r="G1188" s="97">
        <v>75.59</v>
      </c>
      <c r="H1188" s="97">
        <v>0.16600000000000001</v>
      </c>
    </row>
    <row r="1189" spans="2:8" x14ac:dyDescent="0.25">
      <c r="B1189" s="97">
        <v>1.2849999999999999</v>
      </c>
      <c r="C1189" s="98">
        <v>35</v>
      </c>
      <c r="D1189" s="98">
        <v>59.73</v>
      </c>
      <c r="E1189" s="99">
        <v>0.2046</v>
      </c>
      <c r="F1189" s="99">
        <f t="shared" si="18"/>
        <v>4.8875855327468232</v>
      </c>
      <c r="G1189" s="97">
        <v>623.5</v>
      </c>
      <c r="H1189" s="97">
        <v>1.2849999999999999</v>
      </c>
    </row>
    <row r="1190" spans="2:8" x14ac:dyDescent="0.25">
      <c r="B1190" s="97">
        <v>1.2909999999999999</v>
      </c>
      <c r="C1190" s="98">
        <v>40</v>
      </c>
      <c r="D1190" s="98">
        <v>59.73</v>
      </c>
      <c r="E1190" s="100">
        <v>0.20200000000000001</v>
      </c>
      <c r="F1190" s="100">
        <f t="shared" si="18"/>
        <v>4.9504950495049505</v>
      </c>
      <c r="G1190" s="97">
        <v>626.6</v>
      </c>
      <c r="H1190" s="97">
        <v>1.2909999999999999</v>
      </c>
    </row>
    <row r="1191" spans="2:8" x14ac:dyDescent="0.25">
      <c r="B1191" s="97">
        <v>1.2969999999999999</v>
      </c>
      <c r="C1191" s="98">
        <v>45</v>
      </c>
      <c r="D1191" s="98">
        <v>59.73</v>
      </c>
      <c r="E1191" s="99">
        <v>0.19939999999999999</v>
      </c>
      <c r="F1191" s="99">
        <f t="shared" si="18"/>
        <v>5.0150451354062184</v>
      </c>
      <c r="G1191" s="97">
        <v>629.70000000000005</v>
      </c>
      <c r="H1191" s="97">
        <v>1.2969999999999999</v>
      </c>
    </row>
    <row r="1192" spans="2:8" x14ac:dyDescent="0.25">
      <c r="B1192" s="97">
        <v>1.3029999999999999</v>
      </c>
      <c r="C1192" s="98">
        <v>50</v>
      </c>
      <c r="D1192" s="98">
        <v>59.73</v>
      </c>
      <c r="E1192" s="100">
        <v>0.19689999999999999</v>
      </c>
      <c r="F1192" s="100">
        <f t="shared" si="18"/>
        <v>5.078720162519045</v>
      </c>
      <c r="G1192" s="97">
        <v>632.70000000000005</v>
      </c>
      <c r="H1192" s="97">
        <v>1.3029999999999999</v>
      </c>
    </row>
    <row r="1193" spans="2:8" x14ac:dyDescent="0.25">
      <c r="B1193" s="97">
        <v>1.3089999999999999</v>
      </c>
      <c r="C1193" s="98">
        <v>55</v>
      </c>
      <c r="D1193" s="98">
        <v>59.73</v>
      </c>
      <c r="E1193" s="99">
        <v>0.19450000000000001</v>
      </c>
      <c r="F1193" s="99">
        <f t="shared" si="18"/>
        <v>5.1413881748071981</v>
      </c>
      <c r="G1193" s="97">
        <v>635.70000000000005</v>
      </c>
      <c r="H1193" s="97">
        <v>1.3089999999999999</v>
      </c>
    </row>
    <row r="1194" spans="2:8" x14ac:dyDescent="0.25">
      <c r="B1194" s="97">
        <v>1.3149999999999999</v>
      </c>
      <c r="C1194" s="98">
        <v>60</v>
      </c>
      <c r="D1194" s="98">
        <v>59.73</v>
      </c>
      <c r="E1194" s="100">
        <v>0.19220000000000001</v>
      </c>
      <c r="F1194" s="100">
        <f t="shared" si="18"/>
        <v>5.2029136316337148</v>
      </c>
      <c r="G1194" s="97">
        <v>638.70000000000005</v>
      </c>
      <c r="H1194" s="97">
        <v>1.3149999999999999</v>
      </c>
    </row>
    <row r="1195" spans="2:8" x14ac:dyDescent="0.25">
      <c r="B1195" s="97">
        <v>1.321</v>
      </c>
      <c r="C1195" s="98">
        <v>65</v>
      </c>
      <c r="D1195" s="98">
        <v>59.73</v>
      </c>
      <c r="E1195" s="99">
        <v>0.19</v>
      </c>
      <c r="F1195" s="99">
        <f t="shared" si="18"/>
        <v>5.2631578947368425</v>
      </c>
      <c r="G1195" s="97">
        <v>641.6</v>
      </c>
      <c r="H1195" s="97">
        <v>1.321</v>
      </c>
    </row>
    <row r="1196" spans="2:8" x14ac:dyDescent="0.25">
      <c r="B1196" s="97">
        <v>1.3260000000000001</v>
      </c>
      <c r="C1196" s="98">
        <v>70</v>
      </c>
      <c r="D1196" s="98">
        <v>59.73</v>
      </c>
      <c r="E1196" s="100">
        <v>0.18779999999999999</v>
      </c>
      <c r="F1196" s="100">
        <f t="shared" si="18"/>
        <v>5.3248136315228969</v>
      </c>
      <c r="G1196" s="97">
        <v>644.6</v>
      </c>
      <c r="H1196" s="97">
        <v>1.3260000000000001</v>
      </c>
    </row>
    <row r="1197" spans="2:8" x14ac:dyDescent="0.25">
      <c r="B1197" s="97">
        <v>1.3320000000000001</v>
      </c>
      <c r="C1197" s="98">
        <v>75</v>
      </c>
      <c r="D1197" s="98">
        <v>59.73</v>
      </c>
      <c r="E1197" s="99">
        <v>0.1857</v>
      </c>
      <c r="F1197" s="99">
        <f t="shared" si="18"/>
        <v>5.3850296176628971</v>
      </c>
      <c r="G1197" s="97">
        <v>647.5</v>
      </c>
      <c r="H1197" s="97">
        <v>1.3320000000000001</v>
      </c>
    </row>
    <row r="1198" spans="2:8" x14ac:dyDescent="0.25">
      <c r="B1198" s="97">
        <v>1.337</v>
      </c>
      <c r="C1198" s="98">
        <v>80</v>
      </c>
      <c r="D1198" s="98">
        <v>59.73</v>
      </c>
      <c r="E1198" s="100">
        <v>0.18360000000000001</v>
      </c>
      <c r="F1198" s="100">
        <f t="shared" si="18"/>
        <v>5.4466230936819171</v>
      </c>
      <c r="G1198" s="97">
        <v>650.4</v>
      </c>
      <c r="H1198" s="97">
        <v>1.337</v>
      </c>
    </row>
    <row r="1199" spans="2:8" x14ac:dyDescent="0.25">
      <c r="B1199" s="97">
        <v>1.3420000000000001</v>
      </c>
      <c r="C1199" s="98">
        <v>85</v>
      </c>
      <c r="D1199" s="98">
        <v>59.73</v>
      </c>
      <c r="E1199" s="99">
        <v>0.18160000000000001</v>
      </c>
      <c r="F1199" s="99">
        <f t="shared" si="18"/>
        <v>5.5066079295154182</v>
      </c>
      <c r="G1199" s="97">
        <v>653.20000000000005</v>
      </c>
      <c r="H1199" s="97">
        <v>1.3420000000000001</v>
      </c>
    </row>
    <row r="1200" spans="2:8" x14ac:dyDescent="0.25">
      <c r="B1200" s="97">
        <v>1.347</v>
      </c>
      <c r="C1200" s="98">
        <v>90</v>
      </c>
      <c r="D1200" s="98">
        <v>59.73</v>
      </c>
      <c r="E1200" s="100">
        <v>0.1797</v>
      </c>
      <c r="F1200" s="100">
        <f t="shared" si="18"/>
        <v>5.5648302726766836</v>
      </c>
      <c r="G1200" s="97">
        <v>656.1</v>
      </c>
      <c r="H1200" s="97">
        <v>1.347</v>
      </c>
    </row>
    <row r="1201" spans="1:8" x14ac:dyDescent="0.25">
      <c r="B1201" s="97">
        <v>1.353</v>
      </c>
      <c r="C1201" s="98">
        <v>95</v>
      </c>
      <c r="D1201" s="98">
        <v>59.73</v>
      </c>
      <c r="E1201" s="99">
        <v>0.17780000000000001</v>
      </c>
      <c r="F1201" s="99">
        <f t="shared" si="18"/>
        <v>5.6242969628796393</v>
      </c>
      <c r="G1201" s="97">
        <v>658.9</v>
      </c>
      <c r="H1201" s="97">
        <v>1.353</v>
      </c>
    </row>
    <row r="1202" spans="1:8" x14ac:dyDescent="0.25">
      <c r="B1202" s="97">
        <v>1.3580000000000001</v>
      </c>
      <c r="C1202" s="98">
        <v>100</v>
      </c>
      <c r="D1202" s="98">
        <v>59.73</v>
      </c>
      <c r="E1202" s="100">
        <v>0.1759</v>
      </c>
      <c r="F1202" s="100">
        <f t="shared" si="18"/>
        <v>5.6850483229107445</v>
      </c>
      <c r="G1202" s="97">
        <v>661.8</v>
      </c>
      <c r="H1202" s="97">
        <v>1.3580000000000001</v>
      </c>
    </row>
    <row r="1203" spans="1:8" x14ac:dyDescent="0.25">
      <c r="B1203" s="97">
        <v>1.363</v>
      </c>
      <c r="C1203" s="98">
        <v>105</v>
      </c>
      <c r="D1203" s="98">
        <v>59.73</v>
      </c>
      <c r="E1203" s="99">
        <v>0.1741</v>
      </c>
      <c r="F1203" s="99">
        <f t="shared" si="18"/>
        <v>5.7438253877082133</v>
      </c>
      <c r="G1203" s="97">
        <v>664.6</v>
      </c>
      <c r="H1203" s="97">
        <v>1.363</v>
      </c>
    </row>
    <row r="1204" spans="1:8" x14ac:dyDescent="0.25">
      <c r="B1204" s="97">
        <v>1.3680000000000001</v>
      </c>
      <c r="C1204" s="98">
        <v>110</v>
      </c>
      <c r="D1204" s="98">
        <v>59.73</v>
      </c>
      <c r="E1204" s="100">
        <v>0.1724</v>
      </c>
      <c r="F1204" s="100">
        <f t="shared" si="18"/>
        <v>5.8004640371229703</v>
      </c>
      <c r="G1204" s="97">
        <v>667.4</v>
      </c>
      <c r="H1204" s="97">
        <v>1.3680000000000001</v>
      </c>
    </row>
    <row r="1205" spans="1:8" x14ac:dyDescent="0.25">
      <c r="B1205" s="97">
        <v>1.373</v>
      </c>
      <c r="C1205" s="98">
        <v>115</v>
      </c>
      <c r="D1205" s="98">
        <v>59.73</v>
      </c>
      <c r="E1205" s="99">
        <v>0.17069999999999999</v>
      </c>
      <c r="F1205" s="99">
        <f t="shared" si="18"/>
        <v>5.8582308142940835</v>
      </c>
      <c r="G1205" s="97">
        <v>670.2</v>
      </c>
      <c r="H1205" s="97">
        <v>1.373</v>
      </c>
    </row>
    <row r="1206" spans="1:8" x14ac:dyDescent="0.25">
      <c r="B1206" s="97">
        <v>1.377</v>
      </c>
      <c r="C1206" s="98">
        <v>120</v>
      </c>
      <c r="D1206" s="98">
        <v>59.73</v>
      </c>
      <c r="E1206" s="100">
        <v>0.16900000000000001</v>
      </c>
      <c r="F1206" s="100">
        <f t="shared" si="18"/>
        <v>5.9171597633136095</v>
      </c>
      <c r="G1206" s="97">
        <v>673</v>
      </c>
      <c r="H1206" s="97">
        <v>1.377</v>
      </c>
    </row>
    <row r="1207" spans="1:8" x14ac:dyDescent="0.25">
      <c r="B1207" s="97">
        <v>1.3819999999999999</v>
      </c>
      <c r="C1207" s="98">
        <v>125</v>
      </c>
      <c r="D1207" s="98">
        <v>59.73</v>
      </c>
      <c r="E1207" s="99">
        <v>0.16739999999999999</v>
      </c>
      <c r="F1207" s="99">
        <f t="shared" si="18"/>
        <v>5.9737156511350058</v>
      </c>
      <c r="G1207" s="97">
        <v>675.8</v>
      </c>
      <c r="H1207" s="97">
        <v>1.3819999999999999</v>
      </c>
    </row>
    <row r="1208" spans="1:8" x14ac:dyDescent="0.25">
      <c r="B1208" s="97">
        <v>1.387</v>
      </c>
      <c r="C1208" s="98">
        <v>130</v>
      </c>
      <c r="D1208" s="98">
        <v>59.73</v>
      </c>
      <c r="E1208" s="100">
        <v>0.1658</v>
      </c>
      <c r="F1208" s="100">
        <f t="shared" si="18"/>
        <v>6.0313630880579012</v>
      </c>
      <c r="G1208" s="97">
        <v>678.6</v>
      </c>
      <c r="H1208" s="97">
        <v>1.387</v>
      </c>
    </row>
    <row r="1209" spans="1:8" x14ac:dyDescent="0.25">
      <c r="B1209" s="97">
        <v>1.3919999999999999</v>
      </c>
      <c r="C1209" s="98">
        <v>135</v>
      </c>
      <c r="D1209" s="98">
        <v>59.73</v>
      </c>
      <c r="E1209" s="99">
        <v>0.16420000000000001</v>
      </c>
      <c r="F1209" s="99">
        <f t="shared" si="18"/>
        <v>6.0901339829476244</v>
      </c>
      <c r="G1209" s="97">
        <v>681.4</v>
      </c>
      <c r="H1209" s="97">
        <v>1.3919999999999999</v>
      </c>
    </row>
    <row r="1210" spans="1:8" x14ac:dyDescent="0.25">
      <c r="B1210" s="97">
        <v>1.3959999999999999</v>
      </c>
      <c r="C1210" s="98">
        <v>140</v>
      </c>
      <c r="D1210" s="98">
        <v>59.73</v>
      </c>
      <c r="E1210" s="100">
        <v>0.16270000000000001</v>
      </c>
      <c r="F1210" s="100">
        <f t="shared" si="18"/>
        <v>6.1462814996926856</v>
      </c>
      <c r="G1210" s="97">
        <v>684.1</v>
      </c>
      <c r="H1210" s="97">
        <v>1.3959999999999999</v>
      </c>
    </row>
    <row r="1211" spans="1:8" x14ac:dyDescent="0.25">
      <c r="B1211" s="97">
        <v>1.401</v>
      </c>
      <c r="C1211" s="98">
        <v>145</v>
      </c>
      <c r="D1211" s="98">
        <v>59.73</v>
      </c>
      <c r="E1211" s="99">
        <v>0.16120000000000001</v>
      </c>
      <c r="F1211" s="99">
        <f t="shared" si="18"/>
        <v>6.2034739454094288</v>
      </c>
      <c r="G1211" s="97">
        <v>686.9</v>
      </c>
      <c r="H1211" s="97">
        <v>1.401</v>
      </c>
    </row>
    <row r="1212" spans="1:8" x14ac:dyDescent="0.25">
      <c r="B1212" s="97">
        <v>1.405</v>
      </c>
      <c r="C1212" s="98">
        <v>150</v>
      </c>
      <c r="D1212" s="98">
        <v>59.73</v>
      </c>
      <c r="E1212" s="100">
        <v>0.15970000000000001</v>
      </c>
      <c r="F1212" s="100">
        <f t="shared" si="18"/>
        <v>6.261740763932373</v>
      </c>
      <c r="G1212" s="97">
        <v>689.7</v>
      </c>
      <c r="H1212" s="97">
        <v>1.405</v>
      </c>
    </row>
    <row r="1213" spans="1:8" x14ac:dyDescent="0.25">
      <c r="B1213" s="97">
        <v>1.41</v>
      </c>
      <c r="C1213" t="s">
        <v>374</v>
      </c>
      <c r="D1213" t="s">
        <v>374</v>
      </c>
      <c r="E1213" t="s">
        <v>374</v>
      </c>
      <c r="F1213" t="s">
        <v>374</v>
      </c>
      <c r="G1213" t="s">
        <v>374</v>
      </c>
      <c r="H1213" t="s">
        <v>374</v>
      </c>
    </row>
    <row r="1216" spans="1:8" ht="15.75" x14ac:dyDescent="0.25">
      <c r="A1216" s="92">
        <v>60</v>
      </c>
      <c r="C1216" s="109" t="s">
        <v>407</v>
      </c>
      <c r="D1216" s="101"/>
      <c r="E1216" s="110"/>
      <c r="F1216" s="110"/>
      <c r="G1216" s="111"/>
    </row>
    <row r="1217" spans="2:8" x14ac:dyDescent="0.25">
      <c r="B1217" s="96" t="s">
        <v>266</v>
      </c>
      <c r="C1217" s="96" t="s">
        <v>375</v>
      </c>
      <c r="D1217" s="96" t="s">
        <v>380</v>
      </c>
      <c r="E1217" s="96" t="s">
        <v>381</v>
      </c>
      <c r="F1217" s="96" t="s">
        <v>382</v>
      </c>
      <c r="G1217" s="96" t="s">
        <v>265</v>
      </c>
      <c r="H1217" s="96" t="s">
        <v>266</v>
      </c>
    </row>
    <row r="1218" spans="2:8" x14ac:dyDescent="0.25">
      <c r="B1218" s="96" t="s">
        <v>383</v>
      </c>
      <c r="C1218" s="96" t="s">
        <v>384</v>
      </c>
      <c r="D1218" s="96" t="s">
        <v>385</v>
      </c>
      <c r="E1218" s="96" t="s">
        <v>386</v>
      </c>
      <c r="F1218" s="96" t="s">
        <v>387</v>
      </c>
      <c r="G1218" s="96" t="s">
        <v>388</v>
      </c>
      <c r="H1218" s="96" t="s">
        <v>383</v>
      </c>
    </row>
    <row r="1219" spans="2:8" x14ac:dyDescent="0.25">
      <c r="B1219" s="97">
        <v>9.7004000000000007E-2</v>
      </c>
      <c r="C1219" s="98">
        <v>0</v>
      </c>
      <c r="D1219" s="98">
        <v>60</v>
      </c>
      <c r="E1219" s="99">
        <v>41.351157999999998</v>
      </c>
      <c r="F1219" s="99">
        <f t="shared" ref="F1219:F1259" si="19">1/E1219</f>
        <v>2.4183119611789348E-2</v>
      </c>
      <c r="G1219" s="97">
        <v>42.845429000000003</v>
      </c>
      <c r="H1219" s="97">
        <v>9.7004000000000007E-2</v>
      </c>
    </row>
    <row r="1220" spans="2:8" x14ac:dyDescent="0.25">
      <c r="B1220" s="97">
        <v>0.108718</v>
      </c>
      <c r="C1220" s="98">
        <v>5</v>
      </c>
      <c r="D1220" s="98">
        <v>60</v>
      </c>
      <c r="E1220" s="99">
        <v>41.124541999999998</v>
      </c>
      <c r="F1220" s="99">
        <f t="shared" si="19"/>
        <v>2.431638022862358E-2</v>
      </c>
      <c r="G1220" s="97">
        <v>48.259571999999999</v>
      </c>
      <c r="H1220" s="97">
        <v>0.108718</v>
      </c>
    </row>
    <row r="1221" spans="2:8" x14ac:dyDescent="0.25">
      <c r="B1221" s="97">
        <v>0.12034300000000001</v>
      </c>
      <c r="C1221" s="98">
        <v>10</v>
      </c>
      <c r="D1221" s="98">
        <v>60</v>
      </c>
      <c r="E1221" s="99">
        <v>40.895887999999999</v>
      </c>
      <c r="F1221" s="99">
        <f t="shared" si="19"/>
        <v>2.4452336137070797E-2</v>
      </c>
      <c r="G1221" s="97">
        <v>53.690348</v>
      </c>
      <c r="H1221" s="97">
        <v>0.12034300000000001</v>
      </c>
    </row>
    <row r="1222" spans="2:8" x14ac:dyDescent="0.25">
      <c r="B1222" s="97">
        <v>0.131881</v>
      </c>
      <c r="C1222" s="98">
        <v>15</v>
      </c>
      <c r="D1222" s="98">
        <v>60</v>
      </c>
      <c r="E1222" s="99">
        <v>40.665143</v>
      </c>
      <c r="F1222" s="99">
        <f t="shared" si="19"/>
        <v>2.4591085293859657E-2</v>
      </c>
      <c r="G1222" s="97">
        <v>59.137985</v>
      </c>
      <c r="H1222" s="97">
        <v>0.131881</v>
      </c>
    </row>
    <row r="1223" spans="2:8" x14ac:dyDescent="0.25">
      <c r="B1223" s="97">
        <v>0.14333299999999999</v>
      </c>
      <c r="C1223" s="98">
        <v>20</v>
      </c>
      <c r="D1223" s="98">
        <v>60</v>
      </c>
      <c r="E1223" s="99">
        <v>40.432245999999999</v>
      </c>
      <c r="F1223" s="99">
        <f t="shared" si="19"/>
        <v>2.4732734362567937E-2</v>
      </c>
      <c r="G1223" s="97">
        <v>64.602788000000004</v>
      </c>
      <c r="H1223" s="97">
        <v>0.14333299999999999</v>
      </c>
    </row>
    <row r="1224" spans="2:8" x14ac:dyDescent="0.25">
      <c r="B1224" s="97">
        <v>0.15470400000000001</v>
      </c>
      <c r="C1224" s="98">
        <v>25</v>
      </c>
      <c r="D1224" s="98">
        <v>60</v>
      </c>
      <c r="E1224" s="99">
        <v>40.197125</v>
      </c>
      <c r="F1224" s="99">
        <f t="shared" si="19"/>
        <v>2.4877401057911482E-2</v>
      </c>
      <c r="G1224" s="97">
        <v>70.085144999999997</v>
      </c>
      <c r="H1224" s="97">
        <v>0.15470400000000001</v>
      </c>
    </row>
    <row r="1225" spans="2:8" x14ac:dyDescent="0.25">
      <c r="B1225" s="97">
        <v>0.165994</v>
      </c>
      <c r="C1225" s="98">
        <v>30</v>
      </c>
      <c r="D1225" s="98">
        <v>60</v>
      </c>
      <c r="E1225" s="99">
        <v>39.959701000000003</v>
      </c>
      <c r="F1225" s="99">
        <f t="shared" si="19"/>
        <v>2.5025212275737497E-2</v>
      </c>
      <c r="G1225" s="97">
        <v>75.585526000000002</v>
      </c>
      <c r="H1225" s="97">
        <v>0.165994</v>
      </c>
    </row>
    <row r="1226" spans="2:8" x14ac:dyDescent="0.25">
      <c r="B1226" s="97">
        <v>1.284197</v>
      </c>
      <c r="C1226" s="98">
        <v>35</v>
      </c>
      <c r="D1226" s="98">
        <v>60</v>
      </c>
      <c r="E1226" s="99">
        <v>0.20563100000000001</v>
      </c>
      <c r="F1226" s="99">
        <f t="shared" si="19"/>
        <v>4.8630799830764815</v>
      </c>
      <c r="G1226" s="97">
        <v>623.39061300000003</v>
      </c>
      <c r="H1226" s="97">
        <v>1.284197</v>
      </c>
    </row>
    <row r="1227" spans="2:8" x14ac:dyDescent="0.25">
      <c r="B1227" s="97">
        <v>1.29047</v>
      </c>
      <c r="C1227" s="98">
        <v>40</v>
      </c>
      <c r="D1227" s="98">
        <v>60</v>
      </c>
      <c r="E1227" s="99">
        <v>0.20294599999999999</v>
      </c>
      <c r="F1227" s="99">
        <f t="shared" si="19"/>
        <v>4.9274191164152041</v>
      </c>
      <c r="G1227" s="97">
        <v>626.50932399999999</v>
      </c>
      <c r="H1227" s="97">
        <v>1.29047</v>
      </c>
    </row>
    <row r="1228" spans="2:8" x14ac:dyDescent="0.25">
      <c r="B1228" s="97">
        <v>1.296602</v>
      </c>
      <c r="C1228" s="98">
        <v>45</v>
      </c>
      <c r="D1228" s="98">
        <v>60</v>
      </c>
      <c r="E1228" s="99">
        <v>0.20035900000000001</v>
      </c>
      <c r="F1228" s="99">
        <f t="shared" si="19"/>
        <v>4.9910410812591399</v>
      </c>
      <c r="G1228" s="97">
        <v>629.58819200000005</v>
      </c>
      <c r="H1228" s="97">
        <v>1.296602</v>
      </c>
    </row>
    <row r="1229" spans="2:8" x14ac:dyDescent="0.25">
      <c r="B1229" s="97">
        <v>1.302602</v>
      </c>
      <c r="C1229" s="98">
        <v>50</v>
      </c>
      <c r="D1229" s="98">
        <v>60</v>
      </c>
      <c r="E1229" s="99">
        <v>0.19786200000000001</v>
      </c>
      <c r="F1229" s="99">
        <f t="shared" si="19"/>
        <v>5.0540275545582274</v>
      </c>
      <c r="G1229" s="97">
        <v>632.63131399999997</v>
      </c>
      <c r="H1229" s="97">
        <v>1.302602</v>
      </c>
    </row>
    <row r="1230" spans="2:8" x14ac:dyDescent="0.25">
      <c r="B1230" s="97">
        <v>1.308481</v>
      </c>
      <c r="C1230" s="98">
        <v>55</v>
      </c>
      <c r="D1230" s="98">
        <v>60</v>
      </c>
      <c r="E1230" s="99">
        <v>0.19544900000000001</v>
      </c>
      <c r="F1230" s="99">
        <f t="shared" si="19"/>
        <v>5.1164242334317391</v>
      </c>
      <c r="G1230" s="97">
        <v>635.64231299999994</v>
      </c>
      <c r="H1230" s="97">
        <v>1.308481</v>
      </c>
    </row>
    <row r="1231" spans="2:8" x14ac:dyDescent="0.25">
      <c r="B1231" s="97">
        <v>1.3142469999999999</v>
      </c>
      <c r="C1231" s="98">
        <v>60</v>
      </c>
      <c r="D1231" s="98">
        <v>60</v>
      </c>
      <c r="E1231" s="99">
        <v>0.19311500000000001</v>
      </c>
      <c r="F1231" s="99">
        <f t="shared" si="19"/>
        <v>5.1782616575615563</v>
      </c>
      <c r="G1231" s="97">
        <v>638.624413</v>
      </c>
      <c r="H1231" s="97">
        <v>1.3142469999999999</v>
      </c>
    </row>
    <row r="1232" spans="2:8" x14ac:dyDescent="0.25">
      <c r="B1232" s="97">
        <v>1.3199080000000001</v>
      </c>
      <c r="C1232" s="98">
        <v>65</v>
      </c>
      <c r="D1232" s="98">
        <v>60</v>
      </c>
      <c r="E1232" s="99">
        <v>0.190854</v>
      </c>
      <c r="F1232" s="99">
        <f t="shared" si="19"/>
        <v>5.2396072390413613</v>
      </c>
      <c r="G1232" s="97">
        <v>641.58049100000005</v>
      </c>
      <c r="H1232" s="97">
        <v>1.3199080000000001</v>
      </c>
    </row>
    <row r="1233" spans="2:8" x14ac:dyDescent="0.25">
      <c r="B1233" s="97">
        <v>1.3254710000000001</v>
      </c>
      <c r="C1233" s="98">
        <v>70</v>
      </c>
      <c r="D1233" s="98">
        <v>60</v>
      </c>
      <c r="E1233" s="99">
        <v>0.188662</v>
      </c>
      <c r="F1233" s="99">
        <f t="shared" si="19"/>
        <v>5.3004844642800357</v>
      </c>
      <c r="G1233" s="97">
        <v>644.51312800000005</v>
      </c>
      <c r="H1233" s="97">
        <v>1.3254710000000001</v>
      </c>
    </row>
    <row r="1234" spans="2:8" x14ac:dyDescent="0.25">
      <c r="B1234" s="97">
        <v>1.330943</v>
      </c>
      <c r="C1234" s="98">
        <v>75</v>
      </c>
      <c r="D1234" s="98">
        <v>60</v>
      </c>
      <c r="E1234" s="99">
        <v>0.18653500000000001</v>
      </c>
      <c r="F1234" s="99">
        <f t="shared" si="19"/>
        <v>5.3609242233361032</v>
      </c>
      <c r="G1234" s="97">
        <v>647.42464399999994</v>
      </c>
      <c r="H1234" s="97">
        <v>1.330943</v>
      </c>
    </row>
    <row r="1235" spans="2:8" x14ac:dyDescent="0.25">
      <c r="B1235" s="97">
        <v>1.336327</v>
      </c>
      <c r="C1235" s="98">
        <v>80</v>
      </c>
      <c r="D1235" s="98">
        <v>60</v>
      </c>
      <c r="E1235" s="99">
        <v>0.18446899999999999</v>
      </c>
      <c r="F1235" s="99">
        <f t="shared" si="19"/>
        <v>5.4209650401964558</v>
      </c>
      <c r="G1235" s="97">
        <v>650.31713300000001</v>
      </c>
      <c r="H1235" s="97">
        <v>1.336327</v>
      </c>
    </row>
    <row r="1236" spans="2:8" x14ac:dyDescent="0.25">
      <c r="B1236" s="97">
        <v>1.341631</v>
      </c>
      <c r="C1236" s="98">
        <v>85</v>
      </c>
      <c r="D1236" s="98">
        <v>60</v>
      </c>
      <c r="E1236" s="99">
        <v>0.18246000000000001</v>
      </c>
      <c r="F1236" s="99">
        <f t="shared" si="19"/>
        <v>5.4806532938726296</v>
      </c>
      <c r="G1236" s="97">
        <v>653.19248800000003</v>
      </c>
      <c r="H1236" s="97">
        <v>1.341631</v>
      </c>
    </row>
    <row r="1237" spans="2:8" x14ac:dyDescent="0.25">
      <c r="B1237" s="97">
        <v>1.3468580000000001</v>
      </c>
      <c r="C1237" s="98">
        <v>90</v>
      </c>
      <c r="D1237" s="98">
        <v>60</v>
      </c>
      <c r="E1237" s="99">
        <v>0.180505</v>
      </c>
      <c r="F1237" s="99">
        <f t="shared" si="19"/>
        <v>5.5400127420293064</v>
      </c>
      <c r="G1237" s="97">
        <v>656.05242599999997</v>
      </c>
      <c r="H1237" s="97">
        <v>1.3468580000000001</v>
      </c>
    </row>
    <row r="1238" spans="2:8" x14ac:dyDescent="0.25">
      <c r="B1238" s="97">
        <v>1.352012</v>
      </c>
      <c r="C1238" s="98">
        <v>95</v>
      </c>
      <c r="D1238" s="98">
        <v>60</v>
      </c>
      <c r="E1238" s="99">
        <v>0.17860200000000001</v>
      </c>
      <c r="F1238" s="99">
        <f t="shared" si="19"/>
        <v>5.5990414441047687</v>
      </c>
      <c r="G1238" s="97">
        <v>658.89850999999999</v>
      </c>
      <c r="H1238" s="97">
        <v>1.352012</v>
      </c>
    </row>
    <row r="1239" spans="2:8" x14ac:dyDescent="0.25">
      <c r="B1239" s="97">
        <v>1.3570979999999999</v>
      </c>
      <c r="C1239" s="98">
        <v>100</v>
      </c>
      <c r="D1239" s="98">
        <v>60</v>
      </c>
      <c r="E1239" s="99">
        <v>0.17674899999999999</v>
      </c>
      <c r="F1239" s="99">
        <f t="shared" si="19"/>
        <v>5.6577406378536796</v>
      </c>
      <c r="G1239" s="97">
        <v>661.73216300000001</v>
      </c>
      <c r="H1239" s="97">
        <v>1.3570979999999999</v>
      </c>
    </row>
    <row r="1240" spans="2:8" x14ac:dyDescent="0.25">
      <c r="B1240" s="97">
        <v>1.3621190000000001</v>
      </c>
      <c r="C1240" s="98">
        <v>105</v>
      </c>
      <c r="D1240" s="98">
        <v>60</v>
      </c>
      <c r="E1240" s="99">
        <v>0.17494100000000001</v>
      </c>
      <c r="F1240" s="99">
        <f t="shared" si="19"/>
        <v>5.7162128946330473</v>
      </c>
      <c r="G1240" s="97">
        <v>664.55468199999996</v>
      </c>
      <c r="H1240" s="97">
        <v>1.3621190000000001</v>
      </c>
    </row>
    <row r="1241" spans="2:8" x14ac:dyDescent="0.25">
      <c r="B1241" s="97">
        <v>1.367078</v>
      </c>
      <c r="C1241" s="98">
        <v>110</v>
      </c>
      <c r="D1241" s="98">
        <v>60</v>
      </c>
      <c r="E1241" s="99">
        <v>0.173178</v>
      </c>
      <c r="F1241" s="99">
        <f t="shared" si="19"/>
        <v>5.7744055249512067</v>
      </c>
      <c r="G1241" s="97">
        <v>667.367257</v>
      </c>
      <c r="H1241" s="97">
        <v>1.367078</v>
      </c>
    </row>
    <row r="1242" spans="2:8" x14ac:dyDescent="0.25">
      <c r="B1242" s="97">
        <v>1.3719779999999999</v>
      </c>
      <c r="C1242" s="98">
        <v>115</v>
      </c>
      <c r="D1242" s="98">
        <v>60</v>
      </c>
      <c r="E1242" s="99">
        <v>0.171457</v>
      </c>
      <c r="F1242" s="99">
        <f t="shared" si="19"/>
        <v>5.8323661326163414</v>
      </c>
      <c r="G1242" s="97">
        <v>670.170976</v>
      </c>
      <c r="H1242" s="97">
        <v>1.3719779999999999</v>
      </c>
    </row>
    <row r="1243" spans="2:8" x14ac:dyDescent="0.25">
      <c r="B1243" s="97">
        <v>1.376822</v>
      </c>
      <c r="C1243" s="98">
        <v>120</v>
      </c>
      <c r="D1243" s="98">
        <v>60</v>
      </c>
      <c r="E1243" s="99">
        <v>0.16977700000000001</v>
      </c>
      <c r="F1243" s="99">
        <f t="shared" si="19"/>
        <v>5.8900793393687012</v>
      </c>
      <c r="G1243" s="97">
        <v>672.96684200000004</v>
      </c>
      <c r="H1243" s="97">
        <v>1.376822</v>
      </c>
    </row>
    <row r="1244" spans="2:8" x14ac:dyDescent="0.25">
      <c r="B1244" s="97">
        <v>1.381613</v>
      </c>
      <c r="C1244" s="98">
        <v>125</v>
      </c>
      <c r="D1244" s="98">
        <v>60</v>
      </c>
      <c r="E1244" s="99">
        <v>0.16813500000000001</v>
      </c>
      <c r="F1244" s="99">
        <f t="shared" si="19"/>
        <v>5.947601629642846</v>
      </c>
      <c r="G1244" s="97">
        <v>675.75577299999998</v>
      </c>
      <c r="H1244" s="97">
        <v>1.381613</v>
      </c>
    </row>
    <row r="1245" spans="2:8" x14ac:dyDescent="0.25">
      <c r="B1245" s="97">
        <v>1.386352</v>
      </c>
      <c r="C1245" s="98">
        <v>130</v>
      </c>
      <c r="D1245" s="98">
        <v>60</v>
      </c>
      <c r="E1245" s="99">
        <v>0.16653000000000001</v>
      </c>
      <c r="F1245" s="99">
        <f t="shared" si="19"/>
        <v>6.0049240377109223</v>
      </c>
      <c r="G1245" s="97">
        <v>678.53861900000004</v>
      </c>
      <c r="H1245" s="97">
        <v>1.386352</v>
      </c>
    </row>
    <row r="1246" spans="2:8" x14ac:dyDescent="0.25">
      <c r="B1246" s="97">
        <v>1.391043</v>
      </c>
      <c r="C1246" s="98">
        <v>135</v>
      </c>
      <c r="D1246" s="98">
        <v>60</v>
      </c>
      <c r="E1246" s="99">
        <v>0.164961</v>
      </c>
      <c r="F1246" s="99">
        <f t="shared" si="19"/>
        <v>6.0620389061657001</v>
      </c>
      <c r="G1246" s="97">
        <v>681.31616199999996</v>
      </c>
      <c r="H1246" s="97">
        <v>1.391043</v>
      </c>
    </row>
    <row r="1247" spans="2:8" x14ac:dyDescent="0.25">
      <c r="B1247" s="97">
        <v>1.395686</v>
      </c>
      <c r="C1247" s="98">
        <v>140</v>
      </c>
      <c r="D1247" s="98">
        <v>60</v>
      </c>
      <c r="E1247" s="99">
        <v>0.16342599999999999</v>
      </c>
      <c r="F1247" s="99">
        <f t="shared" si="19"/>
        <v>6.1189773964974981</v>
      </c>
      <c r="G1247" s="97">
        <v>684.08912699999996</v>
      </c>
      <c r="H1247" s="97">
        <v>1.395686</v>
      </c>
    </row>
    <row r="1248" spans="2:8" x14ac:dyDescent="0.25">
      <c r="B1248" s="97">
        <v>1.400285</v>
      </c>
      <c r="C1248" s="98">
        <v>145</v>
      </c>
      <c r="D1248" s="98">
        <v>60</v>
      </c>
      <c r="E1248" s="99">
        <v>0.16192400000000001</v>
      </c>
      <c r="F1248" s="99">
        <f t="shared" si="19"/>
        <v>6.1757367653961115</v>
      </c>
      <c r="G1248" s="97">
        <v>686.85818300000005</v>
      </c>
      <c r="H1248" s="97">
        <v>1.400285</v>
      </c>
    </row>
    <row r="1249" spans="1:8" x14ac:dyDescent="0.25">
      <c r="B1249" s="97">
        <v>1.4048400000000001</v>
      </c>
      <c r="C1249" s="98">
        <v>150</v>
      </c>
      <c r="D1249" s="98">
        <v>60</v>
      </c>
      <c r="E1249" s="99">
        <v>0.16045300000000001</v>
      </c>
      <c r="F1249" s="99">
        <f t="shared" si="19"/>
        <v>6.23235464590877</v>
      </c>
      <c r="G1249" s="97">
        <v>689.62395400000003</v>
      </c>
      <c r="H1249" s="97">
        <v>1.4048400000000001</v>
      </c>
    </row>
    <row r="1250" spans="1:8" x14ac:dyDescent="0.25">
      <c r="B1250" s="97">
        <v>1.4093530000000001</v>
      </c>
      <c r="C1250" s="98">
        <v>155</v>
      </c>
      <c r="D1250" s="98">
        <v>60</v>
      </c>
      <c r="E1250" s="99">
        <v>0.15901199999999999</v>
      </c>
      <c r="F1250" s="99">
        <f t="shared" si="19"/>
        <v>6.2888335471536747</v>
      </c>
      <c r="G1250" s="97">
        <v>692.38701600000002</v>
      </c>
      <c r="H1250" s="97">
        <v>1.4093530000000001</v>
      </c>
    </row>
    <row r="1251" spans="1:8" x14ac:dyDescent="0.25">
      <c r="B1251" s="97">
        <v>1.4138269999999999</v>
      </c>
      <c r="C1251" s="98">
        <v>160</v>
      </c>
      <c r="D1251" s="98">
        <v>60</v>
      </c>
      <c r="E1251" s="99">
        <v>0.15759999999999999</v>
      </c>
      <c r="F1251" s="99">
        <f t="shared" si="19"/>
        <v>6.3451776649746199</v>
      </c>
      <c r="G1251" s="97">
        <v>695.14790700000003</v>
      </c>
      <c r="H1251" s="97">
        <v>1.4138269999999999</v>
      </c>
    </row>
    <row r="1252" spans="1:8" x14ac:dyDescent="0.25">
      <c r="B1252" s="97">
        <v>1.4182619999999999</v>
      </c>
      <c r="C1252" s="98">
        <v>165</v>
      </c>
      <c r="D1252" s="98">
        <v>60</v>
      </c>
      <c r="E1252" s="99">
        <v>0.15621699999999999</v>
      </c>
      <c r="F1252" s="99">
        <f t="shared" si="19"/>
        <v>6.4013519655351212</v>
      </c>
      <c r="G1252" s="97">
        <v>697.90712699999995</v>
      </c>
      <c r="H1252" s="97">
        <v>1.4182619999999999</v>
      </c>
    </row>
    <row r="1253" spans="1:8" x14ac:dyDescent="0.25">
      <c r="B1253" s="97">
        <v>1.4226589999999999</v>
      </c>
      <c r="C1253" s="98">
        <v>170</v>
      </c>
      <c r="D1253" s="98">
        <v>60</v>
      </c>
      <c r="E1253" s="99">
        <v>0.154861</v>
      </c>
      <c r="F1253" s="99">
        <f t="shared" si="19"/>
        <v>6.4574037362538022</v>
      </c>
      <c r="G1253" s="97">
        <v>700.66514400000005</v>
      </c>
      <c r="H1253" s="97">
        <v>1.4226589999999999</v>
      </c>
    </row>
    <row r="1254" spans="1:8" x14ac:dyDescent="0.25">
      <c r="B1254" s="97">
        <v>1.4270210000000001</v>
      </c>
      <c r="C1254" s="98">
        <v>175</v>
      </c>
      <c r="D1254" s="98">
        <v>60</v>
      </c>
      <c r="E1254" s="99">
        <v>0.153531</v>
      </c>
      <c r="F1254" s="99">
        <f t="shared" si="19"/>
        <v>6.5133425822798001</v>
      </c>
      <c r="G1254" s="97">
        <v>703.42239199999995</v>
      </c>
      <c r="H1254" s="97">
        <v>1.4270210000000001</v>
      </c>
    </row>
    <row r="1255" spans="1:8" x14ac:dyDescent="0.25">
      <c r="B1255" s="97">
        <v>1.4313480000000001</v>
      </c>
      <c r="C1255" s="98">
        <v>180</v>
      </c>
      <c r="D1255" s="98">
        <v>60</v>
      </c>
      <c r="E1255" s="99">
        <v>0.152226</v>
      </c>
      <c r="F1255" s="99">
        <f t="shared" si="19"/>
        <v>6.5691800349480376</v>
      </c>
      <c r="G1255" s="97">
        <v>706.17927999999995</v>
      </c>
      <c r="H1255" s="97">
        <v>1.4313480000000001</v>
      </c>
    </row>
    <row r="1256" spans="1:8" x14ac:dyDescent="0.25">
      <c r="B1256" s="97">
        <v>1.4356409999999999</v>
      </c>
      <c r="C1256" s="98">
        <v>185</v>
      </c>
      <c r="D1256" s="98">
        <v>60</v>
      </c>
      <c r="E1256" s="99">
        <v>0.150946</v>
      </c>
      <c r="F1256" s="99">
        <f t="shared" si="19"/>
        <v>6.6248857207213181</v>
      </c>
      <c r="G1256" s="97">
        <v>708.93618900000001</v>
      </c>
      <c r="H1256" s="97">
        <v>1.4356409999999999</v>
      </c>
    </row>
    <row r="1257" spans="1:8" x14ac:dyDescent="0.25">
      <c r="B1257" s="97">
        <v>1.4399010000000001</v>
      </c>
      <c r="C1257" s="98">
        <v>190</v>
      </c>
      <c r="D1257" s="98">
        <v>60</v>
      </c>
      <c r="E1257" s="99">
        <v>0.14968899999999999</v>
      </c>
      <c r="F1257" s="99">
        <f t="shared" si="19"/>
        <v>6.6805176065041527</v>
      </c>
      <c r="G1257" s="97">
        <v>711.69347800000003</v>
      </c>
      <c r="H1257" s="97">
        <v>1.4399010000000001</v>
      </c>
    </row>
    <row r="1258" spans="1:8" x14ac:dyDescent="0.25">
      <c r="B1258" s="97">
        <v>1.4441299999999999</v>
      </c>
      <c r="C1258" s="98">
        <v>195</v>
      </c>
      <c r="D1258" s="98">
        <v>60</v>
      </c>
      <c r="E1258" s="99">
        <v>0.148456</v>
      </c>
      <c r="F1258" s="99">
        <f t="shared" si="19"/>
        <v>6.7360025866249931</v>
      </c>
      <c r="G1258" s="97">
        <v>714.45148099999994</v>
      </c>
      <c r="H1258" s="97">
        <v>1.4441299999999999</v>
      </c>
    </row>
    <row r="1259" spans="1:8" x14ac:dyDescent="0.25">
      <c r="B1259" s="97">
        <v>1.448329</v>
      </c>
      <c r="C1259" s="98">
        <v>200</v>
      </c>
      <c r="D1259" s="98">
        <v>60</v>
      </c>
      <c r="E1259" s="99">
        <v>0.14724400000000001</v>
      </c>
      <c r="F1259" s="99">
        <f t="shared" si="19"/>
        <v>6.7914482084159618</v>
      </c>
      <c r="G1259" s="97">
        <v>717.21051599999998</v>
      </c>
      <c r="H1259" s="97">
        <v>1.448329</v>
      </c>
    </row>
    <row r="1260" spans="1:8" x14ac:dyDescent="0.25">
      <c r="B1260" s="97">
        <v>1.452</v>
      </c>
      <c r="C1260" t="s">
        <v>374</v>
      </c>
      <c r="D1260" t="s">
        <v>374</v>
      </c>
      <c r="E1260" t="s">
        <v>374</v>
      </c>
      <c r="F1260" t="s">
        <v>374</v>
      </c>
      <c r="G1260" t="s">
        <v>374</v>
      </c>
      <c r="H1260" t="s">
        <v>374</v>
      </c>
    </row>
    <row r="1263" spans="1:8" ht="15.75" x14ac:dyDescent="0.25">
      <c r="A1263" s="92">
        <v>66.254999999999995</v>
      </c>
      <c r="C1263" s="109" t="s">
        <v>408</v>
      </c>
      <c r="D1263" s="101"/>
      <c r="E1263" s="110"/>
      <c r="F1263" s="101"/>
      <c r="G1263" s="110"/>
    </row>
    <row r="1264" spans="1:8" x14ac:dyDescent="0.25">
      <c r="B1264" s="96" t="s">
        <v>266</v>
      </c>
      <c r="C1264" s="96" t="s">
        <v>375</v>
      </c>
      <c r="D1264" s="96" t="s">
        <v>380</v>
      </c>
      <c r="E1264" s="96" t="s">
        <v>381</v>
      </c>
      <c r="F1264" s="96" t="s">
        <v>382</v>
      </c>
      <c r="G1264" s="96" t="s">
        <v>265</v>
      </c>
      <c r="H1264" s="96" t="s">
        <v>266</v>
      </c>
    </row>
    <row r="1265" spans="2:8" x14ac:dyDescent="0.25">
      <c r="B1265" s="96" t="s">
        <v>383</v>
      </c>
      <c r="C1265" s="96" t="s">
        <v>384</v>
      </c>
      <c r="D1265" s="96" t="s">
        <v>385</v>
      </c>
      <c r="E1265" s="96" t="s">
        <v>386</v>
      </c>
      <c r="F1265" s="96" t="s">
        <v>387</v>
      </c>
      <c r="G1265" s="96" t="s">
        <v>388</v>
      </c>
      <c r="H1265" s="96" t="s">
        <v>383</v>
      </c>
    </row>
    <row r="1266" spans="2:8" x14ac:dyDescent="0.25">
      <c r="B1266" s="97">
        <v>-2.5579999999999999E-2</v>
      </c>
      <c r="C1266" s="98">
        <v>-50</v>
      </c>
      <c r="D1266" s="98">
        <v>66.260000000000005</v>
      </c>
      <c r="E1266" s="99">
        <v>43.51</v>
      </c>
      <c r="F1266" s="99">
        <f t="shared" ref="F1266:F1306" si="20">1/E1266</f>
        <v>2.2983222247759137E-2</v>
      </c>
      <c r="G1266" s="97">
        <v>-10.37</v>
      </c>
      <c r="H1266" s="97">
        <v>-2.5579999999999999E-2</v>
      </c>
    </row>
    <row r="1267" spans="2:8" x14ac:dyDescent="0.25">
      <c r="B1267" s="97">
        <v>-1.285E-2</v>
      </c>
      <c r="C1267" s="98">
        <v>-45</v>
      </c>
      <c r="D1267" s="98">
        <v>66.260000000000005</v>
      </c>
      <c r="E1267" s="99">
        <v>43.31</v>
      </c>
      <c r="F1267" s="99">
        <f t="shared" si="20"/>
        <v>2.3089355806972984E-2</v>
      </c>
      <c r="G1267" s="97">
        <v>-5.1219999999999999</v>
      </c>
      <c r="H1267" s="97">
        <v>-1.285E-2</v>
      </c>
    </row>
    <row r="1268" spans="2:8" x14ac:dyDescent="0.25">
      <c r="B1268" s="97">
        <v>-2.3000000000000001E-4</v>
      </c>
      <c r="C1268" s="98">
        <v>-40</v>
      </c>
      <c r="D1268" s="98">
        <v>66.260000000000005</v>
      </c>
      <c r="E1268" s="99">
        <v>43.1</v>
      </c>
      <c r="F1268" s="99">
        <f t="shared" si="20"/>
        <v>2.3201856148491878E-2</v>
      </c>
      <c r="G1268" s="97">
        <v>0.1416</v>
      </c>
      <c r="H1268" s="97">
        <v>-2.3000000000000001E-4</v>
      </c>
    </row>
    <row r="1269" spans="2:8" x14ac:dyDescent="0.25">
      <c r="B1269" s="97">
        <v>1.2279999999999999E-2</v>
      </c>
      <c r="C1269" s="98">
        <v>-35</v>
      </c>
      <c r="D1269" s="98">
        <v>66.260000000000005</v>
      </c>
      <c r="E1269" s="99">
        <v>42.88</v>
      </c>
      <c r="F1269" s="99">
        <f t="shared" si="20"/>
        <v>2.3320895522388058E-2</v>
      </c>
      <c r="G1269" s="97">
        <v>5.423</v>
      </c>
      <c r="H1269" s="97">
        <v>1.2279999999999999E-2</v>
      </c>
    </row>
    <row r="1270" spans="2:8" x14ac:dyDescent="0.25">
      <c r="B1270" s="97">
        <v>2.4680000000000001E-2</v>
      </c>
      <c r="C1270" s="98">
        <v>-30</v>
      </c>
      <c r="D1270" s="98">
        <v>66.260000000000005</v>
      </c>
      <c r="E1270" s="99">
        <v>42.67</v>
      </c>
      <c r="F1270" s="99">
        <f t="shared" si="20"/>
        <v>2.343566908835247E-2</v>
      </c>
      <c r="G1270" s="97">
        <v>10.72</v>
      </c>
      <c r="H1270" s="97">
        <v>2.4680000000000001E-2</v>
      </c>
    </row>
    <row r="1271" spans="2:8" x14ac:dyDescent="0.25">
      <c r="B1271" s="97">
        <v>3.6979999999999999E-2</v>
      </c>
      <c r="C1271" s="98">
        <v>-25</v>
      </c>
      <c r="D1271" s="98">
        <v>66.260000000000005</v>
      </c>
      <c r="E1271" s="99">
        <v>42.46</v>
      </c>
      <c r="F1271" s="99">
        <f t="shared" si="20"/>
        <v>2.3551577955723033E-2</v>
      </c>
      <c r="G1271" s="97">
        <v>16.04</v>
      </c>
      <c r="H1271" s="97">
        <v>3.6979999999999999E-2</v>
      </c>
    </row>
    <row r="1272" spans="2:8" x14ac:dyDescent="0.25">
      <c r="B1272" s="97">
        <v>4.9169999999999998E-2</v>
      </c>
      <c r="C1272" s="98">
        <v>-20</v>
      </c>
      <c r="D1272" s="98">
        <v>66.260000000000005</v>
      </c>
      <c r="E1272" s="100">
        <v>42.24</v>
      </c>
      <c r="F1272" s="100">
        <f t="shared" si="20"/>
        <v>2.3674242424242424E-2</v>
      </c>
      <c r="G1272" s="97">
        <v>21.37</v>
      </c>
      <c r="H1272" s="97">
        <v>4.9169999999999998E-2</v>
      </c>
    </row>
    <row r="1273" spans="2:8" x14ac:dyDescent="0.25">
      <c r="B1273" s="97">
        <v>6.1269999999999998E-2</v>
      </c>
      <c r="C1273" s="98">
        <v>-15</v>
      </c>
      <c r="D1273" s="98">
        <v>66.260000000000005</v>
      </c>
      <c r="E1273" s="99">
        <v>42.02</v>
      </c>
      <c r="F1273" s="99">
        <f t="shared" si="20"/>
        <v>2.3798191337458353E-2</v>
      </c>
      <c r="G1273" s="97">
        <v>26.72</v>
      </c>
      <c r="H1273" s="97">
        <v>6.1269999999999998E-2</v>
      </c>
    </row>
    <row r="1274" spans="2:8" x14ac:dyDescent="0.25">
      <c r="B1274" s="97">
        <v>7.3270000000000002E-2</v>
      </c>
      <c r="C1274" s="98">
        <v>-10</v>
      </c>
      <c r="D1274" s="98">
        <v>66.260000000000005</v>
      </c>
      <c r="E1274" s="100">
        <v>41.8</v>
      </c>
      <c r="F1274" s="100">
        <f t="shared" si="20"/>
        <v>2.3923444976076555E-2</v>
      </c>
      <c r="G1274" s="97">
        <v>32.08</v>
      </c>
      <c r="H1274" s="97">
        <v>7.3270000000000002E-2</v>
      </c>
    </row>
    <row r="1275" spans="2:8" x14ac:dyDescent="0.25">
      <c r="B1275" s="97">
        <v>8.5169999999999996E-2</v>
      </c>
      <c r="C1275" s="98">
        <v>-5</v>
      </c>
      <c r="D1275" s="98">
        <v>66.260000000000005</v>
      </c>
      <c r="E1275" s="99">
        <v>41.58</v>
      </c>
      <c r="F1275" s="99">
        <f t="shared" si="20"/>
        <v>2.4050024050024051E-2</v>
      </c>
      <c r="G1275" s="97">
        <v>37.46</v>
      </c>
      <c r="H1275" s="97">
        <v>8.5169999999999996E-2</v>
      </c>
    </row>
    <row r="1276" spans="2:8" x14ac:dyDescent="0.25">
      <c r="B1276" s="97">
        <v>9.6970000000000001E-2</v>
      </c>
      <c r="C1276" s="98">
        <v>0</v>
      </c>
      <c r="D1276" s="98">
        <v>66.260000000000005</v>
      </c>
      <c r="E1276" s="100">
        <v>41.35</v>
      </c>
      <c r="F1276" s="100">
        <f t="shared" si="20"/>
        <v>2.4183796856106408E-2</v>
      </c>
      <c r="G1276" s="97">
        <v>42.86</v>
      </c>
      <c r="H1276" s="97">
        <v>9.6970000000000001E-2</v>
      </c>
    </row>
    <row r="1277" spans="2:8" x14ac:dyDescent="0.25">
      <c r="B1277" s="97">
        <v>0.1087</v>
      </c>
      <c r="C1277" s="98">
        <v>5</v>
      </c>
      <c r="D1277" s="98">
        <v>66.260000000000005</v>
      </c>
      <c r="E1277" s="99">
        <v>41.13</v>
      </c>
      <c r="F1277" s="99">
        <f t="shared" si="20"/>
        <v>2.4313153415998053E-2</v>
      </c>
      <c r="G1277" s="97">
        <v>48.27</v>
      </c>
      <c r="H1277" s="97">
        <v>0.1087</v>
      </c>
    </row>
    <row r="1278" spans="2:8" x14ac:dyDescent="0.25">
      <c r="B1278" s="97">
        <v>0.1203</v>
      </c>
      <c r="C1278" s="98">
        <v>10</v>
      </c>
      <c r="D1278" s="98">
        <v>66.260000000000005</v>
      </c>
      <c r="E1278" s="100">
        <v>40.9</v>
      </c>
      <c r="F1278" s="100">
        <f t="shared" si="20"/>
        <v>2.4449877750611249E-2</v>
      </c>
      <c r="G1278" s="97">
        <v>53.7</v>
      </c>
      <c r="H1278" s="97">
        <v>0.1203</v>
      </c>
    </row>
    <row r="1279" spans="2:8" x14ac:dyDescent="0.25">
      <c r="B1279" s="97">
        <v>0.1318</v>
      </c>
      <c r="C1279" s="98">
        <v>15</v>
      </c>
      <c r="D1279" s="98">
        <v>66.260000000000005</v>
      </c>
      <c r="E1279" s="99">
        <v>40.67</v>
      </c>
      <c r="F1279" s="99">
        <f t="shared" si="20"/>
        <v>2.4588148512417012E-2</v>
      </c>
      <c r="G1279" s="97">
        <v>59.15</v>
      </c>
      <c r="H1279" s="97">
        <v>0.1318</v>
      </c>
    </row>
    <row r="1280" spans="2:8" x14ac:dyDescent="0.25">
      <c r="B1280" s="97">
        <v>0.14330000000000001</v>
      </c>
      <c r="C1280" s="98">
        <v>20</v>
      </c>
      <c r="D1280" s="98">
        <v>66.260000000000005</v>
      </c>
      <c r="E1280" s="100">
        <v>40.43</v>
      </c>
      <c r="F1280" s="100">
        <f t="shared" si="20"/>
        <v>2.4734108335394508E-2</v>
      </c>
      <c r="G1280" s="97">
        <v>64.62</v>
      </c>
      <c r="H1280" s="97">
        <v>0.14330000000000001</v>
      </c>
    </row>
    <row r="1281" spans="2:8" x14ac:dyDescent="0.25">
      <c r="B1281" s="97">
        <v>0.1547</v>
      </c>
      <c r="C1281" s="98">
        <v>25</v>
      </c>
      <c r="D1281" s="98">
        <v>66.260000000000005</v>
      </c>
      <c r="E1281" s="99">
        <v>40.200000000000003</v>
      </c>
      <c r="F1281" s="99">
        <f t="shared" si="20"/>
        <v>2.4875621890547261E-2</v>
      </c>
      <c r="G1281" s="97">
        <v>70.099999999999994</v>
      </c>
      <c r="H1281" s="97">
        <v>0.1547</v>
      </c>
    </row>
    <row r="1282" spans="2:8" x14ac:dyDescent="0.25">
      <c r="B1282" s="97">
        <v>0.16600000000000001</v>
      </c>
      <c r="C1282" s="98">
        <v>30</v>
      </c>
      <c r="D1282" s="98">
        <v>66.260000000000005</v>
      </c>
      <c r="E1282" s="100">
        <v>39.96</v>
      </c>
      <c r="F1282" s="100">
        <f t="shared" si="20"/>
        <v>2.5025025025025023E-2</v>
      </c>
      <c r="G1282" s="97">
        <v>75.599999999999994</v>
      </c>
      <c r="H1282" s="97">
        <v>0.16600000000000001</v>
      </c>
    </row>
    <row r="1283" spans="2:8" x14ac:dyDescent="0.25">
      <c r="B1283" s="97">
        <v>1.27</v>
      </c>
      <c r="C1283" s="98">
        <v>35</v>
      </c>
      <c r="D1283" s="98">
        <v>66.260000000000005</v>
      </c>
      <c r="E1283" s="99">
        <v>0.22889999999999999</v>
      </c>
      <c r="F1283" s="99">
        <f t="shared" si="20"/>
        <v>4.3687199650502402</v>
      </c>
      <c r="G1283" s="97">
        <v>621.6</v>
      </c>
      <c r="H1283" s="97">
        <v>1.27</v>
      </c>
    </row>
    <row r="1284" spans="2:8" x14ac:dyDescent="0.25">
      <c r="B1284" s="97">
        <v>1.276</v>
      </c>
      <c r="C1284" s="98">
        <v>40</v>
      </c>
      <c r="D1284" s="98">
        <v>66.260000000000005</v>
      </c>
      <c r="E1284" s="100">
        <v>0.2258</v>
      </c>
      <c r="F1284" s="100">
        <f t="shared" si="20"/>
        <v>4.4286979627989371</v>
      </c>
      <c r="G1284" s="97">
        <v>624.79999999999995</v>
      </c>
      <c r="H1284" s="97">
        <v>1.276</v>
      </c>
    </row>
    <row r="1285" spans="2:8" x14ac:dyDescent="0.25">
      <c r="B1285" s="97">
        <v>1.2829999999999999</v>
      </c>
      <c r="C1285" s="98">
        <v>45</v>
      </c>
      <c r="D1285" s="98">
        <v>66.260000000000005</v>
      </c>
      <c r="E1285" s="99">
        <v>0.2228</v>
      </c>
      <c r="F1285" s="99">
        <f t="shared" si="20"/>
        <v>4.4883303411131061</v>
      </c>
      <c r="G1285" s="97">
        <v>628</v>
      </c>
      <c r="H1285" s="97">
        <v>1.2829999999999999</v>
      </c>
    </row>
    <row r="1286" spans="2:8" x14ac:dyDescent="0.25">
      <c r="B1286" s="97">
        <v>1.2889999999999999</v>
      </c>
      <c r="C1286" s="98">
        <v>50</v>
      </c>
      <c r="D1286" s="98">
        <v>66.260000000000005</v>
      </c>
      <c r="E1286" s="100">
        <v>0.22</v>
      </c>
      <c r="F1286" s="100">
        <f t="shared" si="20"/>
        <v>4.5454545454545459</v>
      </c>
      <c r="G1286" s="97">
        <v>631.1</v>
      </c>
      <c r="H1286" s="97">
        <v>1.2889999999999999</v>
      </c>
    </row>
    <row r="1287" spans="2:8" x14ac:dyDescent="0.25">
      <c r="B1287" s="97">
        <v>1.2949999999999999</v>
      </c>
      <c r="C1287" s="98">
        <v>55</v>
      </c>
      <c r="D1287" s="98">
        <v>66.260000000000005</v>
      </c>
      <c r="E1287" s="99">
        <v>0.2172</v>
      </c>
      <c r="F1287" s="99">
        <f t="shared" si="20"/>
        <v>4.6040515653775325</v>
      </c>
      <c r="G1287" s="97">
        <v>634.20000000000005</v>
      </c>
      <c r="H1287" s="97">
        <v>1.2949999999999999</v>
      </c>
    </row>
    <row r="1288" spans="2:8" x14ac:dyDescent="0.25">
      <c r="B1288" s="97">
        <v>1.3009999999999999</v>
      </c>
      <c r="C1288" s="98">
        <v>60</v>
      </c>
      <c r="D1288" s="98">
        <v>66.260000000000005</v>
      </c>
      <c r="E1288" s="100">
        <v>0.2145</v>
      </c>
      <c r="F1288" s="100">
        <f t="shared" si="20"/>
        <v>4.6620046620046622</v>
      </c>
      <c r="G1288" s="97">
        <v>637.20000000000005</v>
      </c>
      <c r="H1288" s="97">
        <v>1.3009999999999999</v>
      </c>
    </row>
    <row r="1289" spans="2:8" x14ac:dyDescent="0.25">
      <c r="B1289" s="97">
        <v>1.306</v>
      </c>
      <c r="C1289" s="98">
        <v>65</v>
      </c>
      <c r="D1289" s="98">
        <v>66.260000000000005</v>
      </c>
      <c r="E1289" s="99">
        <v>0.21199999999999999</v>
      </c>
      <c r="F1289" s="99">
        <f t="shared" si="20"/>
        <v>4.716981132075472</v>
      </c>
      <c r="G1289" s="97">
        <v>640.20000000000005</v>
      </c>
      <c r="H1289" s="97">
        <v>1.306</v>
      </c>
    </row>
    <row r="1290" spans="2:8" x14ac:dyDescent="0.25">
      <c r="B1290" s="97">
        <v>1.3120000000000001</v>
      </c>
      <c r="C1290" s="98">
        <v>70</v>
      </c>
      <c r="D1290" s="98">
        <v>66.260000000000005</v>
      </c>
      <c r="E1290" s="100">
        <v>0.20949999999999999</v>
      </c>
      <c r="F1290" s="100">
        <f t="shared" si="20"/>
        <v>4.7732696897374707</v>
      </c>
      <c r="G1290" s="97">
        <v>643.20000000000005</v>
      </c>
      <c r="H1290" s="97">
        <v>1.3120000000000001</v>
      </c>
    </row>
    <row r="1291" spans="2:8" x14ac:dyDescent="0.25">
      <c r="B1291" s="97">
        <v>1.3180000000000001</v>
      </c>
      <c r="C1291" s="98">
        <v>75</v>
      </c>
      <c r="D1291" s="98">
        <v>66.260000000000005</v>
      </c>
      <c r="E1291" s="99">
        <v>0.20710000000000001</v>
      </c>
      <c r="F1291" s="99">
        <f t="shared" si="20"/>
        <v>4.8285852245292125</v>
      </c>
      <c r="G1291" s="97">
        <v>646.20000000000005</v>
      </c>
      <c r="H1291" s="97">
        <v>1.3180000000000001</v>
      </c>
    </row>
    <row r="1292" spans="2:8" x14ac:dyDescent="0.25">
      <c r="B1292" s="97">
        <v>1.323</v>
      </c>
      <c r="C1292" s="98">
        <v>80</v>
      </c>
      <c r="D1292" s="98">
        <v>66.260000000000005</v>
      </c>
      <c r="E1292" s="100">
        <v>0.20469999999999999</v>
      </c>
      <c r="F1292" s="100">
        <f t="shared" si="20"/>
        <v>4.8851978505129461</v>
      </c>
      <c r="G1292" s="97">
        <v>649.1</v>
      </c>
      <c r="H1292" s="97">
        <v>1.323</v>
      </c>
    </row>
    <row r="1293" spans="2:8" x14ac:dyDescent="0.25">
      <c r="B1293" s="97">
        <v>1.3280000000000001</v>
      </c>
      <c r="C1293" s="98">
        <v>85</v>
      </c>
      <c r="D1293" s="98">
        <v>66.260000000000005</v>
      </c>
      <c r="E1293" s="99">
        <v>0.20250000000000001</v>
      </c>
      <c r="F1293" s="99">
        <f t="shared" si="20"/>
        <v>4.9382716049382713</v>
      </c>
      <c r="G1293" s="97">
        <v>652</v>
      </c>
      <c r="H1293" s="97">
        <v>1.3280000000000001</v>
      </c>
    </row>
    <row r="1294" spans="2:8" x14ac:dyDescent="0.25">
      <c r="B1294" s="97">
        <v>1.3340000000000001</v>
      </c>
      <c r="C1294" s="98">
        <v>90</v>
      </c>
      <c r="D1294" s="98">
        <v>66.260000000000005</v>
      </c>
      <c r="E1294" s="100">
        <v>0.20019999999999999</v>
      </c>
      <c r="F1294" s="100">
        <f t="shared" si="20"/>
        <v>4.9950049950049955</v>
      </c>
      <c r="G1294" s="97">
        <v>654.9</v>
      </c>
      <c r="H1294" s="97">
        <v>1.3340000000000001</v>
      </c>
    </row>
    <row r="1295" spans="2:8" x14ac:dyDescent="0.25">
      <c r="B1295" s="97">
        <v>1.339</v>
      </c>
      <c r="C1295" s="98">
        <v>95</v>
      </c>
      <c r="D1295" s="98">
        <v>66.260000000000005</v>
      </c>
      <c r="E1295" s="99">
        <v>0.1981</v>
      </c>
      <c r="F1295" s="99">
        <f t="shared" si="20"/>
        <v>5.0479555779909138</v>
      </c>
      <c r="G1295" s="97">
        <v>657.8</v>
      </c>
      <c r="H1295" s="97">
        <v>1.339</v>
      </c>
    </row>
    <row r="1296" spans="2:8" x14ac:dyDescent="0.25">
      <c r="B1296" s="97">
        <v>1.3440000000000001</v>
      </c>
      <c r="C1296" s="98">
        <v>100</v>
      </c>
      <c r="D1296" s="98">
        <v>66.260000000000005</v>
      </c>
      <c r="E1296" s="100">
        <v>0.19600000000000001</v>
      </c>
      <c r="F1296" s="100">
        <f t="shared" si="20"/>
        <v>5.1020408163265305</v>
      </c>
      <c r="G1296" s="97">
        <v>660.7</v>
      </c>
      <c r="H1296" s="97">
        <v>1.3440000000000001</v>
      </c>
    </row>
    <row r="1297" spans="1:8" x14ac:dyDescent="0.25">
      <c r="B1297" s="97">
        <v>1.349</v>
      </c>
      <c r="C1297" s="98">
        <v>105</v>
      </c>
      <c r="D1297" s="98">
        <v>66.260000000000005</v>
      </c>
      <c r="E1297" s="99">
        <v>0.19400000000000001</v>
      </c>
      <c r="F1297" s="99">
        <f t="shared" si="20"/>
        <v>5.1546391752577314</v>
      </c>
      <c r="G1297" s="97">
        <v>663.5</v>
      </c>
      <c r="H1297" s="97">
        <v>1.349</v>
      </c>
    </row>
    <row r="1298" spans="1:8" x14ac:dyDescent="0.25">
      <c r="B1298" s="97">
        <v>1.3540000000000001</v>
      </c>
      <c r="C1298" s="98">
        <v>110</v>
      </c>
      <c r="D1298" s="98">
        <v>66.260000000000005</v>
      </c>
      <c r="E1298" s="100">
        <v>0.192</v>
      </c>
      <c r="F1298" s="100">
        <f t="shared" si="20"/>
        <v>5.208333333333333</v>
      </c>
      <c r="G1298" s="97">
        <v>666.4</v>
      </c>
      <c r="H1298" s="97">
        <v>1.3540000000000001</v>
      </c>
    </row>
    <row r="1299" spans="1:8" x14ac:dyDescent="0.25">
      <c r="B1299" s="97">
        <v>1.359</v>
      </c>
      <c r="C1299" s="98">
        <v>115</v>
      </c>
      <c r="D1299" s="98">
        <v>66.260000000000005</v>
      </c>
      <c r="E1299" s="99">
        <v>0.19</v>
      </c>
      <c r="F1299" s="99">
        <f t="shared" si="20"/>
        <v>5.2631578947368425</v>
      </c>
      <c r="G1299" s="97">
        <v>669.2</v>
      </c>
      <c r="H1299" s="97">
        <v>1.359</v>
      </c>
    </row>
    <row r="1300" spans="1:8" x14ac:dyDescent="0.25">
      <c r="B1300" s="97">
        <v>1.3640000000000001</v>
      </c>
      <c r="C1300" s="98">
        <v>120</v>
      </c>
      <c r="D1300" s="98">
        <v>66.260000000000005</v>
      </c>
      <c r="E1300" s="100">
        <v>0.18820000000000001</v>
      </c>
      <c r="F1300" s="100">
        <f t="shared" si="20"/>
        <v>5.3134962805526031</v>
      </c>
      <c r="G1300" s="97">
        <v>672</v>
      </c>
      <c r="H1300" s="97">
        <v>1.3640000000000001</v>
      </c>
    </row>
    <row r="1301" spans="1:8" x14ac:dyDescent="0.25">
      <c r="B1301" s="97">
        <v>1.369</v>
      </c>
      <c r="C1301" s="98">
        <v>125</v>
      </c>
      <c r="D1301" s="98">
        <v>66.260000000000005</v>
      </c>
      <c r="E1301" s="99">
        <v>0.18629999999999999</v>
      </c>
      <c r="F1301" s="99">
        <f t="shared" si="20"/>
        <v>5.3676865271068168</v>
      </c>
      <c r="G1301" s="97">
        <v>674.9</v>
      </c>
      <c r="H1301" s="97">
        <v>1.369</v>
      </c>
    </row>
    <row r="1302" spans="1:8" x14ac:dyDescent="0.25">
      <c r="B1302" s="97">
        <v>1.3740000000000001</v>
      </c>
      <c r="C1302" s="98">
        <v>130</v>
      </c>
      <c r="D1302" s="98">
        <v>66.260000000000005</v>
      </c>
      <c r="E1302" s="100">
        <v>0.1845</v>
      </c>
      <c r="F1302" s="100">
        <f t="shared" si="20"/>
        <v>5.4200542005420056</v>
      </c>
      <c r="G1302" s="97">
        <v>677.7</v>
      </c>
      <c r="H1302" s="97">
        <v>1.3740000000000001</v>
      </c>
    </row>
    <row r="1303" spans="1:8" x14ac:dyDescent="0.25">
      <c r="B1303" s="97">
        <v>1.3779999999999999</v>
      </c>
      <c r="C1303" s="98">
        <v>135</v>
      </c>
      <c r="D1303" s="98">
        <v>66.260000000000005</v>
      </c>
      <c r="E1303" s="99">
        <v>0.18279999999999999</v>
      </c>
      <c r="F1303" s="99">
        <f t="shared" si="20"/>
        <v>5.4704595185995624</v>
      </c>
      <c r="G1303" s="97">
        <v>680.5</v>
      </c>
      <c r="H1303" s="97">
        <v>1.3779999999999999</v>
      </c>
    </row>
    <row r="1304" spans="1:8" x14ac:dyDescent="0.25">
      <c r="B1304" s="97">
        <v>1.383</v>
      </c>
      <c r="C1304" s="98">
        <v>140</v>
      </c>
      <c r="D1304" s="98">
        <v>66.260000000000005</v>
      </c>
      <c r="E1304" s="100">
        <v>0.18099999999999999</v>
      </c>
      <c r="F1304" s="100">
        <f t="shared" si="20"/>
        <v>5.5248618784530388</v>
      </c>
      <c r="G1304" s="97">
        <v>683.3</v>
      </c>
      <c r="H1304" s="97">
        <v>1.383</v>
      </c>
    </row>
    <row r="1305" spans="1:8" x14ac:dyDescent="0.25">
      <c r="B1305" s="97">
        <v>1.3879999999999999</v>
      </c>
      <c r="C1305" s="98">
        <v>145</v>
      </c>
      <c r="D1305" s="98">
        <v>66.260000000000005</v>
      </c>
      <c r="E1305" s="99">
        <v>0.17929999999999999</v>
      </c>
      <c r="F1305" s="99">
        <f t="shared" si="20"/>
        <v>5.5772448410485227</v>
      </c>
      <c r="G1305" s="97">
        <v>686.1</v>
      </c>
      <c r="H1305" s="97">
        <v>1.3879999999999999</v>
      </c>
    </row>
    <row r="1306" spans="1:8" x14ac:dyDescent="0.25">
      <c r="B1306" s="97">
        <v>1.3919999999999999</v>
      </c>
      <c r="C1306" s="98">
        <v>150</v>
      </c>
      <c r="D1306" s="98">
        <v>66.260000000000005</v>
      </c>
      <c r="E1306" s="100">
        <v>0.1777</v>
      </c>
      <c r="F1306" s="100">
        <f t="shared" si="20"/>
        <v>5.6274620146314014</v>
      </c>
      <c r="G1306" s="97">
        <v>688.9</v>
      </c>
      <c r="H1306" s="97">
        <v>1.3919999999999999</v>
      </c>
    </row>
    <row r="1307" spans="1:8" x14ac:dyDescent="0.25">
      <c r="B1307" s="97">
        <v>1.3959999999999999</v>
      </c>
      <c r="C1307" t="s">
        <v>374</v>
      </c>
      <c r="D1307" t="s">
        <v>374</v>
      </c>
      <c r="E1307" t="s">
        <v>374</v>
      </c>
      <c r="F1307" t="s">
        <v>374</v>
      </c>
      <c r="G1307" t="s">
        <v>374</v>
      </c>
      <c r="H1307" t="s">
        <v>374</v>
      </c>
    </row>
    <row r="1310" spans="1:8" ht="15.75" x14ac:dyDescent="0.25">
      <c r="A1310" s="92">
        <v>70</v>
      </c>
      <c r="C1310" s="109" t="s">
        <v>409</v>
      </c>
      <c r="D1310" s="101"/>
      <c r="E1310" s="110"/>
      <c r="F1310" s="110"/>
      <c r="G1310" s="111"/>
    </row>
    <row r="1311" spans="1:8" x14ac:dyDescent="0.25">
      <c r="B1311" s="96" t="s">
        <v>266</v>
      </c>
      <c r="C1311" s="96" t="s">
        <v>375</v>
      </c>
      <c r="D1311" s="96" t="s">
        <v>380</v>
      </c>
      <c r="E1311" s="96" t="s">
        <v>381</v>
      </c>
      <c r="F1311" s="96" t="s">
        <v>382</v>
      </c>
      <c r="G1311" s="96" t="s">
        <v>265</v>
      </c>
      <c r="H1311" s="96" t="s">
        <v>266</v>
      </c>
    </row>
    <row r="1312" spans="1:8" x14ac:dyDescent="0.25">
      <c r="B1312" s="96" t="s">
        <v>383</v>
      </c>
      <c r="C1312" s="96" t="s">
        <v>384</v>
      </c>
      <c r="D1312" s="96" t="s">
        <v>385</v>
      </c>
      <c r="E1312" s="96" t="s">
        <v>386</v>
      </c>
      <c r="F1312" s="96" t="s">
        <v>387</v>
      </c>
      <c r="G1312" s="96" t="s">
        <v>388</v>
      </c>
      <c r="H1312" s="96" t="s">
        <v>383</v>
      </c>
    </row>
    <row r="1313" spans="2:8" x14ac:dyDescent="0.25">
      <c r="B1313" s="97">
        <v>9.6955E-2</v>
      </c>
      <c r="C1313" s="98">
        <v>0</v>
      </c>
      <c r="D1313" s="98">
        <v>70</v>
      </c>
      <c r="E1313" s="99">
        <v>41.353659999999998</v>
      </c>
      <c r="F1313" s="99">
        <f t="shared" ref="F1313:F1353" si="21">1/E1313</f>
        <v>2.4181656472486355E-2</v>
      </c>
      <c r="G1313" s="97">
        <v>42.867750999999998</v>
      </c>
      <c r="H1313" s="97">
        <v>9.6955E-2</v>
      </c>
    </row>
    <row r="1314" spans="2:8" x14ac:dyDescent="0.25">
      <c r="B1314" s="97">
        <v>0.108668</v>
      </c>
      <c r="C1314" s="98">
        <v>5</v>
      </c>
      <c r="D1314" s="98">
        <v>70</v>
      </c>
      <c r="E1314" s="99">
        <v>41.127116999999998</v>
      </c>
      <c r="F1314" s="99">
        <f t="shared" si="21"/>
        <v>2.4314857761607751E-2</v>
      </c>
      <c r="G1314" s="97">
        <v>48.281441000000001</v>
      </c>
      <c r="H1314" s="97">
        <v>0.108668</v>
      </c>
    </row>
    <row r="1315" spans="2:8" x14ac:dyDescent="0.25">
      <c r="B1315" s="97">
        <v>0.120292</v>
      </c>
      <c r="C1315" s="98">
        <v>10</v>
      </c>
      <c r="D1315" s="98">
        <v>70</v>
      </c>
      <c r="E1315" s="99">
        <v>40.898539</v>
      </c>
      <c r="F1315" s="99">
        <f t="shared" si="21"/>
        <v>2.4450751162529302E-2</v>
      </c>
      <c r="G1315" s="97">
        <v>53.711742999999998</v>
      </c>
      <c r="H1315" s="97">
        <v>0.120292</v>
      </c>
    </row>
    <row r="1316" spans="2:8" x14ac:dyDescent="0.25">
      <c r="B1316" s="97">
        <v>0.131829</v>
      </c>
      <c r="C1316" s="98">
        <v>15</v>
      </c>
      <c r="D1316" s="98">
        <v>70</v>
      </c>
      <c r="E1316" s="99">
        <v>40.667873999999998</v>
      </c>
      <c r="F1316" s="99">
        <f t="shared" si="21"/>
        <v>2.4589433910412923E-2</v>
      </c>
      <c r="G1316" s="97">
        <v>59.158883000000003</v>
      </c>
      <c r="H1316" s="97">
        <v>0.131829</v>
      </c>
    </row>
    <row r="1317" spans="2:8" x14ac:dyDescent="0.25">
      <c r="B1317" s="97">
        <v>0.14327999999999999</v>
      </c>
      <c r="C1317" s="98">
        <v>20</v>
      </c>
      <c r="D1317" s="98">
        <v>70</v>
      </c>
      <c r="E1317" s="99">
        <v>40.435059000000003</v>
      </c>
      <c r="F1317" s="99">
        <f t="shared" si="21"/>
        <v>2.4731013747253342E-2</v>
      </c>
      <c r="G1317" s="97">
        <v>64.623164000000003</v>
      </c>
      <c r="H1317" s="97">
        <v>0.14327999999999999</v>
      </c>
    </row>
    <row r="1318" spans="2:8" x14ac:dyDescent="0.25">
      <c r="B1318" s="97">
        <v>0.15464900000000001</v>
      </c>
      <c r="C1318" s="98">
        <v>25</v>
      </c>
      <c r="D1318" s="98">
        <v>70</v>
      </c>
      <c r="E1318" s="99">
        <v>40.200024999999997</v>
      </c>
      <c r="F1318" s="99">
        <f t="shared" si="21"/>
        <v>2.4875606420642776E-2</v>
      </c>
      <c r="G1318" s="97">
        <v>70.104971000000006</v>
      </c>
      <c r="H1318" s="97">
        <v>0.15464900000000001</v>
      </c>
    </row>
    <row r="1319" spans="2:8" x14ac:dyDescent="0.25">
      <c r="B1319" s="97">
        <v>0.165939</v>
      </c>
      <c r="C1319" s="98">
        <v>30</v>
      </c>
      <c r="D1319" s="98">
        <v>70</v>
      </c>
      <c r="E1319" s="99">
        <v>39.962691999999997</v>
      </c>
      <c r="F1319" s="99">
        <f t="shared" si="21"/>
        <v>2.5023339268535765E-2</v>
      </c>
      <c r="G1319" s="97">
        <v>75.604772999999994</v>
      </c>
      <c r="H1319" s="97">
        <v>0.165939</v>
      </c>
    </row>
    <row r="1320" spans="2:8" x14ac:dyDescent="0.25">
      <c r="B1320" s="97">
        <v>0.177151</v>
      </c>
      <c r="C1320" s="98">
        <v>35</v>
      </c>
      <c r="D1320" s="98">
        <v>70</v>
      </c>
      <c r="E1320" s="99">
        <v>39.722969999999997</v>
      </c>
      <c r="F1320" s="99">
        <f t="shared" si="21"/>
        <v>2.5174351263261535E-2</v>
      </c>
      <c r="G1320" s="97">
        <v>81.123129000000006</v>
      </c>
      <c r="H1320" s="97">
        <v>0.177151</v>
      </c>
    </row>
    <row r="1321" spans="2:8" x14ac:dyDescent="0.25">
      <c r="B1321" s="97">
        <v>1.268149</v>
      </c>
      <c r="C1321" s="98">
        <v>40</v>
      </c>
      <c r="D1321" s="98">
        <v>70</v>
      </c>
      <c r="E1321" s="99">
        <v>0.239617</v>
      </c>
      <c r="F1321" s="99">
        <f t="shared" si="21"/>
        <v>4.1733266003664182</v>
      </c>
      <c r="G1321" s="97">
        <v>623.74632499999996</v>
      </c>
      <c r="H1321" s="97">
        <v>1.268149</v>
      </c>
    </row>
    <row r="1322" spans="2:8" x14ac:dyDescent="0.25">
      <c r="B1322" s="97">
        <v>1.274543</v>
      </c>
      <c r="C1322" s="98">
        <v>45</v>
      </c>
      <c r="D1322" s="98">
        <v>70</v>
      </c>
      <c r="E1322" s="99">
        <v>0.23641200000000001</v>
      </c>
      <c r="F1322" s="99">
        <f t="shared" si="21"/>
        <v>4.2299037273911644</v>
      </c>
      <c r="G1322" s="97">
        <v>626.95736299999999</v>
      </c>
      <c r="H1322" s="97">
        <v>1.274543</v>
      </c>
    </row>
    <row r="1323" spans="2:8" x14ac:dyDescent="0.25">
      <c r="B1323" s="97">
        <v>1.280783</v>
      </c>
      <c r="C1323" s="98">
        <v>50</v>
      </c>
      <c r="D1323" s="98">
        <v>70</v>
      </c>
      <c r="E1323" s="99">
        <v>0.23333000000000001</v>
      </c>
      <c r="F1323" s="99">
        <f t="shared" si="21"/>
        <v>4.2857755110787297</v>
      </c>
      <c r="G1323" s="97">
        <v>630.12206000000003</v>
      </c>
      <c r="H1323" s="97">
        <v>1.280783</v>
      </c>
    </row>
    <row r="1324" spans="2:8" x14ac:dyDescent="0.25">
      <c r="B1324" s="97">
        <v>1.2868809999999999</v>
      </c>
      <c r="C1324" s="98">
        <v>55</v>
      </c>
      <c r="D1324" s="98">
        <v>70</v>
      </c>
      <c r="E1324" s="99">
        <v>0.23036100000000001</v>
      </c>
      <c r="F1324" s="99">
        <f t="shared" si="21"/>
        <v>4.3410125845954823</v>
      </c>
      <c r="G1324" s="97">
        <v>633.24523199999999</v>
      </c>
      <c r="H1324" s="97">
        <v>1.2868809999999999</v>
      </c>
    </row>
    <row r="1325" spans="2:8" x14ac:dyDescent="0.25">
      <c r="B1325" s="97">
        <v>1.292848</v>
      </c>
      <c r="C1325" s="98">
        <v>60</v>
      </c>
      <c r="D1325" s="98">
        <v>70</v>
      </c>
      <c r="E1325" s="99">
        <v>0.22749800000000001</v>
      </c>
      <c r="F1325" s="99">
        <f t="shared" si="21"/>
        <v>4.3956430386201193</v>
      </c>
      <c r="G1325" s="97">
        <v>636.33112100000005</v>
      </c>
      <c r="H1325" s="97">
        <v>1.292848</v>
      </c>
    </row>
    <row r="1326" spans="2:8" x14ac:dyDescent="0.25">
      <c r="B1326" s="97">
        <v>1.298694</v>
      </c>
      <c r="C1326" s="98">
        <v>65</v>
      </c>
      <c r="D1326" s="98">
        <v>70</v>
      </c>
      <c r="E1326" s="99">
        <v>0.22473099999999999</v>
      </c>
      <c r="F1326" s="99">
        <f t="shared" si="21"/>
        <v>4.4497643849758157</v>
      </c>
      <c r="G1326" s="97">
        <v>639.38347499999998</v>
      </c>
      <c r="H1326" s="97">
        <v>1.298694</v>
      </c>
    </row>
    <row r="1327" spans="2:8" x14ac:dyDescent="0.25">
      <c r="B1327" s="97">
        <v>1.304427</v>
      </c>
      <c r="C1327" s="98">
        <v>70</v>
      </c>
      <c r="D1327" s="98">
        <v>70</v>
      </c>
      <c r="E1327" s="99">
        <v>0.222056</v>
      </c>
      <c r="F1327" s="99">
        <f t="shared" si="21"/>
        <v>4.5033685196527005</v>
      </c>
      <c r="G1327" s="97">
        <v>642.40563199999997</v>
      </c>
      <c r="H1327" s="97">
        <v>1.304427</v>
      </c>
    </row>
    <row r="1328" spans="2:8" x14ac:dyDescent="0.25">
      <c r="B1328" s="97">
        <v>1.310055</v>
      </c>
      <c r="C1328" s="98">
        <v>75</v>
      </c>
      <c r="D1328" s="98">
        <v>70</v>
      </c>
      <c r="E1328" s="99">
        <v>0.21946499999999999</v>
      </c>
      <c r="F1328" s="99">
        <f t="shared" si="21"/>
        <v>4.5565352106258405</v>
      </c>
      <c r="G1328" s="97">
        <v>645.40056800000002</v>
      </c>
      <c r="H1328" s="97">
        <v>1.310055</v>
      </c>
    </row>
    <row r="1329" spans="2:8" x14ac:dyDescent="0.25">
      <c r="B1329" s="97">
        <v>1.3155840000000001</v>
      </c>
      <c r="C1329" s="98">
        <v>80</v>
      </c>
      <c r="D1329" s="98">
        <v>70</v>
      </c>
      <c r="E1329" s="99">
        <v>0.21695400000000001</v>
      </c>
      <c r="F1329" s="99">
        <f t="shared" si="21"/>
        <v>4.6092720115784909</v>
      </c>
      <c r="G1329" s="97">
        <v>648.37095199999999</v>
      </c>
      <c r="H1329" s="97">
        <v>1.3155840000000001</v>
      </c>
    </row>
    <row r="1330" spans="2:8" x14ac:dyDescent="0.25">
      <c r="B1330" s="97">
        <v>1.3210219999999999</v>
      </c>
      <c r="C1330" s="98">
        <v>85</v>
      </c>
      <c r="D1330" s="98">
        <v>70</v>
      </c>
      <c r="E1330" s="99">
        <v>0.21451700000000001</v>
      </c>
      <c r="F1330" s="99">
        <f t="shared" si="21"/>
        <v>4.6616352083984021</v>
      </c>
      <c r="G1330" s="97">
        <v>651.31918700000006</v>
      </c>
      <c r="H1330" s="97">
        <v>1.3210219999999999</v>
      </c>
    </row>
    <row r="1331" spans="2:8" x14ac:dyDescent="0.25">
      <c r="B1331" s="97">
        <v>1.3263739999999999</v>
      </c>
      <c r="C1331" s="98">
        <v>90</v>
      </c>
      <c r="D1331" s="98">
        <v>70</v>
      </c>
      <c r="E1331" s="99">
        <v>0.21215100000000001</v>
      </c>
      <c r="F1331" s="99">
        <f t="shared" si="21"/>
        <v>4.7136237868310777</v>
      </c>
      <c r="G1331" s="97">
        <v>654.247435</v>
      </c>
      <c r="H1331" s="97">
        <v>1.3263739999999999</v>
      </c>
    </row>
    <row r="1332" spans="2:8" x14ac:dyDescent="0.25">
      <c r="B1332" s="97">
        <v>1.331644</v>
      </c>
      <c r="C1332" s="98">
        <v>95</v>
      </c>
      <c r="D1332" s="98">
        <v>70</v>
      </c>
      <c r="E1332" s="99">
        <v>0.20985100000000001</v>
      </c>
      <c r="F1332" s="99">
        <f t="shared" si="21"/>
        <v>4.7652858456714524</v>
      </c>
      <c r="G1332" s="97">
        <v>657.15765599999997</v>
      </c>
      <c r="H1332" s="97">
        <v>1.331644</v>
      </c>
    </row>
    <row r="1333" spans="2:8" x14ac:dyDescent="0.25">
      <c r="B1333" s="97">
        <v>1.3368390000000001</v>
      </c>
      <c r="C1333" s="98">
        <v>100</v>
      </c>
      <c r="D1333" s="98">
        <v>70</v>
      </c>
      <c r="E1333" s="99">
        <v>0.20761399999999999</v>
      </c>
      <c r="F1333" s="99">
        <f t="shared" si="21"/>
        <v>4.8166308630439181</v>
      </c>
      <c r="G1333" s="97">
        <v>660.05162700000005</v>
      </c>
      <c r="H1333" s="97">
        <v>1.3368390000000001</v>
      </c>
    </row>
    <row r="1334" spans="2:8" x14ac:dyDescent="0.25">
      <c r="B1334" s="97">
        <v>1.34196</v>
      </c>
      <c r="C1334" s="98">
        <v>105</v>
      </c>
      <c r="D1334" s="98">
        <v>70</v>
      </c>
      <c r="E1334" s="99">
        <v>0.20543600000000001</v>
      </c>
      <c r="F1334" s="99">
        <f t="shared" si="21"/>
        <v>4.8676960221188104</v>
      </c>
      <c r="G1334" s="97">
        <v>662.93096100000002</v>
      </c>
      <c r="H1334" s="97">
        <v>1.34196</v>
      </c>
    </row>
    <row r="1335" spans="2:8" x14ac:dyDescent="0.25">
      <c r="B1335" s="97">
        <v>1.3470139999999999</v>
      </c>
      <c r="C1335" s="98">
        <v>110</v>
      </c>
      <c r="D1335" s="98">
        <v>70</v>
      </c>
      <c r="E1335" s="99">
        <v>0.20331399999999999</v>
      </c>
      <c r="F1335" s="99">
        <f t="shared" si="21"/>
        <v>4.9185004475835408</v>
      </c>
      <c r="G1335" s="97">
        <v>665.79713100000004</v>
      </c>
      <c r="H1335" s="97">
        <v>1.3470139999999999</v>
      </c>
    </row>
    <row r="1336" spans="2:8" x14ac:dyDescent="0.25">
      <c r="B1336" s="97">
        <v>1.3520030000000001</v>
      </c>
      <c r="C1336" s="98">
        <v>115</v>
      </c>
      <c r="D1336" s="98">
        <v>70</v>
      </c>
      <c r="E1336" s="99">
        <v>0.20124600000000001</v>
      </c>
      <c r="F1336" s="99">
        <f t="shared" si="21"/>
        <v>4.969042862963736</v>
      </c>
      <c r="G1336" s="97">
        <v>668.65147899999999</v>
      </c>
      <c r="H1336" s="97">
        <v>1.3520030000000001</v>
      </c>
    </row>
    <row r="1337" spans="2:8" x14ac:dyDescent="0.25">
      <c r="B1337" s="97">
        <v>1.35693</v>
      </c>
      <c r="C1337" s="98">
        <v>120</v>
      </c>
      <c r="D1337" s="98">
        <v>70</v>
      </c>
      <c r="E1337" s="99">
        <v>0.19922899999999999</v>
      </c>
      <c r="F1337" s="99">
        <f t="shared" si="21"/>
        <v>5.0193495926797809</v>
      </c>
      <c r="G1337" s="97">
        <v>671.49523599999998</v>
      </c>
      <c r="H1337" s="97">
        <v>1.35693</v>
      </c>
    </row>
    <row r="1338" spans="2:8" x14ac:dyDescent="0.25">
      <c r="B1338" s="97">
        <v>1.3617980000000001</v>
      </c>
      <c r="C1338" s="98">
        <v>125</v>
      </c>
      <c r="D1338" s="98">
        <v>70</v>
      </c>
      <c r="E1338" s="99">
        <v>0.19726099999999999</v>
      </c>
      <c r="F1338" s="99">
        <f t="shared" si="21"/>
        <v>5.0694257861412044</v>
      </c>
      <c r="G1338" s="97">
        <v>674.32952799999998</v>
      </c>
      <c r="H1338" s="97">
        <v>1.3617980000000001</v>
      </c>
    </row>
    <row r="1339" spans="2:8" x14ac:dyDescent="0.25">
      <c r="B1339" s="97">
        <v>1.366611</v>
      </c>
      <c r="C1339" s="98">
        <v>130</v>
      </c>
      <c r="D1339" s="98">
        <v>70</v>
      </c>
      <c r="E1339" s="99">
        <v>0.19533900000000001</v>
      </c>
      <c r="F1339" s="99">
        <f t="shared" si="21"/>
        <v>5.1193054126416122</v>
      </c>
      <c r="G1339" s="97">
        <v>677.15539100000001</v>
      </c>
      <c r="H1339" s="97">
        <v>1.366611</v>
      </c>
    </row>
    <row r="1340" spans="2:8" x14ac:dyDescent="0.25">
      <c r="B1340" s="97">
        <v>1.37137</v>
      </c>
      <c r="C1340" s="98">
        <v>135</v>
      </c>
      <c r="D1340" s="98">
        <v>70</v>
      </c>
      <c r="E1340" s="99">
        <v>0.19346099999999999</v>
      </c>
      <c r="F1340" s="99">
        <f t="shared" si="21"/>
        <v>5.1690004703790429</v>
      </c>
      <c r="G1340" s="97">
        <v>679.97377700000004</v>
      </c>
      <c r="H1340" s="97">
        <v>1.37137</v>
      </c>
    </row>
    <row r="1341" spans="2:8" x14ac:dyDescent="0.25">
      <c r="B1341" s="97">
        <v>1.3760790000000001</v>
      </c>
      <c r="C1341" s="98">
        <v>140</v>
      </c>
      <c r="D1341" s="98">
        <v>70</v>
      </c>
      <c r="E1341" s="99">
        <v>0.19162599999999999</v>
      </c>
      <c r="F1341" s="99">
        <f t="shared" si="21"/>
        <v>5.2184985336019123</v>
      </c>
      <c r="G1341" s="97">
        <v>682.78556400000002</v>
      </c>
      <c r="H1341" s="97">
        <v>1.3760790000000001</v>
      </c>
    </row>
    <row r="1342" spans="2:8" x14ac:dyDescent="0.25">
      <c r="B1342" s="97">
        <v>1.3807389999999999</v>
      </c>
      <c r="C1342" s="98">
        <v>145</v>
      </c>
      <c r="D1342" s="98">
        <v>70</v>
      </c>
      <c r="E1342" s="99">
        <v>0.189832</v>
      </c>
      <c r="F1342" s="99">
        <f t="shared" si="21"/>
        <v>5.2678157528762277</v>
      </c>
      <c r="G1342" s="97">
        <v>685.59156299999995</v>
      </c>
      <c r="H1342" s="97">
        <v>1.3807389999999999</v>
      </c>
    </row>
    <row r="1343" spans="2:8" x14ac:dyDescent="0.25">
      <c r="B1343" s="97">
        <v>1.3853519999999999</v>
      </c>
      <c r="C1343" s="98">
        <v>150</v>
      </c>
      <c r="D1343" s="98">
        <v>70</v>
      </c>
      <c r="E1343" s="99">
        <v>0.18807699999999999</v>
      </c>
      <c r="F1343" s="99">
        <f t="shared" si="21"/>
        <v>5.3169712405025606</v>
      </c>
      <c r="G1343" s="97">
        <v>688.39252499999998</v>
      </c>
      <c r="H1343" s="97">
        <v>1.3853519999999999</v>
      </c>
    </row>
    <row r="1344" spans="2:8" x14ac:dyDescent="0.25">
      <c r="B1344" s="97">
        <v>1.38992</v>
      </c>
      <c r="C1344" s="98">
        <v>155</v>
      </c>
      <c r="D1344" s="98">
        <v>70</v>
      </c>
      <c r="E1344" s="99">
        <v>0.186359</v>
      </c>
      <c r="F1344" s="99">
        <f t="shared" si="21"/>
        <v>5.3659871538267536</v>
      </c>
      <c r="G1344" s="97">
        <v>691.18914199999995</v>
      </c>
      <c r="H1344" s="97">
        <v>1.38992</v>
      </c>
    </row>
    <row r="1345" spans="1:8" x14ac:dyDescent="0.25">
      <c r="B1345" s="97">
        <v>1.3944460000000001</v>
      </c>
      <c r="C1345" s="98">
        <v>160</v>
      </c>
      <c r="D1345" s="98">
        <v>70</v>
      </c>
      <c r="E1345" s="99">
        <v>0.18467700000000001</v>
      </c>
      <c r="F1345" s="99">
        <f t="shared" si="21"/>
        <v>5.4148594573227848</v>
      </c>
      <c r="G1345" s="97">
        <v>693.98206100000004</v>
      </c>
      <c r="H1345" s="97">
        <v>1.3944460000000001</v>
      </c>
    </row>
    <row r="1346" spans="1:8" x14ac:dyDescent="0.25">
      <c r="B1346" s="97">
        <v>1.39893</v>
      </c>
      <c r="C1346" s="98">
        <v>165</v>
      </c>
      <c r="D1346" s="98">
        <v>70</v>
      </c>
      <c r="E1346" s="99">
        <v>0.18303</v>
      </c>
      <c r="F1346" s="99">
        <f t="shared" si="21"/>
        <v>5.4635852046112658</v>
      </c>
      <c r="G1346" s="97">
        <v>696.77187800000002</v>
      </c>
      <c r="H1346" s="97">
        <v>1.39893</v>
      </c>
    </row>
    <row r="1347" spans="1:8" x14ac:dyDescent="0.25">
      <c r="B1347" s="97">
        <v>1.4033739999999999</v>
      </c>
      <c r="C1347" s="98">
        <v>170</v>
      </c>
      <c r="D1347" s="98">
        <v>70</v>
      </c>
      <c r="E1347" s="99">
        <v>0.18141699999999999</v>
      </c>
      <c r="F1347" s="99">
        <f t="shared" si="21"/>
        <v>5.5121625867476585</v>
      </c>
      <c r="G1347" s="97">
        <v>699.55915200000004</v>
      </c>
      <c r="H1347" s="97">
        <v>1.4033739999999999</v>
      </c>
    </row>
    <row r="1348" spans="1:8" x14ac:dyDescent="0.25">
      <c r="B1348" s="97">
        <v>1.40778</v>
      </c>
      <c r="C1348" s="98">
        <v>175</v>
      </c>
      <c r="D1348" s="98">
        <v>70</v>
      </c>
      <c r="E1348" s="99">
        <v>0.17983499999999999</v>
      </c>
      <c r="F1348" s="99">
        <f t="shared" si="21"/>
        <v>5.5606528206411436</v>
      </c>
      <c r="G1348" s="97">
        <v>702.34440099999995</v>
      </c>
      <c r="H1348" s="97">
        <v>1.40778</v>
      </c>
    </row>
    <row r="1349" spans="1:8" x14ac:dyDescent="0.25">
      <c r="B1349" s="97">
        <v>1.4121490000000001</v>
      </c>
      <c r="C1349" s="98">
        <v>180</v>
      </c>
      <c r="D1349" s="98">
        <v>70</v>
      </c>
      <c r="E1349" s="99">
        <v>0.178285</v>
      </c>
      <c r="F1349" s="99">
        <f t="shared" si="21"/>
        <v>5.6089968309167908</v>
      </c>
      <c r="G1349" s="97">
        <v>705.128108</v>
      </c>
      <c r="H1349" s="97">
        <v>1.4121490000000001</v>
      </c>
    </row>
    <row r="1350" spans="1:8" x14ac:dyDescent="0.25">
      <c r="B1350" s="97">
        <v>1.416482</v>
      </c>
      <c r="C1350" s="98">
        <v>185</v>
      </c>
      <c r="D1350" s="98">
        <v>70</v>
      </c>
      <c r="E1350" s="99">
        <v>0.17676500000000001</v>
      </c>
      <c r="F1350" s="99">
        <f t="shared" si="21"/>
        <v>5.657228523746217</v>
      </c>
      <c r="G1350" s="97">
        <v>707.91072699999995</v>
      </c>
      <c r="H1350" s="97">
        <v>1.416482</v>
      </c>
    </row>
    <row r="1351" spans="1:8" x14ac:dyDescent="0.25">
      <c r="B1351" s="97">
        <v>1.4207810000000001</v>
      </c>
      <c r="C1351" s="98">
        <v>190</v>
      </c>
      <c r="D1351" s="98">
        <v>70</v>
      </c>
      <c r="E1351" s="99">
        <v>0.17527300000000001</v>
      </c>
      <c r="F1351" s="99">
        <f t="shared" si="21"/>
        <v>5.7053853131971266</v>
      </c>
      <c r="G1351" s="97">
        <v>710.69268</v>
      </c>
      <c r="H1351" s="97">
        <v>1.4207810000000001</v>
      </c>
    </row>
    <row r="1352" spans="1:8" x14ac:dyDescent="0.25">
      <c r="B1352" s="97">
        <v>1.425046</v>
      </c>
      <c r="C1352" s="98">
        <v>195</v>
      </c>
      <c r="D1352" s="98">
        <v>70</v>
      </c>
      <c r="E1352" s="99">
        <v>0.17380999999999999</v>
      </c>
      <c r="F1352" s="99">
        <f t="shared" si="21"/>
        <v>5.7534088947701516</v>
      </c>
      <c r="G1352" s="97">
        <v>713.47436300000004</v>
      </c>
      <c r="H1352" s="97">
        <v>1.425046</v>
      </c>
    </row>
    <row r="1353" spans="1:8" x14ac:dyDescent="0.25">
      <c r="B1353" s="97">
        <v>1.429279</v>
      </c>
      <c r="C1353" s="98">
        <v>200</v>
      </c>
      <c r="D1353" s="98">
        <v>70</v>
      </c>
      <c r="E1353" s="99">
        <v>0.172374</v>
      </c>
      <c r="F1353" s="99">
        <f t="shared" si="21"/>
        <v>5.8013389490294358</v>
      </c>
      <c r="G1353" s="97">
        <v>716.25614800000005</v>
      </c>
      <c r="H1353" s="97">
        <v>1.429279</v>
      </c>
    </row>
    <row r="1354" spans="1:8" x14ac:dyDescent="0.25">
      <c r="B1354" s="97">
        <v>1.4350000000000001</v>
      </c>
      <c r="C1354" t="s">
        <v>374</v>
      </c>
      <c r="D1354" t="s">
        <v>374</v>
      </c>
      <c r="E1354" t="s">
        <v>374</v>
      </c>
      <c r="F1354" t="s">
        <v>374</v>
      </c>
      <c r="G1354" t="s">
        <v>374</v>
      </c>
      <c r="H1354" t="s">
        <v>374</v>
      </c>
    </row>
    <row r="1357" spans="1:8" x14ac:dyDescent="0.25">
      <c r="A1357" s="92">
        <v>75</v>
      </c>
      <c r="B1357" s="104">
        <v>-1.2614000000000001</v>
      </c>
      <c r="C1357" s="104">
        <v>41.1</v>
      </c>
      <c r="D1357" s="101"/>
      <c r="E1357" s="104">
        <v>-569.97</v>
      </c>
      <c r="F1357" s="104">
        <v>-3.8835999999999999</v>
      </c>
      <c r="G1357" s="104">
        <v>-623.87</v>
      </c>
      <c r="H1357" s="104">
        <v>-1.2614000000000001</v>
      </c>
    </row>
    <row r="1358" spans="1:8" x14ac:dyDescent="0.25">
      <c r="B1358" s="104">
        <v>1.2851999999999999</v>
      </c>
      <c r="C1358" s="104">
        <v>60</v>
      </c>
      <c r="D1358" s="101"/>
      <c r="E1358" s="104">
        <v>579.30999999999995</v>
      </c>
      <c r="F1358" s="104">
        <v>4.0827</v>
      </c>
      <c r="G1358" s="104">
        <v>635.97</v>
      </c>
      <c r="H1358" s="104">
        <v>1.2851999999999999</v>
      </c>
    </row>
    <row r="1359" spans="1:8" x14ac:dyDescent="0.25">
      <c r="B1359" s="104">
        <v>1.3084</v>
      </c>
      <c r="C1359" s="104">
        <v>80</v>
      </c>
      <c r="D1359" s="101"/>
      <c r="E1359" s="104">
        <v>588.79</v>
      </c>
      <c r="F1359" s="104">
        <v>4.2850000000000001</v>
      </c>
      <c r="G1359" s="104">
        <v>648.26</v>
      </c>
      <c r="H1359" s="104">
        <v>1.3084</v>
      </c>
    </row>
    <row r="1360" spans="1:8" x14ac:dyDescent="0.25">
      <c r="B1360" s="104">
        <v>1.33</v>
      </c>
      <c r="C1360" s="104">
        <v>100</v>
      </c>
      <c r="D1360" s="101"/>
      <c r="E1360" s="104">
        <v>597.97</v>
      </c>
      <c r="F1360" s="104">
        <v>4.4812000000000003</v>
      </c>
      <c r="G1360" s="104">
        <v>660.16</v>
      </c>
      <c r="H1360" s="104">
        <v>1.33</v>
      </c>
    </row>
    <row r="1361" spans="1:8" x14ac:dyDescent="0.25">
      <c r="B1361" s="104">
        <v>1.3504</v>
      </c>
      <c r="C1361" s="104">
        <v>120</v>
      </c>
      <c r="D1361" s="101"/>
      <c r="E1361" s="104">
        <v>606.92999999999995</v>
      </c>
      <c r="F1361" s="104">
        <v>4.6717000000000004</v>
      </c>
      <c r="G1361" s="104">
        <v>671.77</v>
      </c>
      <c r="H1361" s="104">
        <v>1.3504</v>
      </c>
    </row>
    <row r="1362" spans="1:8" x14ac:dyDescent="0.25">
      <c r="B1362" s="104">
        <v>1.3697999999999999</v>
      </c>
      <c r="C1362" s="104">
        <v>140</v>
      </c>
      <c r="D1362" s="101"/>
      <c r="E1362" s="104">
        <v>615.76</v>
      </c>
      <c r="F1362" s="104">
        <v>4.8589000000000002</v>
      </c>
      <c r="G1362" s="104">
        <v>683.19</v>
      </c>
      <c r="H1362" s="104">
        <v>1.3697999999999999</v>
      </c>
    </row>
    <row r="1363" spans="1:8" x14ac:dyDescent="0.25">
      <c r="B1363" s="104">
        <v>1.3883000000000001</v>
      </c>
      <c r="C1363" s="104">
        <v>160</v>
      </c>
      <c r="D1363" s="101"/>
      <c r="E1363" s="104">
        <v>624.49</v>
      </c>
      <c r="F1363" s="104">
        <v>5.0430999999999999</v>
      </c>
      <c r="G1363" s="104">
        <v>694.48</v>
      </c>
      <c r="H1363" s="104">
        <v>1.3883000000000001</v>
      </c>
    </row>
    <row r="1364" spans="1:8" x14ac:dyDescent="0.25">
      <c r="B1364" s="104">
        <v>1.4060999999999999</v>
      </c>
      <c r="C1364" s="104">
        <v>180</v>
      </c>
      <c r="D1364" s="101"/>
      <c r="E1364" s="104">
        <v>633.17999999999995</v>
      </c>
      <c r="F1364" s="104">
        <v>5.2252000000000001</v>
      </c>
      <c r="G1364" s="104">
        <v>705.7</v>
      </c>
      <c r="H1364" s="104">
        <v>1.4060999999999999</v>
      </c>
    </row>
    <row r="1365" spans="1:8" x14ac:dyDescent="0.25">
      <c r="B1365" s="104">
        <v>1.4233</v>
      </c>
      <c r="C1365" s="104">
        <v>200</v>
      </c>
      <c r="D1365" s="101"/>
      <c r="E1365" s="104">
        <v>641.86</v>
      </c>
      <c r="F1365" s="104">
        <v>5.4055999999999997</v>
      </c>
      <c r="G1365" s="104">
        <v>716.88</v>
      </c>
      <c r="H1365" s="104">
        <v>1.4233</v>
      </c>
    </row>
    <row r="1366" spans="1:8" x14ac:dyDescent="0.25">
      <c r="B1366" s="104">
        <v>1.44</v>
      </c>
      <c r="C1366" s="104">
        <v>220</v>
      </c>
      <c r="D1366" s="101"/>
      <c r="E1366" s="104">
        <v>650.54</v>
      </c>
      <c r="F1366" s="104">
        <v>5.5845000000000002</v>
      </c>
      <c r="G1366" s="104">
        <v>728.05</v>
      </c>
      <c r="H1366" s="104">
        <v>1.44</v>
      </c>
    </row>
    <row r="1367" spans="1:8" x14ac:dyDescent="0.25">
      <c r="B1367" s="104">
        <v>1.46</v>
      </c>
      <c r="C1367" t="s">
        <v>374</v>
      </c>
      <c r="D1367" t="s">
        <v>374</v>
      </c>
      <c r="E1367" t="s">
        <v>374</v>
      </c>
      <c r="F1367" t="s">
        <v>374</v>
      </c>
      <c r="G1367" t="s">
        <v>374</v>
      </c>
      <c r="H1367" t="s">
        <v>374</v>
      </c>
    </row>
    <row r="1370" spans="1:8" ht="15.75" x14ac:dyDescent="0.25">
      <c r="A1370" s="92">
        <v>80</v>
      </c>
      <c r="C1370" s="109" t="s">
        <v>410</v>
      </c>
      <c r="D1370" s="101"/>
      <c r="E1370" s="110"/>
      <c r="F1370" s="110"/>
      <c r="G1370" s="111"/>
    </row>
    <row r="1371" spans="1:8" x14ac:dyDescent="0.25">
      <c r="B1371" s="96" t="s">
        <v>266</v>
      </c>
      <c r="C1371" s="96" t="s">
        <v>375</v>
      </c>
      <c r="D1371" s="96" t="s">
        <v>380</v>
      </c>
      <c r="E1371" s="96" t="s">
        <v>381</v>
      </c>
      <c r="F1371" s="96" t="s">
        <v>382</v>
      </c>
      <c r="G1371" s="96" t="s">
        <v>265</v>
      </c>
      <c r="H1371" s="96" t="s">
        <v>266</v>
      </c>
    </row>
    <row r="1372" spans="1:8" x14ac:dyDescent="0.25">
      <c r="B1372" s="96" t="s">
        <v>383</v>
      </c>
      <c r="C1372" s="96" t="s">
        <v>384</v>
      </c>
      <c r="D1372" s="96" t="s">
        <v>385</v>
      </c>
      <c r="E1372" s="96" t="s">
        <v>386</v>
      </c>
      <c r="F1372" s="96" t="s">
        <v>387</v>
      </c>
      <c r="G1372" s="96" t="s">
        <v>388</v>
      </c>
      <c r="H1372" s="96" t="s">
        <v>383</v>
      </c>
    </row>
    <row r="1373" spans="1:8" x14ac:dyDescent="0.25">
      <c r="B1373" s="97">
        <v>9.6906000000000006E-2</v>
      </c>
      <c r="C1373" s="98">
        <v>0</v>
      </c>
      <c r="D1373" s="98">
        <v>80</v>
      </c>
      <c r="E1373" s="99">
        <v>41.356161</v>
      </c>
      <c r="F1373" s="99">
        <f t="shared" ref="F1373:F1413" si="22">1/E1373</f>
        <v>2.4180194094901603E-2</v>
      </c>
      <c r="G1373" s="97">
        <v>42.890081000000002</v>
      </c>
      <c r="H1373" s="97">
        <v>9.6906000000000006E-2</v>
      </c>
    </row>
    <row r="1374" spans="1:8" x14ac:dyDescent="0.25">
      <c r="B1374" s="97">
        <v>0.10861899999999999</v>
      </c>
      <c r="C1374" s="98">
        <v>5</v>
      </c>
      <c r="D1374" s="98">
        <v>80</v>
      </c>
      <c r="E1374" s="99">
        <v>41.129689999999997</v>
      </c>
      <c r="F1374" s="99">
        <f t="shared" si="22"/>
        <v>2.4313336667502235E-2</v>
      </c>
      <c r="G1374" s="97">
        <v>48.303319000000002</v>
      </c>
      <c r="H1374" s="97">
        <v>0.10861899999999999</v>
      </c>
    </row>
    <row r="1375" spans="1:8" x14ac:dyDescent="0.25">
      <c r="B1375" s="97">
        <v>0.120241</v>
      </c>
      <c r="C1375" s="98">
        <v>10</v>
      </c>
      <c r="D1375" s="98">
        <v>80</v>
      </c>
      <c r="E1375" s="99">
        <v>40.901189000000002</v>
      </c>
      <c r="F1375" s="99">
        <f t="shared" si="22"/>
        <v>2.4449166991208984E-2</v>
      </c>
      <c r="G1375" s="97">
        <v>53.733145999999998</v>
      </c>
      <c r="H1375" s="97">
        <v>0.120241</v>
      </c>
    </row>
    <row r="1376" spans="1:8" x14ac:dyDescent="0.25">
      <c r="B1376" s="97">
        <v>0.13177700000000001</v>
      </c>
      <c r="C1376" s="98">
        <v>15</v>
      </c>
      <c r="D1376" s="98">
        <v>80</v>
      </c>
      <c r="E1376" s="99">
        <v>40.670603</v>
      </c>
      <c r="F1376" s="99">
        <f t="shared" si="22"/>
        <v>2.4587783957862635E-2</v>
      </c>
      <c r="G1376" s="97">
        <v>59.179789999999997</v>
      </c>
      <c r="H1376" s="97">
        <v>0.13177700000000001</v>
      </c>
    </row>
    <row r="1377" spans="2:8" x14ac:dyDescent="0.25">
      <c r="B1377" s="97">
        <v>0.14322699999999999</v>
      </c>
      <c r="C1377" s="98">
        <v>20</v>
      </c>
      <c r="D1377" s="98">
        <v>80</v>
      </c>
      <c r="E1377" s="99">
        <v>40.437871000000001</v>
      </c>
      <c r="F1377" s="99">
        <f t="shared" si="22"/>
        <v>2.4729293982860768E-2</v>
      </c>
      <c r="G1377" s="97">
        <v>64.643548999999993</v>
      </c>
      <c r="H1377" s="97">
        <v>0.14322699999999999</v>
      </c>
    </row>
    <row r="1378" spans="2:8" x14ac:dyDescent="0.25">
      <c r="B1378" s="97">
        <v>0.15459500000000001</v>
      </c>
      <c r="C1378" s="98">
        <v>25</v>
      </c>
      <c r="D1378" s="98">
        <v>80</v>
      </c>
      <c r="E1378" s="99">
        <v>40.202924000000003</v>
      </c>
      <c r="F1378" s="99">
        <f t="shared" si="22"/>
        <v>2.4873812660989533E-2</v>
      </c>
      <c r="G1378" s="97">
        <v>70.124807000000004</v>
      </c>
      <c r="H1378" s="97">
        <v>0.15459500000000001</v>
      </c>
    </row>
    <row r="1379" spans="2:8" x14ac:dyDescent="0.25">
      <c r="B1379" s="97">
        <v>0.165883</v>
      </c>
      <c r="C1379" s="98">
        <v>30</v>
      </c>
      <c r="D1379" s="98">
        <v>80</v>
      </c>
      <c r="E1379" s="99">
        <v>39.965680999999996</v>
      </c>
      <c r="F1379" s="99">
        <f t="shared" si="22"/>
        <v>2.5021467793830413E-2</v>
      </c>
      <c r="G1379" s="97">
        <v>75.624031000000002</v>
      </c>
      <c r="H1379" s="97">
        <v>0.165883</v>
      </c>
    </row>
    <row r="1380" spans="2:8" x14ac:dyDescent="0.25">
      <c r="B1380" s="97">
        <v>0.177095</v>
      </c>
      <c r="C1380" s="98">
        <v>35</v>
      </c>
      <c r="D1380" s="98">
        <v>80</v>
      </c>
      <c r="E1380" s="99">
        <v>39.726053999999998</v>
      </c>
      <c r="F1380" s="99">
        <f t="shared" si="22"/>
        <v>2.5172396936277638E-2</v>
      </c>
      <c r="G1380" s="97">
        <v>81.141775999999993</v>
      </c>
      <c r="H1380" s="97">
        <v>0.177095</v>
      </c>
    </row>
    <row r="1381" spans="2:8" x14ac:dyDescent="0.25">
      <c r="B1381" s="97">
        <v>0.18823200000000001</v>
      </c>
      <c r="C1381" s="98">
        <v>40</v>
      </c>
      <c r="D1381" s="98">
        <v>80</v>
      </c>
      <c r="E1381" s="99">
        <v>39.483944000000001</v>
      </c>
      <c r="F1381" s="99">
        <f t="shared" si="22"/>
        <v>2.5326750539409134E-2</v>
      </c>
      <c r="G1381" s="97">
        <v>86.678695000000005</v>
      </c>
      <c r="H1381" s="97">
        <v>0.18823200000000001</v>
      </c>
    </row>
    <row r="1382" spans="2:8" x14ac:dyDescent="0.25">
      <c r="B1382" s="97">
        <v>1.2547280000000001</v>
      </c>
      <c r="C1382" s="98">
        <v>45</v>
      </c>
      <c r="D1382" s="98">
        <v>80</v>
      </c>
      <c r="E1382" s="99">
        <v>0.27338600000000002</v>
      </c>
      <c r="F1382" s="99">
        <f t="shared" si="22"/>
        <v>3.6578317836319343</v>
      </c>
      <c r="G1382" s="97">
        <v>624.23666000000003</v>
      </c>
      <c r="H1382" s="97">
        <v>1.2547280000000001</v>
      </c>
    </row>
    <row r="1383" spans="2:8" x14ac:dyDescent="0.25">
      <c r="B1383" s="97">
        <v>1.261228</v>
      </c>
      <c r="C1383" s="98">
        <v>50</v>
      </c>
      <c r="D1383" s="98">
        <v>80</v>
      </c>
      <c r="E1383" s="99">
        <v>0.26965</v>
      </c>
      <c r="F1383" s="99">
        <f t="shared" si="22"/>
        <v>3.7085110328203226</v>
      </c>
      <c r="G1383" s="97">
        <v>627.53334600000005</v>
      </c>
      <c r="H1383" s="97">
        <v>1.261228</v>
      </c>
    </row>
    <row r="1384" spans="2:8" x14ac:dyDescent="0.25">
      <c r="B1384" s="97">
        <v>1.2675620000000001</v>
      </c>
      <c r="C1384" s="98">
        <v>55</v>
      </c>
      <c r="D1384" s="98">
        <v>80</v>
      </c>
      <c r="E1384" s="99">
        <v>0.26606400000000002</v>
      </c>
      <c r="F1384" s="99">
        <f t="shared" si="22"/>
        <v>3.7584941968849597</v>
      </c>
      <c r="G1384" s="97">
        <v>630.77761999999996</v>
      </c>
      <c r="H1384" s="97">
        <v>1.2675620000000001</v>
      </c>
    </row>
    <row r="1385" spans="2:8" x14ac:dyDescent="0.25">
      <c r="B1385" s="97">
        <v>1.2737449999999999</v>
      </c>
      <c r="C1385" s="98">
        <v>60</v>
      </c>
      <c r="D1385" s="98">
        <v>80</v>
      </c>
      <c r="E1385" s="99">
        <v>0.26261600000000002</v>
      </c>
      <c r="F1385" s="99">
        <f t="shared" si="22"/>
        <v>3.8078411064063116</v>
      </c>
      <c r="G1385" s="97">
        <v>633.97499600000003</v>
      </c>
      <c r="H1385" s="97">
        <v>1.2737449999999999</v>
      </c>
    </row>
    <row r="1386" spans="2:8" x14ac:dyDescent="0.25">
      <c r="B1386" s="97">
        <v>1.2797879999999999</v>
      </c>
      <c r="C1386" s="98">
        <v>65</v>
      </c>
      <c r="D1386" s="98">
        <v>80</v>
      </c>
      <c r="E1386" s="99">
        <v>0.259295</v>
      </c>
      <c r="F1386" s="99">
        <f t="shared" si="22"/>
        <v>3.8566111957423015</v>
      </c>
      <c r="G1386" s="97">
        <v>637.13030100000003</v>
      </c>
      <c r="H1386" s="97">
        <v>1.2797879999999999</v>
      </c>
    </row>
    <row r="1387" spans="2:8" x14ac:dyDescent="0.25">
      <c r="B1387" s="97">
        <v>1.285701</v>
      </c>
      <c r="C1387" s="98">
        <v>70</v>
      </c>
      <c r="D1387" s="98">
        <v>80</v>
      </c>
      <c r="E1387" s="99">
        <v>0.25609199999999999</v>
      </c>
      <c r="F1387" s="99">
        <f t="shared" si="22"/>
        <v>3.9048466957187262</v>
      </c>
      <c r="G1387" s="97">
        <v>640.24779000000001</v>
      </c>
      <c r="H1387" s="97">
        <v>1.285701</v>
      </c>
    </row>
    <row r="1388" spans="2:8" x14ac:dyDescent="0.25">
      <c r="B1388" s="97">
        <v>1.291496</v>
      </c>
      <c r="C1388" s="98">
        <v>75</v>
      </c>
      <c r="D1388" s="98">
        <v>80</v>
      </c>
      <c r="E1388" s="99">
        <v>0.25299700000000003</v>
      </c>
      <c r="F1388" s="99">
        <f t="shared" si="22"/>
        <v>3.9526160389253624</v>
      </c>
      <c r="G1388" s="97">
        <v>643.331231</v>
      </c>
      <c r="H1388" s="97">
        <v>1.291496</v>
      </c>
    </row>
    <row r="1389" spans="2:8" x14ac:dyDescent="0.25">
      <c r="B1389" s="97">
        <v>1.2971790000000001</v>
      </c>
      <c r="C1389" s="98">
        <v>80</v>
      </c>
      <c r="D1389" s="98">
        <v>80</v>
      </c>
      <c r="E1389" s="99">
        <v>0.250004</v>
      </c>
      <c r="F1389" s="99">
        <f t="shared" si="22"/>
        <v>3.9999360010239835</v>
      </c>
      <c r="G1389" s="97">
        <v>646.38397699999996</v>
      </c>
      <c r="H1389" s="97">
        <v>1.2971790000000001</v>
      </c>
    </row>
    <row r="1390" spans="2:8" x14ac:dyDescent="0.25">
      <c r="B1390" s="97">
        <v>1.3027580000000001</v>
      </c>
      <c r="C1390" s="98">
        <v>85</v>
      </c>
      <c r="D1390" s="98">
        <v>80</v>
      </c>
      <c r="E1390" s="99">
        <v>0.24710699999999999</v>
      </c>
      <c r="F1390" s="99">
        <f t="shared" si="22"/>
        <v>4.0468299157854695</v>
      </c>
      <c r="G1390" s="97">
        <v>649.40902500000004</v>
      </c>
      <c r="H1390" s="97">
        <v>1.3027580000000001</v>
      </c>
    </row>
    <row r="1391" spans="2:8" x14ac:dyDescent="0.25">
      <c r="B1391" s="97">
        <v>1.308241</v>
      </c>
      <c r="C1391" s="98">
        <v>90</v>
      </c>
      <c r="D1391" s="98">
        <v>80</v>
      </c>
      <c r="E1391" s="99">
        <v>0.24429799999999999</v>
      </c>
      <c r="F1391" s="99">
        <f t="shared" si="22"/>
        <v>4.0933613865033687</v>
      </c>
      <c r="G1391" s="97">
        <v>652.40905999999995</v>
      </c>
      <c r="H1391" s="97">
        <v>1.308241</v>
      </c>
    </row>
    <row r="1392" spans="2:8" x14ac:dyDescent="0.25">
      <c r="B1392" s="97">
        <v>1.3136330000000001</v>
      </c>
      <c r="C1392" s="98">
        <v>95</v>
      </c>
      <c r="D1392" s="98">
        <v>80</v>
      </c>
      <c r="E1392" s="99">
        <v>0.24157200000000001</v>
      </c>
      <c r="F1392" s="99">
        <f t="shared" si="22"/>
        <v>4.1395525971552996</v>
      </c>
      <c r="G1392" s="97">
        <v>655.38650099999995</v>
      </c>
      <c r="H1392" s="97">
        <v>1.3136330000000001</v>
      </c>
    </row>
    <row r="1393" spans="2:8" x14ac:dyDescent="0.25">
      <c r="B1393" s="97">
        <v>1.3189409999999999</v>
      </c>
      <c r="C1393" s="98">
        <v>100</v>
      </c>
      <c r="D1393" s="98">
        <v>80</v>
      </c>
      <c r="E1393" s="99">
        <v>0.238926</v>
      </c>
      <c r="F1393" s="99">
        <f t="shared" si="22"/>
        <v>4.1853963151770843</v>
      </c>
      <c r="G1393" s="97">
        <v>658.34353099999998</v>
      </c>
      <c r="H1393" s="97">
        <v>1.3189409999999999</v>
      </c>
    </row>
    <row r="1394" spans="2:8" x14ac:dyDescent="0.25">
      <c r="B1394" s="97">
        <v>1.324168</v>
      </c>
      <c r="C1394" s="98">
        <v>105</v>
      </c>
      <c r="D1394" s="98">
        <v>80</v>
      </c>
      <c r="E1394" s="99">
        <v>0.23635300000000001</v>
      </c>
      <c r="F1394" s="99">
        <f t="shared" si="22"/>
        <v>4.2309596239523088</v>
      </c>
      <c r="G1394" s="97">
        <v>661.28212299999996</v>
      </c>
      <c r="H1394" s="97">
        <v>1.324168</v>
      </c>
    </row>
    <row r="1395" spans="2:8" x14ac:dyDescent="0.25">
      <c r="B1395" s="97">
        <v>1.3293200000000001</v>
      </c>
      <c r="C1395" s="98">
        <v>110</v>
      </c>
      <c r="D1395" s="98">
        <v>80</v>
      </c>
      <c r="E1395" s="99">
        <v>0.233851</v>
      </c>
      <c r="F1395" s="99">
        <f t="shared" si="22"/>
        <v>4.2762271702921941</v>
      </c>
      <c r="G1395" s="97">
        <v>664.20407</v>
      </c>
      <c r="H1395" s="97">
        <v>1.3293200000000001</v>
      </c>
    </row>
    <row r="1396" spans="2:8" x14ac:dyDescent="0.25">
      <c r="B1396" s="97">
        <v>1.3344009999999999</v>
      </c>
      <c r="C1396" s="98">
        <v>115</v>
      </c>
      <c r="D1396" s="98">
        <v>80</v>
      </c>
      <c r="E1396" s="99">
        <v>0.23141500000000001</v>
      </c>
      <c r="F1396" s="99">
        <f t="shared" si="22"/>
        <v>4.3212410604325564</v>
      </c>
      <c r="G1396" s="97">
        <v>667.11100099999999</v>
      </c>
      <c r="H1396" s="97">
        <v>1.3344009999999999</v>
      </c>
    </row>
    <row r="1397" spans="2:8" x14ac:dyDescent="0.25">
      <c r="B1397" s="97">
        <v>1.3394140000000001</v>
      </c>
      <c r="C1397" s="98">
        <v>120</v>
      </c>
      <c r="D1397" s="98">
        <v>80</v>
      </c>
      <c r="E1397" s="99">
        <v>0.229042</v>
      </c>
      <c r="F1397" s="99">
        <f t="shared" si="22"/>
        <v>4.366011473878153</v>
      </c>
      <c r="G1397" s="97">
        <v>670.00440300000002</v>
      </c>
      <c r="H1397" s="97">
        <v>1.3394140000000001</v>
      </c>
    </row>
    <row r="1398" spans="2:8" x14ac:dyDescent="0.25">
      <c r="B1398" s="97">
        <v>1.344363</v>
      </c>
      <c r="C1398" s="98">
        <v>125</v>
      </c>
      <c r="D1398" s="98">
        <v>80</v>
      </c>
      <c r="E1398" s="99">
        <v>0.22672900000000001</v>
      </c>
      <c r="F1398" s="99">
        <f t="shared" si="22"/>
        <v>4.4105518041362153</v>
      </c>
      <c r="G1398" s="97">
        <v>672.88563199999999</v>
      </c>
      <c r="H1398" s="97">
        <v>1.344363</v>
      </c>
    </row>
    <row r="1399" spans="2:8" x14ac:dyDescent="0.25">
      <c r="B1399" s="97">
        <v>1.349251</v>
      </c>
      <c r="C1399" s="98">
        <v>130</v>
      </c>
      <c r="D1399" s="98">
        <v>80</v>
      </c>
      <c r="E1399" s="99">
        <v>0.22447400000000001</v>
      </c>
      <c r="F1399" s="99">
        <f t="shared" si="22"/>
        <v>4.4548589146181738</v>
      </c>
      <c r="G1399" s="97">
        <v>675.75593300000003</v>
      </c>
      <c r="H1399" s="97">
        <v>1.349251</v>
      </c>
    </row>
    <row r="1400" spans="2:8" x14ac:dyDescent="0.25">
      <c r="B1400" s="97">
        <v>1.354082</v>
      </c>
      <c r="C1400" s="98">
        <v>135</v>
      </c>
      <c r="D1400" s="98">
        <v>80</v>
      </c>
      <c r="E1400" s="99">
        <v>0.222272</v>
      </c>
      <c r="F1400" s="99">
        <f t="shared" si="22"/>
        <v>4.4989922257414339</v>
      </c>
      <c r="G1400" s="97">
        <v>678.616444</v>
      </c>
      <c r="H1400" s="97">
        <v>1.354082</v>
      </c>
    </row>
    <row r="1401" spans="2:8" x14ac:dyDescent="0.25">
      <c r="B1401" s="97">
        <v>1.358857</v>
      </c>
      <c r="C1401" s="98">
        <v>140</v>
      </c>
      <c r="D1401" s="98">
        <v>80</v>
      </c>
      <c r="E1401" s="99">
        <v>0.22012300000000001</v>
      </c>
      <c r="F1401" s="99">
        <f t="shared" si="22"/>
        <v>4.5429146431767693</v>
      </c>
      <c r="G1401" s="97">
        <v>681.46821399999999</v>
      </c>
      <c r="H1401" s="97">
        <v>1.358857</v>
      </c>
    </row>
    <row r="1402" spans="2:8" x14ac:dyDescent="0.25">
      <c r="B1402" s="97">
        <v>1.36358</v>
      </c>
      <c r="C1402" s="98">
        <v>145</v>
      </c>
      <c r="D1402" s="98">
        <v>80</v>
      </c>
      <c r="E1402" s="99">
        <v>0.21802299999999999</v>
      </c>
      <c r="F1402" s="99">
        <f t="shared" si="22"/>
        <v>4.5866720483618701</v>
      </c>
      <c r="G1402" s="97">
        <v>684.31220699999994</v>
      </c>
      <c r="H1402" s="97">
        <v>1.36358</v>
      </c>
    </row>
    <row r="1403" spans="2:8" x14ac:dyDescent="0.25">
      <c r="B1403" s="97">
        <v>1.3682529999999999</v>
      </c>
      <c r="C1403" s="98">
        <v>150</v>
      </c>
      <c r="D1403" s="98">
        <v>80</v>
      </c>
      <c r="E1403" s="99">
        <v>0.21597</v>
      </c>
      <c r="F1403" s="99">
        <f t="shared" si="22"/>
        <v>4.6302727230633884</v>
      </c>
      <c r="G1403" s="97">
        <v>687.14931300000001</v>
      </c>
      <c r="H1403" s="97">
        <v>1.3682529999999999</v>
      </c>
    </row>
    <row r="1404" spans="2:8" x14ac:dyDescent="0.25">
      <c r="B1404" s="97">
        <v>1.372878</v>
      </c>
      <c r="C1404" s="98">
        <v>155</v>
      </c>
      <c r="D1404" s="98">
        <v>80</v>
      </c>
      <c r="E1404" s="99">
        <v>0.21396399999999999</v>
      </c>
      <c r="F1404" s="99">
        <f t="shared" si="22"/>
        <v>4.673683423379634</v>
      </c>
      <c r="G1404" s="97">
        <v>689.98035300000004</v>
      </c>
      <c r="H1404" s="97">
        <v>1.372878</v>
      </c>
    </row>
    <row r="1405" spans="2:8" x14ac:dyDescent="0.25">
      <c r="B1405" s="97">
        <v>1.377456</v>
      </c>
      <c r="C1405" s="98">
        <v>160</v>
      </c>
      <c r="D1405" s="98">
        <v>80</v>
      </c>
      <c r="E1405" s="99">
        <v>0.21199999999999999</v>
      </c>
      <c r="F1405" s="99">
        <f t="shared" si="22"/>
        <v>4.716981132075472</v>
      </c>
      <c r="G1405" s="97">
        <v>692.80608800000005</v>
      </c>
      <c r="H1405" s="97">
        <v>1.377456</v>
      </c>
    </row>
    <row r="1406" spans="2:8" x14ac:dyDescent="0.25">
      <c r="B1406" s="97">
        <v>1.381991</v>
      </c>
      <c r="C1406" s="98">
        <v>165</v>
      </c>
      <c r="D1406" s="98">
        <v>80</v>
      </c>
      <c r="E1406" s="99">
        <v>0.21007899999999999</v>
      </c>
      <c r="F1406" s="99">
        <f t="shared" si="22"/>
        <v>4.7601140523326944</v>
      </c>
      <c r="G1406" s="97">
        <v>695.62722299999996</v>
      </c>
      <c r="H1406" s="97">
        <v>1.381991</v>
      </c>
    </row>
    <row r="1407" spans="2:8" x14ac:dyDescent="0.25">
      <c r="B1407" s="97">
        <v>1.386482</v>
      </c>
      <c r="C1407" s="98">
        <v>170</v>
      </c>
      <c r="D1407" s="98">
        <v>80</v>
      </c>
      <c r="E1407" s="99">
        <v>0.20819799999999999</v>
      </c>
      <c r="F1407" s="99">
        <f t="shared" si="22"/>
        <v>4.8031201068213916</v>
      </c>
      <c r="G1407" s="97">
        <v>698.44441200000006</v>
      </c>
      <c r="H1407" s="97">
        <v>1.386482</v>
      </c>
    </row>
    <row r="1408" spans="2:8" x14ac:dyDescent="0.25">
      <c r="B1408" s="97">
        <v>1.3909339999999999</v>
      </c>
      <c r="C1408" s="98">
        <v>175</v>
      </c>
      <c r="D1408" s="98">
        <v>80</v>
      </c>
      <c r="E1408" s="99">
        <v>0.20635600000000001</v>
      </c>
      <c r="F1408" s="99">
        <f t="shared" si="22"/>
        <v>4.8459943011107018</v>
      </c>
      <c r="G1408" s="97">
        <v>701.25826199999995</v>
      </c>
      <c r="H1408" s="97">
        <v>1.3909339999999999</v>
      </c>
    </row>
    <row r="1409" spans="1:8" x14ac:dyDescent="0.25">
      <c r="B1409" s="97">
        <v>1.3953450000000001</v>
      </c>
      <c r="C1409" s="98">
        <v>180</v>
      </c>
      <c r="D1409" s="98">
        <v>80</v>
      </c>
      <c r="E1409" s="99">
        <v>0.20455100000000001</v>
      </c>
      <c r="F1409" s="99">
        <f t="shared" si="22"/>
        <v>4.8887563492723087</v>
      </c>
      <c r="G1409" s="97">
        <v>704.06934000000001</v>
      </c>
      <c r="H1409" s="97">
        <v>1.3953450000000001</v>
      </c>
    </row>
    <row r="1410" spans="1:8" x14ac:dyDescent="0.25">
      <c r="B1410" s="97">
        <v>1.3997189999999999</v>
      </c>
      <c r="C1410" s="98">
        <v>185</v>
      </c>
      <c r="D1410" s="98">
        <v>80</v>
      </c>
      <c r="E1410" s="99">
        <v>0.20278299999999999</v>
      </c>
      <c r="F1410" s="99">
        <f t="shared" si="22"/>
        <v>4.9313798493956593</v>
      </c>
      <c r="G1410" s="97">
        <v>706.87817399999994</v>
      </c>
      <c r="H1410" s="97">
        <v>1.3997189999999999</v>
      </c>
    </row>
    <row r="1411" spans="1:8" x14ac:dyDescent="0.25">
      <c r="B1411" s="97">
        <v>1.4040570000000001</v>
      </c>
      <c r="C1411" s="98">
        <v>190</v>
      </c>
      <c r="D1411" s="98">
        <v>80</v>
      </c>
      <c r="E1411" s="99">
        <v>0.20104900000000001</v>
      </c>
      <c r="F1411" s="99">
        <f t="shared" si="22"/>
        <v>4.9739118324388585</v>
      </c>
      <c r="G1411" s="97">
        <v>709.68525499999998</v>
      </c>
      <c r="H1411" s="97">
        <v>1.4040570000000001</v>
      </c>
    </row>
    <row r="1412" spans="1:8" x14ac:dyDescent="0.25">
      <c r="B1412" s="97">
        <v>1.4083589999999999</v>
      </c>
      <c r="C1412" s="98">
        <v>195</v>
      </c>
      <c r="D1412" s="98">
        <v>80</v>
      </c>
      <c r="E1412" s="99">
        <v>0.199348</v>
      </c>
      <c r="F1412" s="99">
        <f t="shared" si="22"/>
        <v>5.0163533117964567</v>
      </c>
      <c r="G1412" s="97">
        <v>712.49104399999999</v>
      </c>
      <c r="H1412" s="97">
        <v>1.4083589999999999</v>
      </c>
    </row>
    <row r="1413" spans="1:8" x14ac:dyDescent="0.25">
      <c r="B1413" s="97">
        <v>1.4126270000000001</v>
      </c>
      <c r="C1413" s="98">
        <v>200</v>
      </c>
      <c r="D1413" s="98">
        <v>80</v>
      </c>
      <c r="E1413" s="99">
        <v>0.19767999999999999</v>
      </c>
      <c r="F1413" s="99">
        <f t="shared" si="22"/>
        <v>5.0586806960744637</v>
      </c>
      <c r="G1413" s="97">
        <v>715.29597200000001</v>
      </c>
      <c r="H1413" s="97">
        <v>1.4126270000000001</v>
      </c>
    </row>
    <row r="1414" spans="1:8" x14ac:dyDescent="0.25">
      <c r="B1414" s="97">
        <v>1.42</v>
      </c>
      <c r="C1414" t="s">
        <v>374</v>
      </c>
      <c r="D1414" t="s">
        <v>374</v>
      </c>
      <c r="E1414" t="s">
        <v>374</v>
      </c>
      <c r="F1414" t="s">
        <v>374</v>
      </c>
      <c r="G1414" t="s">
        <v>374</v>
      </c>
      <c r="H1414" t="s">
        <v>374</v>
      </c>
    </row>
    <row r="1417" spans="1:8" ht="15.75" x14ac:dyDescent="0.25">
      <c r="A1417" s="92">
        <v>90</v>
      </c>
      <c r="C1417" s="109" t="s">
        <v>411</v>
      </c>
      <c r="D1417" s="101"/>
      <c r="E1417" s="110"/>
      <c r="F1417" s="110"/>
      <c r="G1417" s="111"/>
    </row>
    <row r="1418" spans="1:8" x14ac:dyDescent="0.25">
      <c r="B1418" s="96" t="s">
        <v>266</v>
      </c>
      <c r="C1418" s="96" t="s">
        <v>375</v>
      </c>
      <c r="D1418" s="96" t="s">
        <v>380</v>
      </c>
      <c r="E1418" s="96" t="s">
        <v>381</v>
      </c>
      <c r="F1418" s="96" t="s">
        <v>382</v>
      </c>
      <c r="G1418" s="96" t="s">
        <v>265</v>
      </c>
      <c r="H1418" s="96" t="s">
        <v>266</v>
      </c>
    </row>
    <row r="1419" spans="1:8" x14ac:dyDescent="0.25">
      <c r="B1419" s="96" t="s">
        <v>383</v>
      </c>
      <c r="C1419" s="96" t="s">
        <v>384</v>
      </c>
      <c r="D1419" s="96" t="s">
        <v>385</v>
      </c>
      <c r="E1419" s="96" t="s">
        <v>386</v>
      </c>
      <c r="F1419" s="96" t="s">
        <v>387</v>
      </c>
      <c r="G1419" s="96" t="s">
        <v>388</v>
      </c>
      <c r="H1419" s="96" t="s">
        <v>383</v>
      </c>
    </row>
    <row r="1420" spans="1:8" x14ac:dyDescent="0.25">
      <c r="B1420" s="97">
        <v>9.6856999999999999E-2</v>
      </c>
      <c r="C1420" s="98">
        <v>0</v>
      </c>
      <c r="D1420" s="98">
        <v>90</v>
      </c>
      <c r="E1420" s="99">
        <v>41.358660999999998</v>
      </c>
      <c r="F1420" s="99">
        <f t="shared" ref="F1420:F1460" si="23">1/E1420</f>
        <v>2.4178732478790842E-2</v>
      </c>
      <c r="G1420" s="97">
        <v>42.912418000000002</v>
      </c>
      <c r="H1420" s="97">
        <v>9.6856999999999999E-2</v>
      </c>
    </row>
    <row r="1421" spans="1:8" x14ac:dyDescent="0.25">
      <c r="B1421" s="97">
        <v>0.108569</v>
      </c>
      <c r="C1421" s="98">
        <v>5</v>
      </c>
      <c r="D1421" s="98">
        <v>90</v>
      </c>
      <c r="E1421" s="99">
        <v>41.132263000000002</v>
      </c>
      <c r="F1421" s="99">
        <f t="shared" si="23"/>
        <v>2.4311815763698681E-2</v>
      </c>
      <c r="G1421" s="97">
        <v>48.325203000000002</v>
      </c>
      <c r="H1421" s="97">
        <v>0.108569</v>
      </c>
    </row>
    <row r="1422" spans="1:8" x14ac:dyDescent="0.25">
      <c r="B1422" s="97">
        <v>0.12019100000000001</v>
      </c>
      <c r="C1422" s="98">
        <v>10</v>
      </c>
      <c r="D1422" s="98">
        <v>90</v>
      </c>
      <c r="E1422" s="99">
        <v>40.903837000000003</v>
      </c>
      <c r="F1422" s="99">
        <f t="shared" si="23"/>
        <v>2.4447584220521901E-2</v>
      </c>
      <c r="G1422" s="97">
        <v>53.754558000000003</v>
      </c>
      <c r="H1422" s="97">
        <v>0.12019100000000001</v>
      </c>
    </row>
    <row r="1423" spans="1:8" x14ac:dyDescent="0.25">
      <c r="B1423" s="97">
        <v>0.13172500000000001</v>
      </c>
      <c r="C1423" s="98">
        <v>15</v>
      </c>
      <c r="D1423" s="98">
        <v>90</v>
      </c>
      <c r="E1423" s="99">
        <v>40.67333</v>
      </c>
      <c r="F1423" s="99">
        <f t="shared" si="23"/>
        <v>2.4586135435677385E-2</v>
      </c>
      <c r="G1423" s="97">
        <v>59.200704999999999</v>
      </c>
      <c r="H1423" s="97">
        <v>0.13172500000000001</v>
      </c>
    </row>
    <row r="1424" spans="1:8" x14ac:dyDescent="0.25">
      <c r="B1424" s="97">
        <v>0.143174</v>
      </c>
      <c r="C1424" s="98">
        <v>20</v>
      </c>
      <c r="D1424" s="98">
        <v>90</v>
      </c>
      <c r="E1424" s="99">
        <v>40.440680999999998</v>
      </c>
      <c r="F1424" s="99">
        <f t="shared" si="23"/>
        <v>2.4727575680538121E-2</v>
      </c>
      <c r="G1424" s="97">
        <v>64.663944000000001</v>
      </c>
      <c r="H1424" s="97">
        <v>0.143174</v>
      </c>
    </row>
    <row r="1425" spans="2:8" x14ac:dyDescent="0.25">
      <c r="B1425" s="97">
        <v>0.15454100000000001</v>
      </c>
      <c r="C1425" s="98">
        <v>25</v>
      </c>
      <c r="D1425" s="98">
        <v>90</v>
      </c>
      <c r="E1425" s="99">
        <v>40.205820000000003</v>
      </c>
      <c r="F1425" s="99">
        <f t="shared" si="23"/>
        <v>2.4872021015862875E-2</v>
      </c>
      <c r="G1425" s="97">
        <v>70.144654000000003</v>
      </c>
      <c r="H1425" s="97">
        <v>0.15454100000000001</v>
      </c>
    </row>
    <row r="1426" spans="2:8" x14ac:dyDescent="0.25">
      <c r="B1426" s="97">
        <v>0.165828</v>
      </c>
      <c r="C1426" s="98">
        <v>30</v>
      </c>
      <c r="D1426" s="98">
        <v>90</v>
      </c>
      <c r="E1426" s="99">
        <v>39.968668999999998</v>
      </c>
      <c r="F1426" s="99">
        <f t="shared" si="23"/>
        <v>2.5019597225016427E-2</v>
      </c>
      <c r="G1426" s="97">
        <v>75.643299999999996</v>
      </c>
      <c r="H1426" s="97">
        <v>0.165828</v>
      </c>
    </row>
    <row r="1427" spans="2:8" x14ac:dyDescent="0.25">
      <c r="B1427" s="97">
        <v>0.177038</v>
      </c>
      <c r="C1427" s="98">
        <v>35</v>
      </c>
      <c r="D1427" s="98">
        <v>90</v>
      </c>
      <c r="E1427" s="99">
        <v>39.729137000000001</v>
      </c>
      <c r="F1427" s="99">
        <f t="shared" si="23"/>
        <v>2.5170443546256742E-2</v>
      </c>
      <c r="G1427" s="97">
        <v>81.160436000000004</v>
      </c>
      <c r="H1427" s="97">
        <v>0.177038</v>
      </c>
    </row>
    <row r="1428" spans="2:8" x14ac:dyDescent="0.25">
      <c r="B1428" s="97">
        <v>0.18817400000000001</v>
      </c>
      <c r="C1428" s="98">
        <v>40</v>
      </c>
      <c r="D1428" s="98">
        <v>90</v>
      </c>
      <c r="E1428" s="99">
        <v>39.487127000000001</v>
      </c>
      <c r="F1428" s="99">
        <f t="shared" si="23"/>
        <v>2.5324708986804736E-2</v>
      </c>
      <c r="G1428" s="97">
        <v>86.696709999999996</v>
      </c>
      <c r="H1428" s="97">
        <v>0.18817400000000001</v>
      </c>
    </row>
    <row r="1429" spans="2:8" x14ac:dyDescent="0.25">
      <c r="B1429" s="97">
        <v>0.199238</v>
      </c>
      <c r="C1429" s="98">
        <v>45</v>
      </c>
      <c r="D1429" s="98">
        <v>90</v>
      </c>
      <c r="E1429" s="99">
        <v>39.242527000000003</v>
      </c>
      <c r="F1429" s="99">
        <f t="shared" si="23"/>
        <v>2.5482558755709078E-2</v>
      </c>
      <c r="G1429" s="97">
        <v>92.252870999999999</v>
      </c>
      <c r="H1429" s="97">
        <v>0.199238</v>
      </c>
    </row>
    <row r="1430" spans="2:8" x14ac:dyDescent="0.25">
      <c r="B1430" s="97">
        <v>0.210234</v>
      </c>
      <c r="C1430" s="98">
        <v>50</v>
      </c>
      <c r="D1430" s="98">
        <v>90</v>
      </c>
      <c r="E1430" s="99">
        <v>38.995216999999997</v>
      </c>
      <c r="F1430" s="99">
        <f t="shared" si="23"/>
        <v>2.5644170668418131E-2</v>
      </c>
      <c r="G1430" s="97">
        <v>97.829774999999998</v>
      </c>
      <c r="H1430" s="97">
        <v>0.210234</v>
      </c>
    </row>
    <row r="1431" spans="2:8" x14ac:dyDescent="0.25">
      <c r="B1431" s="97">
        <v>1.249946</v>
      </c>
      <c r="C1431" s="98">
        <v>55</v>
      </c>
      <c r="D1431" s="98">
        <v>90</v>
      </c>
      <c r="E1431" s="99">
        <v>0.30261700000000002</v>
      </c>
      <c r="F1431" s="99">
        <f t="shared" si="23"/>
        <v>3.3045070171206508</v>
      </c>
      <c r="G1431" s="97">
        <v>628.23399400000005</v>
      </c>
      <c r="H1431" s="97">
        <v>1.249946</v>
      </c>
    </row>
    <row r="1432" spans="2:8" x14ac:dyDescent="0.25">
      <c r="B1432" s="97">
        <v>1.2563610000000001</v>
      </c>
      <c r="C1432" s="98">
        <v>60</v>
      </c>
      <c r="D1432" s="98">
        <v>90</v>
      </c>
      <c r="E1432" s="99">
        <v>0.29852200000000001</v>
      </c>
      <c r="F1432" s="99">
        <f t="shared" si="23"/>
        <v>3.3498368629447746</v>
      </c>
      <c r="G1432" s="97">
        <v>631.55150400000002</v>
      </c>
      <c r="H1432" s="97">
        <v>1.2563610000000001</v>
      </c>
    </row>
    <row r="1433" spans="2:8" x14ac:dyDescent="0.25">
      <c r="B1433" s="97">
        <v>1.262615</v>
      </c>
      <c r="C1433" s="98">
        <v>65</v>
      </c>
      <c r="D1433" s="98">
        <v>90</v>
      </c>
      <c r="E1433" s="99">
        <v>0.29459000000000002</v>
      </c>
      <c r="F1433" s="99">
        <f t="shared" si="23"/>
        <v>3.3945483553413216</v>
      </c>
      <c r="G1433" s="97">
        <v>634.81719299999997</v>
      </c>
      <c r="H1433" s="97">
        <v>1.262615</v>
      </c>
    </row>
    <row r="1434" spans="2:8" x14ac:dyDescent="0.25">
      <c r="B1434" s="97">
        <v>1.2687219999999999</v>
      </c>
      <c r="C1434" s="98">
        <v>70</v>
      </c>
      <c r="D1434" s="98">
        <v>90</v>
      </c>
      <c r="E1434" s="99">
        <v>0.29080899999999998</v>
      </c>
      <c r="F1434" s="99">
        <f t="shared" si="23"/>
        <v>3.4386831219116329</v>
      </c>
      <c r="G1434" s="97">
        <v>638.03644199999997</v>
      </c>
      <c r="H1434" s="97">
        <v>1.2687219999999999</v>
      </c>
    </row>
    <row r="1435" spans="2:8" x14ac:dyDescent="0.25">
      <c r="B1435" s="97">
        <v>1.2746930000000001</v>
      </c>
      <c r="C1435" s="98">
        <v>75</v>
      </c>
      <c r="D1435" s="98">
        <v>90</v>
      </c>
      <c r="E1435" s="99">
        <v>0.28716599999999998</v>
      </c>
      <c r="F1435" s="99">
        <f t="shared" si="23"/>
        <v>3.4823064011756268</v>
      </c>
      <c r="G1435" s="97">
        <v>641.21397200000001</v>
      </c>
      <c r="H1435" s="97">
        <v>1.2746930000000001</v>
      </c>
    </row>
    <row r="1436" spans="2:8" x14ac:dyDescent="0.25">
      <c r="B1436" s="97">
        <v>1.280538</v>
      </c>
      <c r="C1436" s="98">
        <v>80</v>
      </c>
      <c r="D1436" s="98">
        <v>90</v>
      </c>
      <c r="E1436" s="99">
        <v>0.28365099999999999</v>
      </c>
      <c r="F1436" s="99">
        <f t="shared" si="23"/>
        <v>3.5254591029116766</v>
      </c>
      <c r="G1436" s="97">
        <v>644.35395400000004</v>
      </c>
      <c r="H1436" s="97">
        <v>1.280538</v>
      </c>
    </row>
    <row r="1437" spans="2:8" x14ac:dyDescent="0.25">
      <c r="B1437" s="97">
        <v>1.286267</v>
      </c>
      <c r="C1437" s="98">
        <v>85</v>
      </c>
      <c r="D1437" s="98">
        <v>90</v>
      </c>
      <c r="E1437" s="99">
        <v>0.280254</v>
      </c>
      <c r="F1437" s="99">
        <f t="shared" si="23"/>
        <v>3.5681917118042916</v>
      </c>
      <c r="G1437" s="97">
        <v>647.46008600000005</v>
      </c>
      <c r="H1437" s="97">
        <v>1.286267</v>
      </c>
    </row>
    <row r="1438" spans="2:8" x14ac:dyDescent="0.25">
      <c r="B1438" s="97">
        <v>1.2918879999999999</v>
      </c>
      <c r="C1438" s="98">
        <v>90</v>
      </c>
      <c r="D1438" s="98">
        <v>90</v>
      </c>
      <c r="E1438" s="99">
        <v>0.27696900000000002</v>
      </c>
      <c r="F1438" s="99">
        <f t="shared" si="23"/>
        <v>3.6105123678101156</v>
      </c>
      <c r="G1438" s="97">
        <v>650.53566499999999</v>
      </c>
      <c r="H1438" s="97">
        <v>1.2918879999999999</v>
      </c>
    </row>
    <row r="1439" spans="2:8" x14ac:dyDescent="0.25">
      <c r="B1439" s="97">
        <v>1.2974079999999999</v>
      </c>
      <c r="C1439" s="98">
        <v>95</v>
      </c>
      <c r="D1439" s="98">
        <v>90</v>
      </c>
      <c r="E1439" s="99">
        <v>0.27378799999999998</v>
      </c>
      <c r="F1439" s="99">
        <f t="shared" si="23"/>
        <v>3.652461028240829</v>
      </c>
      <c r="G1439" s="97">
        <v>653.58364300000005</v>
      </c>
      <c r="H1439" s="97">
        <v>1.2974079999999999</v>
      </c>
    </row>
    <row r="1440" spans="2:8" x14ac:dyDescent="0.25">
      <c r="B1440" s="97">
        <v>1.302834</v>
      </c>
      <c r="C1440" s="98">
        <v>100</v>
      </c>
      <c r="D1440" s="98">
        <v>90</v>
      </c>
      <c r="E1440" s="99">
        <v>0.27070300000000003</v>
      </c>
      <c r="F1440" s="99">
        <f t="shared" si="23"/>
        <v>3.6940853998662737</v>
      </c>
      <c r="G1440" s="97">
        <v>656.60666800000001</v>
      </c>
      <c r="H1440" s="97">
        <v>1.302834</v>
      </c>
    </row>
    <row r="1441" spans="2:8" x14ac:dyDescent="0.25">
      <c r="B1441" s="97">
        <v>1.308171</v>
      </c>
      <c r="C1441" s="98">
        <v>105</v>
      </c>
      <c r="D1441" s="98">
        <v>90</v>
      </c>
      <c r="E1441" s="99">
        <v>0.26771</v>
      </c>
      <c r="F1441" s="99">
        <f t="shared" si="23"/>
        <v>3.7353853049942103</v>
      </c>
      <c r="G1441" s="97">
        <v>659.607125</v>
      </c>
      <c r="H1441" s="97">
        <v>1.308171</v>
      </c>
    </row>
    <row r="1442" spans="2:8" x14ac:dyDescent="0.25">
      <c r="B1442" s="97">
        <v>1.313426</v>
      </c>
      <c r="C1442" s="98">
        <v>110</v>
      </c>
      <c r="D1442" s="98">
        <v>90</v>
      </c>
      <c r="E1442" s="99">
        <v>0.26480300000000001</v>
      </c>
      <c r="F1442" s="99">
        <f t="shared" si="23"/>
        <v>3.7763922614169778</v>
      </c>
      <c r="G1442" s="97">
        <v>662.58717000000001</v>
      </c>
      <c r="H1442" s="97">
        <v>1.313426</v>
      </c>
    </row>
    <row r="1443" spans="2:8" x14ac:dyDescent="0.25">
      <c r="B1443" s="97">
        <v>1.3186020000000001</v>
      </c>
      <c r="C1443" s="98">
        <v>115</v>
      </c>
      <c r="D1443" s="98">
        <v>90</v>
      </c>
      <c r="E1443" s="99">
        <v>0.26197799999999999</v>
      </c>
      <c r="F1443" s="99">
        <f t="shared" si="23"/>
        <v>3.8171144141874511</v>
      </c>
      <c r="G1443" s="97">
        <v>665.54875600000003</v>
      </c>
      <c r="H1443" s="97">
        <v>1.3186020000000001</v>
      </c>
    </row>
    <row r="1444" spans="2:8" x14ac:dyDescent="0.25">
      <c r="B1444" s="97">
        <v>1.323704</v>
      </c>
      <c r="C1444" s="98">
        <v>120</v>
      </c>
      <c r="D1444" s="98">
        <v>90</v>
      </c>
      <c r="E1444" s="99">
        <v>0.25922899999999999</v>
      </c>
      <c r="F1444" s="99">
        <f t="shared" si="23"/>
        <v>3.8575930933653257</v>
      </c>
      <c r="G1444" s="97">
        <v>668.49365799999998</v>
      </c>
      <c r="H1444" s="97">
        <v>1.323704</v>
      </c>
    </row>
    <row r="1445" spans="2:8" x14ac:dyDescent="0.25">
      <c r="B1445" s="97">
        <v>1.3287370000000001</v>
      </c>
      <c r="C1445" s="98">
        <v>125</v>
      </c>
      <c r="D1445" s="98">
        <v>90</v>
      </c>
      <c r="E1445" s="99">
        <v>0.256552</v>
      </c>
      <c r="F1445" s="99">
        <f t="shared" si="23"/>
        <v>3.8978452711341172</v>
      </c>
      <c r="G1445" s="97">
        <v>671.42348800000002</v>
      </c>
      <c r="H1445" s="97">
        <v>1.3287370000000001</v>
      </c>
    </row>
    <row r="1446" spans="2:8" x14ac:dyDescent="0.25">
      <c r="B1446" s="97">
        <v>1.3337030000000001</v>
      </c>
      <c r="C1446" s="98">
        <v>130</v>
      </c>
      <c r="D1446" s="98">
        <v>90</v>
      </c>
      <c r="E1446" s="99">
        <v>0.25394499999999998</v>
      </c>
      <c r="F1446" s="99">
        <f t="shared" si="23"/>
        <v>3.9378605603575583</v>
      </c>
      <c r="G1446" s="97">
        <v>674.33972100000005</v>
      </c>
      <c r="H1446" s="97">
        <v>1.3337030000000001</v>
      </c>
    </row>
    <row r="1447" spans="2:8" x14ac:dyDescent="0.25">
      <c r="B1447" s="97">
        <v>1.3386070000000001</v>
      </c>
      <c r="C1447" s="98">
        <v>135</v>
      </c>
      <c r="D1447" s="98">
        <v>90</v>
      </c>
      <c r="E1447" s="99">
        <v>0.25140299999999999</v>
      </c>
      <c r="F1447" s="99">
        <f t="shared" si="23"/>
        <v>3.9776772751319598</v>
      </c>
      <c r="G1447" s="97">
        <v>677.24370399999998</v>
      </c>
      <c r="H1447" s="97">
        <v>1.3386070000000001</v>
      </c>
    </row>
    <row r="1448" spans="2:8" x14ac:dyDescent="0.25">
      <c r="B1448" s="97">
        <v>1.3434520000000001</v>
      </c>
      <c r="C1448" s="98">
        <v>140</v>
      </c>
      <c r="D1448" s="98">
        <v>90</v>
      </c>
      <c r="E1448" s="99">
        <v>0.24892400000000001</v>
      </c>
      <c r="F1448" s="99">
        <f t="shared" si="23"/>
        <v>4.0172904179588951</v>
      </c>
      <c r="G1448" s="97">
        <v>680.13667199999998</v>
      </c>
      <c r="H1448" s="97">
        <v>1.3434520000000001</v>
      </c>
    </row>
    <row r="1449" spans="2:8" x14ac:dyDescent="0.25">
      <c r="B1449" s="97">
        <v>1.3482400000000001</v>
      </c>
      <c r="C1449" s="98">
        <v>145</v>
      </c>
      <c r="D1449" s="98">
        <v>90</v>
      </c>
      <c r="E1449" s="99">
        <v>0.246504</v>
      </c>
      <c r="F1449" s="99">
        <f t="shared" si="23"/>
        <v>4.0567293025670983</v>
      </c>
      <c r="G1449" s="97">
        <v>683.01975700000003</v>
      </c>
      <c r="H1449" s="97">
        <v>1.3482400000000001</v>
      </c>
    </row>
    <row r="1450" spans="2:8" x14ac:dyDescent="0.25">
      <c r="B1450" s="97">
        <v>1.3529739999999999</v>
      </c>
      <c r="C1450" s="98">
        <v>150</v>
      </c>
      <c r="D1450" s="98">
        <v>90</v>
      </c>
      <c r="E1450" s="99">
        <v>0.244141</v>
      </c>
      <c r="F1450" s="99">
        <f t="shared" si="23"/>
        <v>4.0959937085536637</v>
      </c>
      <c r="G1450" s="97">
        <v>685.894002</v>
      </c>
      <c r="H1450" s="97">
        <v>1.3529739999999999</v>
      </c>
    </row>
    <row r="1451" spans="2:8" x14ac:dyDescent="0.25">
      <c r="B1451" s="97">
        <v>1.357656</v>
      </c>
      <c r="C1451" s="98">
        <v>155</v>
      </c>
      <c r="D1451" s="98">
        <v>90</v>
      </c>
      <c r="E1451" s="99">
        <v>0.24183299999999999</v>
      </c>
      <c r="F1451" s="99">
        <f t="shared" si="23"/>
        <v>4.1350849553204068</v>
      </c>
      <c r="G1451" s="97">
        <v>688.76036799999997</v>
      </c>
      <c r="H1451" s="97">
        <v>1.357656</v>
      </c>
    </row>
    <row r="1452" spans="2:8" x14ac:dyDescent="0.25">
      <c r="B1452" s="97">
        <v>1.3622890000000001</v>
      </c>
      <c r="C1452" s="98">
        <v>160</v>
      </c>
      <c r="D1452" s="98">
        <v>90</v>
      </c>
      <c r="E1452" s="99">
        <v>0.23957600000000001</v>
      </c>
      <c r="F1452" s="99">
        <f t="shared" si="23"/>
        <v>4.1740408054229139</v>
      </c>
      <c r="G1452" s="97">
        <v>691.61974099999998</v>
      </c>
      <c r="H1452" s="97">
        <v>1.3622890000000001</v>
      </c>
    </row>
    <row r="1453" spans="2:8" x14ac:dyDescent="0.25">
      <c r="B1453" s="97">
        <v>1.3668750000000001</v>
      </c>
      <c r="C1453" s="98">
        <v>165</v>
      </c>
      <c r="D1453" s="98">
        <v>90</v>
      </c>
      <c r="E1453" s="99">
        <v>0.23737</v>
      </c>
      <c r="F1453" s="99">
        <f t="shared" si="23"/>
        <v>4.2128322871466484</v>
      </c>
      <c r="G1453" s="97">
        <v>694.47293999999999</v>
      </c>
      <c r="H1453" s="97">
        <v>1.3668750000000001</v>
      </c>
    </row>
    <row r="1454" spans="2:8" x14ac:dyDescent="0.25">
      <c r="B1454" s="97">
        <v>1.371416</v>
      </c>
      <c r="C1454" s="98">
        <v>170</v>
      </c>
      <c r="D1454" s="98">
        <v>90</v>
      </c>
      <c r="E1454" s="99">
        <v>0.235211</v>
      </c>
      <c r="F1454" s="99">
        <f t="shared" si="23"/>
        <v>4.2515018430260492</v>
      </c>
      <c r="G1454" s="97">
        <v>697.32072500000004</v>
      </c>
      <c r="H1454" s="97">
        <v>1.371416</v>
      </c>
    </row>
    <row r="1455" spans="2:8" x14ac:dyDescent="0.25">
      <c r="B1455" s="97">
        <v>1.3759129999999999</v>
      </c>
      <c r="C1455" s="98">
        <v>175</v>
      </c>
      <c r="D1455" s="98">
        <v>90</v>
      </c>
      <c r="E1455" s="99">
        <v>0.233098</v>
      </c>
      <c r="F1455" s="99">
        <f t="shared" si="23"/>
        <v>4.2900410985937247</v>
      </c>
      <c r="G1455" s="97">
        <v>700.16380000000004</v>
      </c>
      <c r="H1455" s="97">
        <v>1.3759129999999999</v>
      </c>
    </row>
    <row r="1456" spans="2:8" x14ac:dyDescent="0.25">
      <c r="B1456" s="97">
        <v>1.380369</v>
      </c>
      <c r="C1456" s="98">
        <v>180</v>
      </c>
      <c r="D1456" s="98">
        <v>90</v>
      </c>
      <c r="E1456" s="99">
        <v>0.23103000000000001</v>
      </c>
      <c r="F1456" s="99">
        <f t="shared" si="23"/>
        <v>4.3284421936545039</v>
      </c>
      <c r="G1456" s="97">
        <v>703.00281900000004</v>
      </c>
      <c r="H1456" s="97">
        <v>1.380369</v>
      </c>
    </row>
    <row r="1457" spans="1:8" x14ac:dyDescent="0.25">
      <c r="B1457" s="97">
        <v>1.384784</v>
      </c>
      <c r="C1457" s="98">
        <v>185</v>
      </c>
      <c r="D1457" s="98">
        <v>90</v>
      </c>
      <c r="E1457" s="99">
        <v>0.22900400000000001</v>
      </c>
      <c r="F1457" s="99">
        <f t="shared" si="23"/>
        <v>4.3667359522104414</v>
      </c>
      <c r="G1457" s="97">
        <v>705.83838900000001</v>
      </c>
      <c r="H1457" s="97">
        <v>1.384784</v>
      </c>
    </row>
    <row r="1458" spans="1:8" x14ac:dyDescent="0.25">
      <c r="B1458" s="97">
        <v>1.389162</v>
      </c>
      <c r="C1458" s="98">
        <v>190</v>
      </c>
      <c r="D1458" s="98">
        <v>90</v>
      </c>
      <c r="E1458" s="99">
        <v>0.227019</v>
      </c>
      <c r="F1458" s="99">
        <f t="shared" si="23"/>
        <v>4.4049176500645322</v>
      </c>
      <c r="G1458" s="97">
        <v>708.67107699999997</v>
      </c>
      <c r="H1458" s="97">
        <v>1.389162</v>
      </c>
    </row>
    <row r="1459" spans="1:8" x14ac:dyDescent="0.25">
      <c r="B1459" s="97">
        <v>1.3935010000000001</v>
      </c>
      <c r="C1459" s="98">
        <v>195</v>
      </c>
      <c r="D1459" s="98">
        <v>90</v>
      </c>
      <c r="E1459" s="99">
        <v>0.225073</v>
      </c>
      <c r="F1459" s="99">
        <f t="shared" si="23"/>
        <v>4.4430029368249411</v>
      </c>
      <c r="G1459" s="97">
        <v>711.50141199999996</v>
      </c>
      <c r="H1459" s="97">
        <v>1.3935010000000001</v>
      </c>
    </row>
    <row r="1460" spans="1:8" x14ac:dyDescent="0.25">
      <c r="B1460" s="97">
        <v>1.397805</v>
      </c>
      <c r="C1460" s="98">
        <v>200</v>
      </c>
      <c r="D1460" s="98">
        <v>90</v>
      </c>
      <c r="E1460" s="99">
        <v>0.223165</v>
      </c>
      <c r="F1460" s="99">
        <f t="shared" si="23"/>
        <v>4.4809894024600627</v>
      </c>
      <c r="G1460" s="97">
        <v>714.32988699999999</v>
      </c>
      <c r="H1460" s="97">
        <v>1.397805</v>
      </c>
    </row>
    <row r="1461" spans="1:8" x14ac:dyDescent="0.25">
      <c r="B1461" s="97">
        <v>1.4019999999999999</v>
      </c>
      <c r="C1461" t="s">
        <v>374</v>
      </c>
      <c r="D1461" t="s">
        <v>374</v>
      </c>
      <c r="E1461" t="s">
        <v>374</v>
      </c>
      <c r="F1461" t="s">
        <v>374</v>
      </c>
      <c r="G1461" t="s">
        <v>374</v>
      </c>
      <c r="H1461" t="s">
        <v>374</v>
      </c>
    </row>
    <row r="1464" spans="1:8" ht="15.75" x14ac:dyDescent="0.25">
      <c r="A1464" s="92">
        <v>100</v>
      </c>
      <c r="C1464" s="109" t="s">
        <v>412</v>
      </c>
      <c r="D1464" s="101"/>
      <c r="E1464" s="110"/>
      <c r="F1464" s="110"/>
      <c r="G1464" s="111"/>
    </row>
    <row r="1465" spans="1:8" x14ac:dyDescent="0.25">
      <c r="B1465" s="96" t="s">
        <v>266</v>
      </c>
      <c r="C1465" s="96" t="s">
        <v>375</v>
      </c>
      <c r="D1465" s="96" t="s">
        <v>380</v>
      </c>
      <c r="E1465" s="96" t="s">
        <v>381</v>
      </c>
      <c r="F1465" s="96" t="s">
        <v>382</v>
      </c>
      <c r="G1465" s="96" t="s">
        <v>265</v>
      </c>
      <c r="H1465" s="96" t="s">
        <v>266</v>
      </c>
    </row>
    <row r="1466" spans="1:8" x14ac:dyDescent="0.25">
      <c r="B1466" s="96" t="s">
        <v>383</v>
      </c>
      <c r="C1466" s="96" t="s">
        <v>384</v>
      </c>
      <c r="D1466" s="96" t="s">
        <v>385</v>
      </c>
      <c r="E1466" s="96" t="s">
        <v>386</v>
      </c>
      <c r="F1466" s="96" t="s">
        <v>387</v>
      </c>
      <c r="G1466" s="96" t="s">
        <v>388</v>
      </c>
      <c r="H1466" s="96" t="s">
        <v>383</v>
      </c>
    </row>
    <row r="1467" spans="1:8" x14ac:dyDescent="0.25">
      <c r="B1467" s="97">
        <v>9.6808000000000005E-2</v>
      </c>
      <c r="C1467" s="98">
        <v>0</v>
      </c>
      <c r="D1467" s="98">
        <v>100</v>
      </c>
      <c r="E1467" s="99">
        <v>41.361159000000001</v>
      </c>
      <c r="F1467" s="99">
        <f t="shared" ref="F1467:F1507" si="24">1/E1467</f>
        <v>2.4177272208450444E-2</v>
      </c>
      <c r="G1467" s="97">
        <v>42.934761999999999</v>
      </c>
      <c r="H1467" s="97">
        <v>9.6808000000000005E-2</v>
      </c>
    </row>
    <row r="1468" spans="1:8" x14ac:dyDescent="0.25">
      <c r="B1468" s="97">
        <v>0.108519</v>
      </c>
      <c r="C1468" s="98">
        <v>5</v>
      </c>
      <c r="D1468" s="98">
        <v>100</v>
      </c>
      <c r="E1468" s="99">
        <v>41.134833999999998</v>
      </c>
      <c r="F1468" s="99">
        <f t="shared" si="24"/>
        <v>2.4310296232142325E-2</v>
      </c>
      <c r="G1468" s="97">
        <v>48.347096000000001</v>
      </c>
      <c r="H1468" s="97">
        <v>0.108519</v>
      </c>
    </row>
    <row r="1469" spans="1:8" x14ac:dyDescent="0.25">
      <c r="B1469" s="97">
        <v>0.12014</v>
      </c>
      <c r="C1469" s="98">
        <v>10</v>
      </c>
      <c r="D1469" s="98">
        <v>100</v>
      </c>
      <c r="E1469" s="99">
        <v>40.906483999999999</v>
      </c>
      <c r="F1469" s="99">
        <f t="shared" si="24"/>
        <v>2.4446002252356862E-2</v>
      </c>
      <c r="G1469" s="97">
        <v>53.775978000000002</v>
      </c>
      <c r="H1469" s="97">
        <v>0.12014</v>
      </c>
    </row>
    <row r="1470" spans="1:8" x14ac:dyDescent="0.25">
      <c r="B1470" s="97">
        <v>0.13167300000000001</v>
      </c>
      <c r="C1470" s="98">
        <v>15</v>
      </c>
      <c r="D1470" s="98">
        <v>100</v>
      </c>
      <c r="E1470" s="99">
        <v>40.676056000000003</v>
      </c>
      <c r="F1470" s="99">
        <f t="shared" si="24"/>
        <v>2.458448773892926E-2</v>
      </c>
      <c r="G1470" s="97">
        <v>59.221629999999998</v>
      </c>
      <c r="H1470" s="97">
        <v>0.13167300000000001</v>
      </c>
    </row>
    <row r="1471" spans="1:8" x14ac:dyDescent="0.25">
      <c r="B1471" s="97">
        <v>0.143121</v>
      </c>
      <c r="C1471" s="98">
        <v>20</v>
      </c>
      <c r="D1471" s="98">
        <v>100</v>
      </c>
      <c r="E1471" s="99">
        <v>40.443489999999997</v>
      </c>
      <c r="F1471" s="99">
        <f t="shared" si="24"/>
        <v>2.4725858228357645E-2</v>
      </c>
      <c r="G1471" s="97">
        <v>64.684348</v>
      </c>
      <c r="H1471" s="97">
        <v>0.143121</v>
      </c>
    </row>
    <row r="1472" spans="1:8" x14ac:dyDescent="0.25">
      <c r="B1472" s="97">
        <v>0.15448700000000001</v>
      </c>
      <c r="C1472" s="98">
        <v>25</v>
      </c>
      <c r="D1472" s="98">
        <v>100</v>
      </c>
      <c r="E1472" s="99">
        <v>40.208714999999998</v>
      </c>
      <c r="F1472" s="99">
        <f t="shared" si="24"/>
        <v>2.4870230247348121E-2</v>
      </c>
      <c r="G1472" s="97">
        <v>70.164511000000005</v>
      </c>
      <c r="H1472" s="97">
        <v>0.15448700000000001</v>
      </c>
    </row>
    <row r="1473" spans="2:8" x14ac:dyDescent="0.25">
      <c r="B1473" s="97">
        <v>0.165773</v>
      </c>
      <c r="C1473" s="98">
        <v>30</v>
      </c>
      <c r="D1473" s="98">
        <v>100</v>
      </c>
      <c r="E1473" s="99">
        <v>39.971654000000001</v>
      </c>
      <c r="F1473" s="99">
        <f t="shared" si="24"/>
        <v>2.5017728813523703E-2</v>
      </c>
      <c r="G1473" s="97">
        <v>75.662581000000003</v>
      </c>
      <c r="H1473" s="97">
        <v>0.165773</v>
      </c>
    </row>
    <row r="1474" spans="2:8" x14ac:dyDescent="0.25">
      <c r="B1474" s="97">
        <v>0.176982</v>
      </c>
      <c r="C1474" s="98">
        <v>35</v>
      </c>
      <c r="D1474" s="98">
        <v>100</v>
      </c>
      <c r="E1474" s="99">
        <v>39.732218000000003</v>
      </c>
      <c r="F1474" s="99">
        <f t="shared" si="24"/>
        <v>2.5168491726286206E-2</v>
      </c>
      <c r="G1474" s="97">
        <v>81.179107000000002</v>
      </c>
      <c r="H1474" s="97">
        <v>0.176982</v>
      </c>
    </row>
    <row r="1475" spans="2:8" x14ac:dyDescent="0.25">
      <c r="B1475" s="97">
        <v>0.18811600000000001</v>
      </c>
      <c r="C1475" s="98">
        <v>40</v>
      </c>
      <c r="D1475" s="98">
        <v>100</v>
      </c>
      <c r="E1475" s="99">
        <v>39.490307000000001</v>
      </c>
      <c r="F1475" s="99">
        <f t="shared" si="24"/>
        <v>2.5322669687019652E-2</v>
      </c>
      <c r="G1475" s="97">
        <v>86.714737</v>
      </c>
      <c r="H1475" s="97">
        <v>0.18811600000000001</v>
      </c>
    </row>
    <row r="1476" spans="2:8" x14ac:dyDescent="0.25">
      <c r="B1476" s="97">
        <v>0.19917899999999999</v>
      </c>
      <c r="C1476" s="98">
        <v>45</v>
      </c>
      <c r="D1476" s="98">
        <v>100</v>
      </c>
      <c r="E1476" s="99">
        <v>39.245812999999998</v>
      </c>
      <c r="F1476" s="99">
        <f t="shared" si="24"/>
        <v>2.5480425134778072E-2</v>
      </c>
      <c r="G1476" s="97">
        <v>92.270216000000005</v>
      </c>
      <c r="H1476" s="97">
        <v>0.19917899999999999</v>
      </c>
    </row>
    <row r="1477" spans="2:8" x14ac:dyDescent="0.25">
      <c r="B1477" s="97">
        <v>0.210174</v>
      </c>
      <c r="C1477" s="98">
        <v>50</v>
      </c>
      <c r="D1477" s="98">
        <v>100</v>
      </c>
      <c r="E1477" s="99">
        <v>38.998614000000003</v>
      </c>
      <c r="F1477" s="99">
        <f t="shared" si="24"/>
        <v>2.5641936916014501E-2</v>
      </c>
      <c r="G1477" s="97">
        <v>97.846395999999999</v>
      </c>
      <c r="H1477" s="97">
        <v>0.210174</v>
      </c>
    </row>
    <row r="1478" spans="2:8" x14ac:dyDescent="0.25">
      <c r="B1478" s="97">
        <v>0.22110299999999999</v>
      </c>
      <c r="C1478" s="98">
        <v>55</v>
      </c>
      <c r="D1478" s="98">
        <v>100</v>
      </c>
      <c r="E1478" s="99">
        <v>38.748575000000002</v>
      </c>
      <c r="F1478" s="99">
        <f t="shared" si="24"/>
        <v>2.5807400659250048E-2</v>
      </c>
      <c r="G1478" s="97">
        <v>103.444244</v>
      </c>
      <c r="H1478" s="97">
        <v>0.22110299999999999</v>
      </c>
    </row>
    <row r="1479" spans="2:8" x14ac:dyDescent="0.25">
      <c r="B1479" s="97">
        <v>1.2402979999999999</v>
      </c>
      <c r="C1479" s="98">
        <v>60</v>
      </c>
      <c r="D1479" s="98">
        <v>100</v>
      </c>
      <c r="E1479" s="99">
        <v>0.33527299999999999</v>
      </c>
      <c r="F1479" s="99">
        <f t="shared" si="24"/>
        <v>2.982643994595449</v>
      </c>
      <c r="G1479" s="97">
        <v>629.05552299999999</v>
      </c>
      <c r="H1479" s="97">
        <v>1.2402979999999999</v>
      </c>
    </row>
    <row r="1480" spans="2:8" x14ac:dyDescent="0.25">
      <c r="B1480" s="97">
        <v>1.24678</v>
      </c>
      <c r="C1480" s="98">
        <v>65</v>
      </c>
      <c r="D1480" s="98">
        <v>100</v>
      </c>
      <c r="E1480" s="99">
        <v>0.33066699999999999</v>
      </c>
      <c r="F1480" s="99">
        <f t="shared" si="24"/>
        <v>3.0241904998079638</v>
      </c>
      <c r="G1480" s="97">
        <v>632.43992500000002</v>
      </c>
      <c r="H1480" s="97">
        <v>1.24678</v>
      </c>
    </row>
    <row r="1481" spans="2:8" x14ac:dyDescent="0.25">
      <c r="B1481" s="97">
        <v>1.253093</v>
      </c>
      <c r="C1481" s="98">
        <v>70</v>
      </c>
      <c r="D1481" s="98">
        <v>100</v>
      </c>
      <c r="E1481" s="99">
        <v>0.32625100000000001</v>
      </c>
      <c r="F1481" s="99">
        <f t="shared" si="24"/>
        <v>3.0651247045986065</v>
      </c>
      <c r="G1481" s="97">
        <v>635.76807299999996</v>
      </c>
      <c r="H1481" s="97">
        <v>1.253093</v>
      </c>
    </row>
    <row r="1482" spans="2:8" x14ac:dyDescent="0.25">
      <c r="B1482" s="97">
        <v>1.259252</v>
      </c>
      <c r="C1482" s="98">
        <v>75</v>
      </c>
      <c r="D1482" s="98">
        <v>100</v>
      </c>
      <c r="E1482" s="99">
        <v>0.32200899999999999</v>
      </c>
      <c r="F1482" s="99">
        <f t="shared" si="24"/>
        <v>3.1055032623311773</v>
      </c>
      <c r="G1482" s="97">
        <v>639.04585099999997</v>
      </c>
      <c r="H1482" s="97">
        <v>1.259252</v>
      </c>
    </row>
    <row r="1483" spans="2:8" x14ac:dyDescent="0.25">
      <c r="B1483" s="97">
        <v>1.2652699999999999</v>
      </c>
      <c r="C1483" s="98">
        <v>80</v>
      </c>
      <c r="D1483" s="98">
        <v>100</v>
      </c>
      <c r="E1483" s="99">
        <v>0.31792599999999999</v>
      </c>
      <c r="F1483" s="99">
        <f t="shared" si="24"/>
        <v>3.145386033227858</v>
      </c>
      <c r="G1483" s="97">
        <v>642.27840800000001</v>
      </c>
      <c r="H1483" s="97">
        <v>1.2652699999999999</v>
      </c>
    </row>
    <row r="1484" spans="2:8" x14ac:dyDescent="0.25">
      <c r="B1484" s="97">
        <v>1.271158</v>
      </c>
      <c r="C1484" s="98">
        <v>85</v>
      </c>
      <c r="D1484" s="98">
        <v>100</v>
      </c>
      <c r="E1484" s="99">
        <v>0.31399100000000002</v>
      </c>
      <c r="F1484" s="99">
        <f t="shared" si="24"/>
        <v>3.1848046600061783</v>
      </c>
      <c r="G1484" s="97">
        <v>645.47027800000001</v>
      </c>
      <c r="H1484" s="97">
        <v>1.271158</v>
      </c>
    </row>
    <row r="1485" spans="2:8" x14ac:dyDescent="0.25">
      <c r="B1485" s="97">
        <v>1.2769239999999999</v>
      </c>
      <c r="C1485" s="98">
        <v>90</v>
      </c>
      <c r="D1485" s="98">
        <v>100</v>
      </c>
      <c r="E1485" s="99">
        <v>0.31019200000000002</v>
      </c>
      <c r="F1485" s="99">
        <f t="shared" si="24"/>
        <v>3.2238097694331249</v>
      </c>
      <c r="G1485" s="97">
        <v>648.62547400000005</v>
      </c>
      <c r="H1485" s="97">
        <v>1.2769239999999999</v>
      </c>
    </row>
    <row r="1486" spans="2:8" x14ac:dyDescent="0.25">
      <c r="B1486" s="97">
        <v>1.282578</v>
      </c>
      <c r="C1486" s="98">
        <v>95</v>
      </c>
      <c r="D1486" s="98">
        <v>100</v>
      </c>
      <c r="E1486" s="99">
        <v>0.30652099999999999</v>
      </c>
      <c r="F1486" s="99">
        <f t="shared" si="24"/>
        <v>3.262419214344205</v>
      </c>
      <c r="G1486" s="97">
        <v>651.74756500000001</v>
      </c>
      <c r="H1486" s="97">
        <v>1.282578</v>
      </c>
    </row>
    <row r="1487" spans="2:8" x14ac:dyDescent="0.25">
      <c r="B1487" s="97">
        <v>1.2881279999999999</v>
      </c>
      <c r="C1487" s="98">
        <v>100</v>
      </c>
      <c r="D1487" s="98">
        <v>100</v>
      </c>
      <c r="E1487" s="99">
        <v>0.30296800000000002</v>
      </c>
      <c r="F1487" s="99">
        <f t="shared" si="24"/>
        <v>3.3006786195241742</v>
      </c>
      <c r="G1487" s="97">
        <v>654.83973800000001</v>
      </c>
      <c r="H1487" s="97">
        <v>1.2881279999999999</v>
      </c>
    </row>
    <row r="1488" spans="2:8" x14ac:dyDescent="0.25">
      <c r="B1488" s="97">
        <v>1.2935810000000001</v>
      </c>
      <c r="C1488" s="98">
        <v>105</v>
      </c>
      <c r="D1488" s="98">
        <v>100</v>
      </c>
      <c r="E1488" s="99">
        <v>0.29952600000000001</v>
      </c>
      <c r="F1488" s="99">
        <f t="shared" si="24"/>
        <v>3.338608334501846</v>
      </c>
      <c r="G1488" s="97">
        <v>657.90484900000001</v>
      </c>
      <c r="H1488" s="97">
        <v>1.2935810000000001</v>
      </c>
    </row>
    <row r="1489" spans="2:8" x14ac:dyDescent="0.25">
      <c r="B1489" s="97">
        <v>1.298942</v>
      </c>
      <c r="C1489" s="98">
        <v>110</v>
      </c>
      <c r="D1489" s="98">
        <v>100</v>
      </c>
      <c r="E1489" s="99">
        <v>0.29618899999999998</v>
      </c>
      <c r="F1489" s="99">
        <f t="shared" si="24"/>
        <v>3.3762226146143175</v>
      </c>
      <c r="G1489" s="97">
        <v>660.94546800000001</v>
      </c>
      <c r="H1489" s="97">
        <v>1.298942</v>
      </c>
    </row>
    <row r="1490" spans="2:8" x14ac:dyDescent="0.25">
      <c r="B1490" s="97">
        <v>1.304217</v>
      </c>
      <c r="C1490" s="98">
        <v>115</v>
      </c>
      <c r="D1490" s="98">
        <v>100</v>
      </c>
      <c r="E1490" s="99">
        <v>0.29294900000000001</v>
      </c>
      <c r="F1490" s="99">
        <f t="shared" si="24"/>
        <v>3.4135634530242465</v>
      </c>
      <c r="G1490" s="97">
        <v>663.96391100000005</v>
      </c>
      <c r="H1490" s="97">
        <v>1.304217</v>
      </c>
    </row>
    <row r="1491" spans="2:8" x14ac:dyDescent="0.25">
      <c r="B1491" s="97">
        <v>1.309412</v>
      </c>
      <c r="C1491" s="98">
        <v>120</v>
      </c>
      <c r="D1491" s="98">
        <v>100</v>
      </c>
      <c r="E1491" s="99">
        <v>0.289802</v>
      </c>
      <c r="F1491" s="99">
        <f t="shared" si="24"/>
        <v>3.4506318106845364</v>
      </c>
      <c r="G1491" s="97">
        <v>666.96227499999998</v>
      </c>
      <c r="H1491" s="97">
        <v>1.309412</v>
      </c>
    </row>
    <row r="1492" spans="2:8" x14ac:dyDescent="0.25">
      <c r="B1492" s="97">
        <v>1.3145309999999999</v>
      </c>
      <c r="C1492" s="98">
        <v>125</v>
      </c>
      <c r="D1492" s="98">
        <v>100</v>
      </c>
      <c r="E1492" s="99">
        <v>0.286742</v>
      </c>
      <c r="F1492" s="99">
        <f t="shared" si="24"/>
        <v>3.4874556221272086</v>
      </c>
      <c r="G1492" s="97">
        <v>669.94246299999998</v>
      </c>
      <c r="H1492" s="97">
        <v>1.3145309999999999</v>
      </c>
    </row>
    <row r="1493" spans="2:8" x14ac:dyDescent="0.25">
      <c r="B1493" s="97">
        <v>1.3195790000000001</v>
      </c>
      <c r="C1493" s="98">
        <v>130</v>
      </c>
      <c r="D1493" s="98">
        <v>100</v>
      </c>
      <c r="E1493" s="99">
        <v>0.28376400000000002</v>
      </c>
      <c r="F1493" s="99">
        <f t="shared" si="24"/>
        <v>3.5240552008006651</v>
      </c>
      <c r="G1493" s="97">
        <v>672.906204</v>
      </c>
      <c r="H1493" s="97">
        <v>1.3195790000000001</v>
      </c>
    </row>
    <row r="1494" spans="2:8" x14ac:dyDescent="0.25">
      <c r="B1494" s="97">
        <v>1.324559</v>
      </c>
      <c r="C1494" s="98">
        <v>135</v>
      </c>
      <c r="D1494" s="98">
        <v>100</v>
      </c>
      <c r="E1494" s="99">
        <v>0.280864</v>
      </c>
      <c r="F1494" s="99">
        <f t="shared" si="24"/>
        <v>3.5604420644867267</v>
      </c>
      <c r="G1494" s="97">
        <v>675.85507399999995</v>
      </c>
      <c r="H1494" s="97">
        <v>1.324559</v>
      </c>
    </row>
    <row r="1495" spans="2:8" x14ac:dyDescent="0.25">
      <c r="B1495" s="97">
        <v>1.329474</v>
      </c>
      <c r="C1495" s="98">
        <v>140</v>
      </c>
      <c r="D1495" s="98">
        <v>100</v>
      </c>
      <c r="E1495" s="99">
        <v>0.27803899999999998</v>
      </c>
      <c r="F1495" s="99">
        <f t="shared" si="24"/>
        <v>3.5966177406766677</v>
      </c>
      <c r="G1495" s="97">
        <v>678.79051300000003</v>
      </c>
      <c r="H1495" s="97">
        <v>1.329474</v>
      </c>
    </row>
    <row r="1496" spans="2:8" x14ac:dyDescent="0.25">
      <c r="B1496" s="97">
        <v>1.3343290000000001</v>
      </c>
      <c r="C1496" s="98">
        <v>145</v>
      </c>
      <c r="D1496" s="98">
        <v>100</v>
      </c>
      <c r="E1496" s="99">
        <v>0.27528399999999997</v>
      </c>
      <c r="F1496" s="99">
        <f t="shared" si="24"/>
        <v>3.632612138736723</v>
      </c>
      <c r="G1496" s="97">
        <v>681.71384</v>
      </c>
      <c r="H1496" s="97">
        <v>1.3343290000000001</v>
      </c>
    </row>
    <row r="1497" spans="2:8" x14ac:dyDescent="0.25">
      <c r="B1497" s="97">
        <v>1.339126</v>
      </c>
      <c r="C1497" s="98">
        <v>150</v>
      </c>
      <c r="D1497" s="98">
        <v>100</v>
      </c>
      <c r="E1497" s="99">
        <v>0.27259699999999998</v>
      </c>
      <c r="F1497" s="99">
        <f t="shared" si="24"/>
        <v>3.6684189481175511</v>
      </c>
      <c r="G1497" s="97">
        <v>684.62626399999999</v>
      </c>
      <c r="H1497" s="97">
        <v>1.339126</v>
      </c>
    </row>
    <row r="1498" spans="2:8" x14ac:dyDescent="0.25">
      <c r="B1498" s="97">
        <v>1.3438669999999999</v>
      </c>
      <c r="C1498" s="98">
        <v>155</v>
      </c>
      <c r="D1498" s="98">
        <v>100</v>
      </c>
      <c r="E1498" s="99">
        <v>0.26997300000000002</v>
      </c>
      <c r="F1498" s="99">
        <f t="shared" si="24"/>
        <v>3.704074111114815</v>
      </c>
      <c r="G1498" s="97">
        <v>687.52889600000003</v>
      </c>
      <c r="H1498" s="97">
        <v>1.3438669999999999</v>
      </c>
    </row>
    <row r="1499" spans="2:8" x14ac:dyDescent="0.25">
      <c r="B1499" s="97">
        <v>1.3485560000000001</v>
      </c>
      <c r="C1499" s="98">
        <v>160</v>
      </c>
      <c r="D1499" s="98">
        <v>100</v>
      </c>
      <c r="E1499" s="99">
        <v>0.26741100000000001</v>
      </c>
      <c r="F1499" s="99">
        <f t="shared" si="24"/>
        <v>3.7395619477134447</v>
      </c>
      <c r="G1499" s="97">
        <v>690.42276100000004</v>
      </c>
      <c r="H1499" s="97">
        <v>1.3485560000000001</v>
      </c>
    </row>
    <row r="1500" spans="2:8" x14ac:dyDescent="0.25">
      <c r="B1500" s="97">
        <v>1.3531949999999999</v>
      </c>
      <c r="C1500" s="98">
        <v>165</v>
      </c>
      <c r="D1500" s="98">
        <v>100</v>
      </c>
      <c r="E1500" s="99">
        <v>0.26490799999999998</v>
      </c>
      <c r="F1500" s="99">
        <f t="shared" si="24"/>
        <v>3.7748954353964397</v>
      </c>
      <c r="G1500" s="97">
        <v>693.30880100000002</v>
      </c>
      <c r="H1500" s="97">
        <v>1.3531949999999999</v>
      </c>
    </row>
    <row r="1501" spans="2:8" x14ac:dyDescent="0.25">
      <c r="B1501" s="97">
        <v>1.3577859999999999</v>
      </c>
      <c r="C1501" s="98">
        <v>170</v>
      </c>
      <c r="D1501" s="98">
        <v>100</v>
      </c>
      <c r="E1501" s="99">
        <v>0.26246000000000003</v>
      </c>
      <c r="F1501" s="99">
        <f t="shared" si="24"/>
        <v>3.8101043968604738</v>
      </c>
      <c r="G1501" s="97">
        <v>696.18789000000004</v>
      </c>
      <c r="H1501" s="97">
        <v>1.3577859999999999</v>
      </c>
    </row>
    <row r="1502" spans="2:8" x14ac:dyDescent="0.25">
      <c r="B1502" s="97">
        <v>1.36233</v>
      </c>
      <c r="C1502" s="98">
        <v>175</v>
      </c>
      <c r="D1502" s="98">
        <v>100</v>
      </c>
      <c r="E1502" s="99">
        <v>0.26006699999999999</v>
      </c>
      <c r="F1502" s="99">
        <f t="shared" si="24"/>
        <v>3.84516297723279</v>
      </c>
      <c r="G1502" s="97">
        <v>699.060834</v>
      </c>
      <c r="H1502" s="97">
        <v>1.36233</v>
      </c>
    </row>
    <row r="1503" spans="2:8" x14ac:dyDescent="0.25">
      <c r="B1503" s="97">
        <v>1.3668309999999999</v>
      </c>
      <c r="C1503" s="98">
        <v>180</v>
      </c>
      <c r="D1503" s="98">
        <v>100</v>
      </c>
      <c r="E1503" s="99">
        <v>0.25772499999999998</v>
      </c>
      <c r="F1503" s="99">
        <f t="shared" si="24"/>
        <v>3.8801047628285965</v>
      </c>
      <c r="G1503" s="97">
        <v>701.92838099999994</v>
      </c>
      <c r="H1503" s="97">
        <v>1.3668309999999999</v>
      </c>
    </row>
    <row r="1504" spans="2:8" x14ac:dyDescent="0.25">
      <c r="B1504" s="97">
        <v>1.371289</v>
      </c>
      <c r="C1504" s="98">
        <v>185</v>
      </c>
      <c r="D1504" s="98">
        <v>100</v>
      </c>
      <c r="E1504" s="99">
        <v>0.25543199999999999</v>
      </c>
      <c r="F1504" s="99">
        <f t="shared" si="24"/>
        <v>3.9149362648376087</v>
      </c>
      <c r="G1504" s="97">
        <v>704.79122600000005</v>
      </c>
      <c r="H1504" s="97">
        <v>1.371289</v>
      </c>
    </row>
    <row r="1505" spans="1:8" x14ac:dyDescent="0.25">
      <c r="B1505" s="97">
        <v>1.3757060000000001</v>
      </c>
      <c r="C1505" s="98">
        <v>190</v>
      </c>
      <c r="D1505" s="98">
        <v>100</v>
      </c>
      <c r="E1505" s="99">
        <v>0.25318800000000002</v>
      </c>
      <c r="F1505" s="99">
        <f t="shared" si="24"/>
        <v>3.9496342638671655</v>
      </c>
      <c r="G1505" s="97">
        <v>707.65001500000005</v>
      </c>
      <c r="H1505" s="97">
        <v>1.3757060000000001</v>
      </c>
    </row>
    <row r="1506" spans="1:8" x14ac:dyDescent="0.25">
      <c r="B1506" s="97">
        <v>1.3800840000000001</v>
      </c>
      <c r="C1506" s="98">
        <v>195</v>
      </c>
      <c r="D1506" s="98">
        <v>100</v>
      </c>
      <c r="E1506" s="99">
        <v>0.25098900000000002</v>
      </c>
      <c r="F1506" s="99">
        <f t="shared" si="24"/>
        <v>3.9842383530752339</v>
      </c>
      <c r="G1506" s="97">
        <v>710.50534900000002</v>
      </c>
      <c r="H1506" s="97">
        <v>1.3800840000000001</v>
      </c>
    </row>
    <row r="1507" spans="1:8" x14ac:dyDescent="0.25">
      <c r="B1507" s="97">
        <v>1.384425</v>
      </c>
      <c r="C1507" s="98">
        <v>200</v>
      </c>
      <c r="D1507" s="98">
        <v>100</v>
      </c>
      <c r="E1507" s="99">
        <v>0.248834</v>
      </c>
      <c r="F1507" s="99">
        <f t="shared" si="24"/>
        <v>4.0187434193076506</v>
      </c>
      <c r="G1507" s="97">
        <v>713.35778900000003</v>
      </c>
      <c r="H1507" s="97">
        <v>1.384425</v>
      </c>
    </row>
    <row r="1508" spans="1:8" x14ac:dyDescent="0.25">
      <c r="B1508" s="106">
        <v>1.4040999999999999</v>
      </c>
      <c r="C1508" s="106">
        <v>220</v>
      </c>
      <c r="D1508" s="107"/>
      <c r="E1508" s="106">
        <v>648.96</v>
      </c>
      <c r="F1508" s="106">
        <v>4.1562999999999999</v>
      </c>
      <c r="G1508" s="106">
        <v>725.87</v>
      </c>
      <c r="H1508" s="106">
        <v>1.4040999999999999</v>
      </c>
    </row>
    <row r="1509" spans="1:8" x14ac:dyDescent="0.25">
      <c r="B1509" s="97">
        <v>1.42</v>
      </c>
      <c r="C1509" t="s">
        <v>374</v>
      </c>
      <c r="D1509" t="s">
        <v>374</v>
      </c>
      <c r="E1509" t="s">
        <v>374</v>
      </c>
      <c r="F1509" t="s">
        <v>374</v>
      </c>
      <c r="G1509" t="s">
        <v>374</v>
      </c>
      <c r="H1509" t="s">
        <v>374</v>
      </c>
    </row>
    <row r="1512" spans="1:8" ht="15.75" x14ac:dyDescent="0.25">
      <c r="A1512" s="92">
        <v>125</v>
      </c>
      <c r="C1512" s="109" t="s">
        <v>413</v>
      </c>
      <c r="D1512" s="101"/>
      <c r="E1512" s="110"/>
      <c r="F1512" s="110"/>
      <c r="G1512" s="111"/>
    </row>
    <row r="1513" spans="1:8" x14ac:dyDescent="0.25">
      <c r="B1513" s="96" t="s">
        <v>266</v>
      </c>
      <c r="C1513" s="96" t="s">
        <v>375</v>
      </c>
      <c r="D1513" s="96" t="s">
        <v>380</v>
      </c>
      <c r="E1513" s="96" t="s">
        <v>381</v>
      </c>
      <c r="F1513" s="96" t="s">
        <v>382</v>
      </c>
      <c r="G1513" s="96" t="s">
        <v>265</v>
      </c>
      <c r="H1513" s="96" t="s">
        <v>266</v>
      </c>
    </row>
    <row r="1514" spans="1:8" x14ac:dyDescent="0.25">
      <c r="B1514" s="96" t="s">
        <v>383</v>
      </c>
      <c r="C1514" s="96" t="s">
        <v>384</v>
      </c>
      <c r="D1514" s="96" t="s">
        <v>385</v>
      </c>
      <c r="E1514" s="96" t="s">
        <v>386</v>
      </c>
      <c r="F1514" s="96" t="s">
        <v>387</v>
      </c>
      <c r="G1514" s="96" t="s">
        <v>388</v>
      </c>
      <c r="H1514" s="96" t="s">
        <v>383</v>
      </c>
    </row>
    <row r="1515" spans="1:8" x14ac:dyDescent="0.25">
      <c r="B1515" s="97">
        <v>9.6685999999999994E-2</v>
      </c>
      <c r="C1515" s="98">
        <v>0</v>
      </c>
      <c r="D1515" s="98">
        <v>125</v>
      </c>
      <c r="E1515" s="99">
        <v>41.367401000000001</v>
      </c>
      <c r="F1515" s="99">
        <f t="shared" ref="F1515:F1555" si="25">1/E1515</f>
        <v>2.4173624057261901E-2</v>
      </c>
      <c r="G1515" s="97">
        <v>42.990651999999997</v>
      </c>
      <c r="H1515" s="97">
        <v>9.6685999999999994E-2</v>
      </c>
    </row>
    <row r="1516" spans="1:8" x14ac:dyDescent="0.25">
      <c r="B1516" s="97">
        <v>0.10839500000000001</v>
      </c>
      <c r="C1516" s="98">
        <v>5</v>
      </c>
      <c r="D1516" s="98">
        <v>125</v>
      </c>
      <c r="E1516" s="99">
        <v>41.141257000000003</v>
      </c>
      <c r="F1516" s="99">
        <f t="shared" si="25"/>
        <v>2.4306500892765624E-2</v>
      </c>
      <c r="G1516" s="97">
        <v>48.401859999999999</v>
      </c>
      <c r="H1516" s="97">
        <v>0.10839500000000001</v>
      </c>
    </row>
    <row r="1517" spans="1:8" x14ac:dyDescent="0.25">
      <c r="B1517" s="97">
        <v>0.12001299999999999</v>
      </c>
      <c r="C1517" s="98">
        <v>10</v>
      </c>
      <c r="D1517" s="98">
        <v>125</v>
      </c>
      <c r="E1517" s="99">
        <v>40.913094999999998</v>
      </c>
      <c r="F1517" s="99">
        <f t="shared" si="25"/>
        <v>2.4442052110699521E-2</v>
      </c>
      <c r="G1517" s="97">
        <v>53.829563</v>
      </c>
      <c r="H1517" s="97">
        <v>0.12001299999999999</v>
      </c>
    </row>
    <row r="1518" spans="1:8" x14ac:dyDescent="0.25">
      <c r="B1518" s="97">
        <v>0.13154399999999999</v>
      </c>
      <c r="C1518" s="98">
        <v>15</v>
      </c>
      <c r="D1518" s="98">
        <v>125</v>
      </c>
      <c r="E1518" s="99">
        <v>40.682865</v>
      </c>
      <c r="F1518" s="99">
        <f t="shared" si="25"/>
        <v>2.4580373088276847E-2</v>
      </c>
      <c r="G1518" s="97">
        <v>59.273978999999997</v>
      </c>
      <c r="H1518" s="97">
        <v>0.13154399999999999</v>
      </c>
    </row>
    <row r="1519" spans="1:8" x14ac:dyDescent="0.25">
      <c r="B1519" s="97">
        <v>0.142989</v>
      </c>
      <c r="C1519" s="98">
        <v>20</v>
      </c>
      <c r="D1519" s="98">
        <v>125</v>
      </c>
      <c r="E1519" s="99">
        <v>40.450504000000002</v>
      </c>
      <c r="F1519" s="99">
        <f t="shared" si="25"/>
        <v>2.4721570836299098E-2</v>
      </c>
      <c r="G1519" s="97">
        <v>64.735400999999996</v>
      </c>
      <c r="H1519" s="97">
        <v>0.142989</v>
      </c>
    </row>
    <row r="1520" spans="1:8" x14ac:dyDescent="0.25">
      <c r="B1520" s="97">
        <v>0.15435199999999999</v>
      </c>
      <c r="C1520" s="98">
        <v>25</v>
      </c>
      <c r="D1520" s="98">
        <v>125</v>
      </c>
      <c r="E1520" s="99">
        <v>40.215946000000002</v>
      </c>
      <c r="F1520" s="99">
        <f t="shared" si="25"/>
        <v>2.4865758473019632E-2</v>
      </c>
      <c r="G1520" s="97">
        <v>70.214198999999994</v>
      </c>
      <c r="H1520" s="97">
        <v>0.15435199999999999</v>
      </c>
    </row>
    <row r="1521" spans="2:8" x14ac:dyDescent="0.25">
      <c r="B1521" s="97">
        <v>0.165635</v>
      </c>
      <c r="C1521" s="98">
        <v>30</v>
      </c>
      <c r="D1521" s="98">
        <v>125</v>
      </c>
      <c r="E1521" s="99">
        <v>39.979111000000003</v>
      </c>
      <c r="F1521" s="99">
        <f t="shared" si="25"/>
        <v>2.501306244653614E-2</v>
      </c>
      <c r="G1521" s="97">
        <v>75.710830000000001</v>
      </c>
      <c r="H1521" s="97">
        <v>0.165635</v>
      </c>
    </row>
    <row r="1522" spans="2:8" x14ac:dyDescent="0.25">
      <c r="B1522" s="97">
        <v>0.176841</v>
      </c>
      <c r="C1522" s="98">
        <v>35</v>
      </c>
      <c r="D1522" s="98">
        <v>125</v>
      </c>
      <c r="E1522" s="99">
        <v>39.739910999999999</v>
      </c>
      <c r="F1522" s="99">
        <f t="shared" si="25"/>
        <v>2.5163619515906819E-2</v>
      </c>
      <c r="G1522" s="97">
        <v>81.225838999999993</v>
      </c>
      <c r="H1522" s="97">
        <v>0.176841</v>
      </c>
    </row>
    <row r="1523" spans="2:8" x14ac:dyDescent="0.25">
      <c r="B1523" s="97">
        <v>0.187972</v>
      </c>
      <c r="C1523" s="98">
        <v>40</v>
      </c>
      <c r="D1523" s="98">
        <v>125</v>
      </c>
      <c r="E1523" s="99">
        <v>39.498249999999999</v>
      </c>
      <c r="F1523" s="99">
        <f t="shared" si="25"/>
        <v>2.5317577361022324E-2</v>
      </c>
      <c r="G1523" s="97">
        <v>86.759863999999993</v>
      </c>
      <c r="H1523" s="97">
        <v>0.187972</v>
      </c>
    </row>
    <row r="1524" spans="2:8" x14ac:dyDescent="0.25">
      <c r="B1524" s="97">
        <v>0.19903100000000001</v>
      </c>
      <c r="C1524" s="98">
        <v>45</v>
      </c>
      <c r="D1524" s="98">
        <v>125</v>
      </c>
      <c r="E1524" s="99">
        <v>39.254019</v>
      </c>
      <c r="F1524" s="99">
        <f t="shared" si="25"/>
        <v>2.5475098486093872E-2</v>
      </c>
      <c r="G1524" s="97">
        <v>92.313642000000002</v>
      </c>
      <c r="H1524" s="97">
        <v>0.19903100000000001</v>
      </c>
    </row>
    <row r="1525" spans="2:8" x14ac:dyDescent="0.25">
      <c r="B1525" s="97">
        <v>0.21002199999999999</v>
      </c>
      <c r="C1525" s="98">
        <v>50</v>
      </c>
      <c r="D1525" s="98">
        <v>125</v>
      </c>
      <c r="E1525" s="99">
        <v>39.007097000000002</v>
      </c>
      <c r="F1525" s="99">
        <f t="shared" si="25"/>
        <v>2.5636360480760716E-2</v>
      </c>
      <c r="G1525" s="97">
        <v>97.888018000000002</v>
      </c>
      <c r="H1525" s="97">
        <v>0.21002199999999999</v>
      </c>
    </row>
    <row r="1526" spans="2:8" x14ac:dyDescent="0.25">
      <c r="B1526" s="97">
        <v>0.22094800000000001</v>
      </c>
      <c r="C1526" s="98">
        <v>55</v>
      </c>
      <c r="D1526" s="98">
        <v>125</v>
      </c>
      <c r="E1526" s="99">
        <v>38.757351</v>
      </c>
      <c r="F1526" s="99">
        <f t="shared" si="25"/>
        <v>2.5801556974314369E-2</v>
      </c>
      <c r="G1526" s="97">
        <v>103.483947</v>
      </c>
      <c r="H1526" s="97">
        <v>0.22094800000000001</v>
      </c>
    </row>
    <row r="1527" spans="2:8" x14ac:dyDescent="0.25">
      <c r="B1527" s="97">
        <v>0.23181299999999999</v>
      </c>
      <c r="C1527" s="98">
        <v>60</v>
      </c>
      <c r="D1527" s="98">
        <v>125</v>
      </c>
      <c r="E1527" s="99">
        <v>38.504635</v>
      </c>
      <c r="F1527" s="99">
        <f t="shared" si="25"/>
        <v>2.5970899347572053E-2</v>
      </c>
      <c r="G1527" s="97">
        <v>109.102508</v>
      </c>
      <c r="H1527" s="97">
        <v>0.23181299999999999</v>
      </c>
    </row>
    <row r="1528" spans="2:8" x14ac:dyDescent="0.25">
      <c r="B1528" s="97">
        <v>0.242618</v>
      </c>
      <c r="C1528" s="98">
        <v>65</v>
      </c>
      <c r="D1528" s="98">
        <v>125</v>
      </c>
      <c r="E1528" s="99">
        <v>38.248787</v>
      </c>
      <c r="F1528" s="99">
        <f t="shared" si="25"/>
        <v>2.6144619958797646E-2</v>
      </c>
      <c r="G1528" s="97">
        <v>114.744911</v>
      </c>
      <c r="H1528" s="97">
        <v>0.242618</v>
      </c>
    </row>
    <row r="1529" spans="2:8" x14ac:dyDescent="0.25">
      <c r="B1529" s="97">
        <v>1.21824</v>
      </c>
      <c r="C1529" s="98">
        <v>70</v>
      </c>
      <c r="D1529" s="98">
        <v>125</v>
      </c>
      <c r="E1529" s="99">
        <v>0.41836099999999998</v>
      </c>
      <c r="F1529" s="99">
        <f t="shared" si="25"/>
        <v>2.3902801647381091</v>
      </c>
      <c r="G1529" s="97">
        <v>629.82072800000003</v>
      </c>
      <c r="H1529" s="97">
        <v>1.21824</v>
      </c>
    </row>
    <row r="1530" spans="2:8" x14ac:dyDescent="0.25">
      <c r="B1530" s="97">
        <v>1.2249300000000001</v>
      </c>
      <c r="C1530" s="98">
        <v>75</v>
      </c>
      <c r="D1530" s="98">
        <v>125</v>
      </c>
      <c r="E1530" s="99">
        <v>0.41235500000000003</v>
      </c>
      <c r="F1530" s="99">
        <f t="shared" si="25"/>
        <v>2.4250948818372517</v>
      </c>
      <c r="G1530" s="97">
        <v>633.38072099999999</v>
      </c>
      <c r="H1530" s="97">
        <v>1.2249300000000001</v>
      </c>
    </row>
    <row r="1531" spans="2:8" x14ac:dyDescent="0.25">
      <c r="B1531" s="97">
        <v>1.2314290000000001</v>
      </c>
      <c r="C1531" s="98">
        <v>80</v>
      </c>
      <c r="D1531" s="98">
        <v>125</v>
      </c>
      <c r="E1531" s="99">
        <v>0.40661799999999998</v>
      </c>
      <c r="F1531" s="99">
        <f t="shared" si="25"/>
        <v>2.4593107043957723</v>
      </c>
      <c r="G1531" s="97">
        <v>636.87180499999999</v>
      </c>
      <c r="H1531" s="97">
        <v>1.2314290000000001</v>
      </c>
    </row>
    <row r="1532" spans="2:8" x14ac:dyDescent="0.25">
      <c r="B1532" s="97">
        <v>1.2377549999999999</v>
      </c>
      <c r="C1532" s="98">
        <v>85</v>
      </c>
      <c r="D1532" s="98">
        <v>125</v>
      </c>
      <c r="E1532" s="99">
        <v>0.40112399999999998</v>
      </c>
      <c r="F1532" s="99">
        <f t="shared" si="25"/>
        <v>2.4929946849353319</v>
      </c>
      <c r="G1532" s="97">
        <v>640.30138399999998</v>
      </c>
      <c r="H1532" s="97">
        <v>1.2377549999999999</v>
      </c>
    </row>
    <row r="1533" spans="2:8" x14ac:dyDescent="0.25">
      <c r="B1533" s="97">
        <v>1.243922</v>
      </c>
      <c r="C1533" s="98">
        <v>90</v>
      </c>
      <c r="D1533" s="98">
        <v>125</v>
      </c>
      <c r="E1533" s="99">
        <v>0.39585399999999998</v>
      </c>
      <c r="F1533" s="99">
        <f t="shared" si="25"/>
        <v>2.5261838960828995</v>
      </c>
      <c r="G1533" s="97">
        <v>643.67588000000001</v>
      </c>
      <c r="H1533" s="97">
        <v>1.243922</v>
      </c>
    </row>
    <row r="1534" spans="2:8" x14ac:dyDescent="0.25">
      <c r="B1534" s="97">
        <v>1.2499439999999999</v>
      </c>
      <c r="C1534" s="98">
        <v>95</v>
      </c>
      <c r="D1534" s="98">
        <v>125</v>
      </c>
      <c r="E1534" s="99">
        <v>0.39078800000000002</v>
      </c>
      <c r="F1534" s="99">
        <f t="shared" si="25"/>
        <v>2.5589322087679252</v>
      </c>
      <c r="G1534" s="97">
        <v>647.00090799999998</v>
      </c>
      <c r="H1534" s="97">
        <v>1.2499439999999999</v>
      </c>
    </row>
    <row r="1535" spans="2:8" x14ac:dyDescent="0.25">
      <c r="B1535" s="97">
        <v>1.2558320000000001</v>
      </c>
      <c r="C1535" s="98">
        <v>100</v>
      </c>
      <c r="D1535" s="98">
        <v>125</v>
      </c>
      <c r="E1535" s="99">
        <v>0.38590999999999998</v>
      </c>
      <c r="F1535" s="99">
        <f t="shared" si="25"/>
        <v>2.5912777590629941</v>
      </c>
      <c r="G1535" s="97">
        <v>650.28140199999996</v>
      </c>
      <c r="H1535" s="97">
        <v>1.2558320000000001</v>
      </c>
    </row>
    <row r="1536" spans="2:8" x14ac:dyDescent="0.25">
      <c r="B1536" s="97">
        <v>1.2615959999999999</v>
      </c>
      <c r="C1536" s="98">
        <v>105</v>
      </c>
      <c r="D1536" s="98">
        <v>125</v>
      </c>
      <c r="E1536" s="99">
        <v>0.38120599999999999</v>
      </c>
      <c r="F1536" s="99">
        <f t="shared" si="25"/>
        <v>2.6232535689364807</v>
      </c>
      <c r="G1536" s="97">
        <v>653.52172499999995</v>
      </c>
      <c r="H1536" s="97">
        <v>1.2615959999999999</v>
      </c>
    </row>
    <row r="1537" spans="2:8" x14ac:dyDescent="0.25">
      <c r="B1537" s="97">
        <v>1.267245</v>
      </c>
      <c r="C1537" s="98">
        <v>110</v>
      </c>
      <c r="D1537" s="98">
        <v>125</v>
      </c>
      <c r="E1537" s="99">
        <v>0.37666500000000003</v>
      </c>
      <c r="F1537" s="99">
        <f t="shared" si="25"/>
        <v>2.6548790038893975</v>
      </c>
      <c r="G1537" s="97">
        <v>656.72574899999995</v>
      </c>
      <c r="H1537" s="97">
        <v>1.267245</v>
      </c>
    </row>
    <row r="1538" spans="2:8" x14ac:dyDescent="0.25">
      <c r="B1538" s="97">
        <v>1.272788</v>
      </c>
      <c r="C1538" s="98">
        <v>115</v>
      </c>
      <c r="D1538" s="98">
        <v>125</v>
      </c>
      <c r="E1538" s="99">
        <v>0.37227399999999999</v>
      </c>
      <c r="F1538" s="99">
        <f t="shared" si="25"/>
        <v>2.686193502635156</v>
      </c>
      <c r="G1538" s="97">
        <v>659.896928</v>
      </c>
      <c r="H1538" s="97">
        <v>1.272788</v>
      </c>
    </row>
    <row r="1539" spans="2:8" x14ac:dyDescent="0.25">
      <c r="B1539" s="97">
        <v>1.2782309999999999</v>
      </c>
      <c r="C1539" s="98">
        <v>120</v>
      </c>
      <c r="D1539" s="98">
        <v>125</v>
      </c>
      <c r="E1539" s="99">
        <v>0.36802400000000002</v>
      </c>
      <c r="F1539" s="99">
        <f t="shared" si="25"/>
        <v>2.7172140947329519</v>
      </c>
      <c r="G1539" s="97">
        <v>663.03835400000003</v>
      </c>
      <c r="H1539" s="97">
        <v>1.2782309999999999</v>
      </c>
    </row>
    <row r="1540" spans="2:8" x14ac:dyDescent="0.25">
      <c r="B1540" s="97">
        <v>1.2835810000000001</v>
      </c>
      <c r="C1540" s="98">
        <v>125</v>
      </c>
      <c r="D1540" s="98">
        <v>125</v>
      </c>
      <c r="E1540" s="99">
        <v>0.36390600000000001</v>
      </c>
      <c r="F1540" s="99">
        <f t="shared" si="25"/>
        <v>2.7479623858908617</v>
      </c>
      <c r="G1540" s="97">
        <v>666.15280700000005</v>
      </c>
      <c r="H1540" s="97">
        <v>1.2835810000000001</v>
      </c>
    </row>
    <row r="1541" spans="2:8" x14ac:dyDescent="0.25">
      <c r="B1541" s="97">
        <v>1.288843</v>
      </c>
      <c r="C1541" s="98">
        <v>130</v>
      </c>
      <c r="D1541" s="98">
        <v>125</v>
      </c>
      <c r="E1541" s="99">
        <v>0.35991200000000001</v>
      </c>
      <c r="F1541" s="99">
        <f t="shared" si="25"/>
        <v>2.7784569561448351</v>
      </c>
      <c r="G1541" s="97">
        <v>669.24278800000002</v>
      </c>
      <c r="H1541" s="97">
        <v>1.288843</v>
      </c>
    </row>
    <row r="1542" spans="2:8" x14ac:dyDescent="0.25">
      <c r="B1542" s="97">
        <v>1.2940240000000001</v>
      </c>
      <c r="C1542" s="98">
        <v>135</v>
      </c>
      <c r="D1542" s="98">
        <v>125</v>
      </c>
      <c r="E1542" s="99">
        <v>0.35603400000000002</v>
      </c>
      <c r="F1542" s="99">
        <f t="shared" si="25"/>
        <v>2.8087205154563888</v>
      </c>
      <c r="G1542" s="97">
        <v>672.310562</v>
      </c>
      <c r="H1542" s="97">
        <v>1.2940240000000001</v>
      </c>
    </row>
    <row r="1543" spans="2:8" x14ac:dyDescent="0.25">
      <c r="B1543" s="97">
        <v>1.2991269999999999</v>
      </c>
      <c r="C1543" s="98">
        <v>140</v>
      </c>
      <c r="D1543" s="98">
        <v>125</v>
      </c>
      <c r="E1543" s="99">
        <v>0.35226499999999999</v>
      </c>
      <c r="F1543" s="99">
        <f t="shared" si="25"/>
        <v>2.8387719472556174</v>
      </c>
      <c r="G1543" s="97">
        <v>675.35817999999995</v>
      </c>
      <c r="H1543" s="97">
        <v>1.2991269999999999</v>
      </c>
    </row>
    <row r="1544" spans="2:8" x14ac:dyDescent="0.25">
      <c r="B1544" s="97">
        <v>1.3041579999999999</v>
      </c>
      <c r="C1544" s="98">
        <v>145</v>
      </c>
      <c r="D1544" s="98">
        <v>125</v>
      </c>
      <c r="E1544" s="99">
        <v>0.34860099999999999</v>
      </c>
      <c r="F1544" s="99">
        <f t="shared" si="25"/>
        <v>2.8686090975068921</v>
      </c>
      <c r="G1544" s="97">
        <v>678.38750600000003</v>
      </c>
      <c r="H1544" s="97">
        <v>1.3041579999999999</v>
      </c>
    </row>
    <row r="1545" spans="2:8" x14ac:dyDescent="0.25">
      <c r="B1545" s="97">
        <v>1.3091200000000001</v>
      </c>
      <c r="C1545" s="98">
        <v>150</v>
      </c>
      <c r="D1545" s="98">
        <v>125</v>
      </c>
      <c r="E1545" s="99">
        <v>0.34503499999999998</v>
      </c>
      <c r="F1545" s="99">
        <f t="shared" si="25"/>
        <v>2.8982566985957949</v>
      </c>
      <c r="G1545" s="97">
        <v>681.40023900000006</v>
      </c>
      <c r="H1545" s="97">
        <v>1.3091200000000001</v>
      </c>
    </row>
    <row r="1546" spans="2:8" x14ac:dyDescent="0.25">
      <c r="B1546" s="97">
        <v>1.314017</v>
      </c>
      <c r="C1546" s="98">
        <v>155</v>
      </c>
      <c r="D1546" s="98">
        <v>125</v>
      </c>
      <c r="E1546" s="99">
        <v>0.34156199999999998</v>
      </c>
      <c r="F1546" s="99">
        <f t="shared" si="25"/>
        <v>2.9277261522066276</v>
      </c>
      <c r="G1546" s="97">
        <v>684.39792899999998</v>
      </c>
      <c r="H1546" s="97">
        <v>1.314017</v>
      </c>
    </row>
    <row r="1547" spans="2:8" x14ac:dyDescent="0.25">
      <c r="B1547" s="97">
        <v>1.3188519999999999</v>
      </c>
      <c r="C1547" s="98">
        <v>160</v>
      </c>
      <c r="D1547" s="98">
        <v>125</v>
      </c>
      <c r="E1547" s="99">
        <v>0.33817700000000001</v>
      </c>
      <c r="F1547" s="99">
        <f t="shared" si="25"/>
        <v>2.9570313770599421</v>
      </c>
      <c r="G1547" s="97">
        <v>687.38199599999996</v>
      </c>
      <c r="H1547" s="97">
        <v>1.3188519999999999</v>
      </c>
    </row>
    <row r="1548" spans="2:8" x14ac:dyDescent="0.25">
      <c r="B1548" s="97">
        <v>1.323628</v>
      </c>
      <c r="C1548" s="98">
        <v>165</v>
      </c>
      <c r="D1548" s="98">
        <v>125</v>
      </c>
      <c r="E1548" s="99">
        <v>0.33487600000000001</v>
      </c>
      <c r="F1548" s="99">
        <f t="shared" si="25"/>
        <v>2.9861799591490583</v>
      </c>
      <c r="G1548" s="97">
        <v>690.35374100000001</v>
      </c>
      <c r="H1548" s="97">
        <v>1.323628</v>
      </c>
    </row>
    <row r="1549" spans="2:8" x14ac:dyDescent="0.25">
      <c r="B1549" s="97">
        <v>1.328349</v>
      </c>
      <c r="C1549" s="98">
        <v>170</v>
      </c>
      <c r="D1549" s="98">
        <v>125</v>
      </c>
      <c r="E1549" s="99">
        <v>0.33165600000000001</v>
      </c>
      <c r="F1549" s="99">
        <f t="shared" si="25"/>
        <v>3.0151723472513687</v>
      </c>
      <c r="G1549" s="97">
        <v>693.31436099999996</v>
      </c>
      <c r="H1549" s="97">
        <v>1.328349</v>
      </c>
    </row>
    <row r="1550" spans="2:8" x14ac:dyDescent="0.25">
      <c r="B1550" s="97">
        <v>1.333016</v>
      </c>
      <c r="C1550" s="98">
        <v>175</v>
      </c>
      <c r="D1550" s="98">
        <v>125</v>
      </c>
      <c r="E1550" s="99">
        <v>0.32851200000000003</v>
      </c>
      <c r="F1550" s="99">
        <f t="shared" si="25"/>
        <v>3.0440288330411063</v>
      </c>
      <c r="G1550" s="97">
        <v>696.26495399999999</v>
      </c>
      <c r="H1550" s="97">
        <v>1.333016</v>
      </c>
    </row>
    <row r="1551" spans="2:8" x14ac:dyDescent="0.25">
      <c r="B1551" s="97">
        <v>1.3376330000000001</v>
      </c>
      <c r="C1551" s="98">
        <v>180</v>
      </c>
      <c r="D1551" s="98">
        <v>125</v>
      </c>
      <c r="E1551" s="99">
        <v>0.32544200000000001</v>
      </c>
      <c r="F1551" s="99">
        <f t="shared" si="25"/>
        <v>3.0727441448860318</v>
      </c>
      <c r="G1551" s="97">
        <v>699.20653800000002</v>
      </c>
      <c r="H1551" s="97">
        <v>1.3376330000000001</v>
      </c>
    </row>
    <row r="1552" spans="2:8" x14ac:dyDescent="0.25">
      <c r="B1552" s="97">
        <v>1.342201</v>
      </c>
      <c r="C1552" s="98">
        <v>185</v>
      </c>
      <c r="D1552" s="98">
        <v>125</v>
      </c>
      <c r="E1552" s="99">
        <v>0.32244099999999998</v>
      </c>
      <c r="F1552" s="99">
        <f t="shared" si="25"/>
        <v>3.1013425711990723</v>
      </c>
      <c r="G1552" s="97">
        <v>702.14004899999998</v>
      </c>
      <c r="H1552" s="97">
        <v>1.342201</v>
      </c>
    </row>
    <row r="1553" spans="1:8" x14ac:dyDescent="0.25">
      <c r="B1553" s="97">
        <v>1.3467229999999999</v>
      </c>
      <c r="C1553" s="98">
        <v>190</v>
      </c>
      <c r="D1553" s="98">
        <v>125</v>
      </c>
      <c r="E1553" s="99">
        <v>0.31950699999999999</v>
      </c>
      <c r="F1553" s="99">
        <f t="shared" si="25"/>
        <v>3.1298218818367047</v>
      </c>
      <c r="G1553" s="97">
        <v>705.06635700000004</v>
      </c>
      <c r="H1553" s="97">
        <v>1.3467229999999999</v>
      </c>
    </row>
    <row r="1554" spans="1:8" x14ac:dyDescent="0.25">
      <c r="B1554" s="97">
        <v>1.3512</v>
      </c>
      <c r="C1554" s="98">
        <v>195</v>
      </c>
      <c r="D1554" s="98">
        <v>125</v>
      </c>
      <c r="E1554" s="99">
        <v>0.316637</v>
      </c>
      <c r="F1554" s="99">
        <f t="shared" si="25"/>
        <v>3.1581906094360419</v>
      </c>
      <c r="G1554" s="97">
        <v>707.98626400000001</v>
      </c>
      <c r="H1554" s="97">
        <v>1.3512</v>
      </c>
    </row>
    <row r="1555" spans="1:8" x14ac:dyDescent="0.25">
      <c r="B1555" s="97">
        <v>1.3556349999999999</v>
      </c>
      <c r="C1555" s="98">
        <v>200</v>
      </c>
      <c r="D1555" s="98">
        <v>125</v>
      </c>
      <c r="E1555" s="99">
        <v>0.31382900000000002</v>
      </c>
      <c r="F1555" s="99">
        <f t="shared" si="25"/>
        <v>3.1864486710915814</v>
      </c>
      <c r="G1555" s="97">
        <v>710.90051700000004</v>
      </c>
      <c r="H1555" s="97">
        <v>1.3556349999999999</v>
      </c>
    </row>
    <row r="1556" spans="1:8" x14ac:dyDescent="0.25">
      <c r="B1556" s="112">
        <v>1.3756999999999999</v>
      </c>
      <c r="C1556" s="112">
        <v>220</v>
      </c>
      <c r="E1556" s="112">
        <v>647.35</v>
      </c>
      <c r="F1556" s="112">
        <v>3.2989000000000002</v>
      </c>
      <c r="G1556" s="112">
        <v>723.66</v>
      </c>
      <c r="H1556" s="112">
        <v>1.3756999999999999</v>
      </c>
    </row>
    <row r="1557" spans="1:8" x14ac:dyDescent="0.25">
      <c r="B1557" s="97">
        <v>1.39</v>
      </c>
      <c r="C1557" t="s">
        <v>374</v>
      </c>
      <c r="D1557" t="s">
        <v>374</v>
      </c>
      <c r="E1557" t="s">
        <v>374</v>
      </c>
      <c r="F1557" t="s">
        <v>374</v>
      </c>
      <c r="G1557" t="s">
        <v>374</v>
      </c>
      <c r="H1557" t="s">
        <v>374</v>
      </c>
    </row>
    <row r="1560" spans="1:8" ht="15.75" x14ac:dyDescent="0.25">
      <c r="A1560" s="92">
        <v>150</v>
      </c>
      <c r="C1560" s="109" t="s">
        <v>414</v>
      </c>
      <c r="D1560" s="101"/>
      <c r="E1560" s="110"/>
      <c r="F1560" s="110"/>
      <c r="G1560" s="111"/>
    </row>
    <row r="1561" spans="1:8" x14ac:dyDescent="0.25">
      <c r="B1561" s="96" t="s">
        <v>266</v>
      </c>
      <c r="C1561" s="96" t="s">
        <v>375</v>
      </c>
      <c r="D1561" s="96" t="s">
        <v>380</v>
      </c>
      <c r="E1561" s="96" t="s">
        <v>381</v>
      </c>
      <c r="F1561" s="96" t="s">
        <v>382</v>
      </c>
      <c r="G1561" s="96" t="s">
        <v>265</v>
      </c>
      <c r="H1561" s="96" t="s">
        <v>266</v>
      </c>
    </row>
    <row r="1562" spans="1:8" x14ac:dyDescent="0.25">
      <c r="B1562" s="96" t="s">
        <v>383</v>
      </c>
      <c r="C1562" s="96" t="s">
        <v>384</v>
      </c>
      <c r="D1562" s="96" t="s">
        <v>385</v>
      </c>
      <c r="E1562" s="96" t="s">
        <v>386</v>
      </c>
      <c r="F1562" s="96" t="s">
        <v>387</v>
      </c>
      <c r="G1562" s="96" t="s">
        <v>388</v>
      </c>
      <c r="H1562" s="96" t="s">
        <v>383</v>
      </c>
    </row>
    <row r="1563" spans="1:8" x14ac:dyDescent="0.25">
      <c r="B1563" s="97">
        <v>9.6564999999999998E-2</v>
      </c>
      <c r="C1563" s="98">
        <v>0</v>
      </c>
      <c r="D1563" s="98">
        <v>150</v>
      </c>
      <c r="E1563" s="99">
        <v>41.373634000000003</v>
      </c>
      <c r="F1563" s="99">
        <f t="shared" ref="F1563:F1603" si="26">1/E1563</f>
        <v>2.4169982264550412E-2</v>
      </c>
      <c r="G1563" s="97">
        <v>43.046587000000002</v>
      </c>
      <c r="H1563" s="97">
        <v>9.6564999999999998E-2</v>
      </c>
    </row>
    <row r="1564" spans="1:8" x14ac:dyDescent="0.25">
      <c r="B1564" s="97">
        <v>0.10827100000000001</v>
      </c>
      <c r="C1564" s="98">
        <v>5</v>
      </c>
      <c r="D1564" s="98">
        <v>150</v>
      </c>
      <c r="E1564" s="99">
        <v>41.147671000000003</v>
      </c>
      <c r="F1564" s="99">
        <f t="shared" si="26"/>
        <v>2.4302712053860837E-2</v>
      </c>
      <c r="G1564" s="97">
        <v>48.456671</v>
      </c>
      <c r="H1564" s="97">
        <v>0.10827100000000001</v>
      </c>
    </row>
    <row r="1565" spans="1:8" x14ac:dyDescent="0.25">
      <c r="B1565" s="97">
        <v>0.11988600000000001</v>
      </c>
      <c r="C1565" s="98">
        <v>10</v>
      </c>
      <c r="D1565" s="98">
        <v>150</v>
      </c>
      <c r="E1565" s="99">
        <v>40.919697999999997</v>
      </c>
      <c r="F1565" s="99">
        <f t="shared" si="26"/>
        <v>2.4438108023182383E-2</v>
      </c>
      <c r="G1565" s="97">
        <v>53.883200000000002</v>
      </c>
      <c r="H1565" s="97">
        <v>0.11988600000000001</v>
      </c>
    </row>
    <row r="1566" spans="1:8" x14ac:dyDescent="0.25">
      <c r="B1566" s="97">
        <v>0.131414</v>
      </c>
      <c r="C1566" s="98">
        <v>15</v>
      </c>
      <c r="D1566" s="98">
        <v>150</v>
      </c>
      <c r="E1566" s="99">
        <v>40.689664</v>
      </c>
      <c r="F1566" s="99">
        <f t="shared" si="26"/>
        <v>2.4576265854640629E-2</v>
      </c>
      <c r="G1566" s="97">
        <v>59.326383999999997</v>
      </c>
      <c r="H1566" s="97">
        <v>0.131414</v>
      </c>
    </row>
    <row r="1567" spans="1:8" x14ac:dyDescent="0.25">
      <c r="B1567" s="97">
        <v>0.14285700000000001</v>
      </c>
      <c r="C1567" s="98">
        <v>20</v>
      </c>
      <c r="D1567" s="98">
        <v>150</v>
      </c>
      <c r="E1567" s="99">
        <v>40.457509000000002</v>
      </c>
      <c r="F1567" s="99">
        <f t="shared" si="26"/>
        <v>2.4717290429324256E-2</v>
      </c>
      <c r="G1567" s="97">
        <v>64.786512000000002</v>
      </c>
      <c r="H1567" s="97">
        <v>0.14285700000000001</v>
      </c>
    </row>
    <row r="1568" spans="1:8" x14ac:dyDescent="0.25">
      <c r="B1568" s="97">
        <v>0.15421699999999999</v>
      </c>
      <c r="C1568" s="98">
        <v>25</v>
      </c>
      <c r="D1568" s="98">
        <v>150</v>
      </c>
      <c r="E1568" s="99">
        <v>40.223165000000002</v>
      </c>
      <c r="F1568" s="99">
        <f t="shared" si="26"/>
        <v>2.4861295723496647E-2</v>
      </c>
      <c r="G1568" s="97">
        <v>70.263951000000006</v>
      </c>
      <c r="H1568" s="97">
        <v>0.15421699999999999</v>
      </c>
    </row>
    <row r="1569" spans="2:8" x14ac:dyDescent="0.25">
      <c r="B1569" s="97">
        <v>0.16549700000000001</v>
      </c>
      <c r="C1569" s="98">
        <v>30</v>
      </c>
      <c r="D1569" s="98">
        <v>150</v>
      </c>
      <c r="E1569" s="99">
        <v>39.986555000000003</v>
      </c>
      <c r="F1569" s="99">
        <f t="shared" si="26"/>
        <v>2.5008405950450095E-2</v>
      </c>
      <c r="G1569" s="97">
        <v>75.759148999999994</v>
      </c>
      <c r="H1569" s="97">
        <v>0.16549700000000001</v>
      </c>
    </row>
    <row r="1570" spans="2:8" x14ac:dyDescent="0.25">
      <c r="B1570" s="97">
        <v>0.1767</v>
      </c>
      <c r="C1570" s="98">
        <v>35</v>
      </c>
      <c r="D1570" s="98">
        <v>150</v>
      </c>
      <c r="E1570" s="99">
        <v>39.747593000000002</v>
      </c>
      <c r="F1570" s="99">
        <f t="shared" si="26"/>
        <v>2.5158756154114791E-2</v>
      </c>
      <c r="G1570" s="97">
        <v>81.272645999999995</v>
      </c>
      <c r="H1570" s="97">
        <v>0.1767</v>
      </c>
    </row>
    <row r="1571" spans="2:8" x14ac:dyDescent="0.25">
      <c r="B1571" s="97">
        <v>0.18782799999999999</v>
      </c>
      <c r="C1571" s="98">
        <v>40</v>
      </c>
      <c r="D1571" s="98">
        <v>150</v>
      </c>
      <c r="E1571" s="99">
        <v>39.506180000000001</v>
      </c>
      <c r="F1571" s="99">
        <f t="shared" si="26"/>
        <v>2.5312495412110208E-2</v>
      </c>
      <c r="G1571" s="97">
        <v>86.805071999999996</v>
      </c>
      <c r="H1571" s="97">
        <v>0.18782799999999999</v>
      </c>
    </row>
    <row r="1572" spans="2:8" x14ac:dyDescent="0.25">
      <c r="B1572" s="97">
        <v>0.19888400000000001</v>
      </c>
      <c r="C1572" s="98">
        <v>45</v>
      </c>
      <c r="D1572" s="98">
        <v>150</v>
      </c>
      <c r="E1572" s="99">
        <v>39.262210000000003</v>
      </c>
      <c r="F1572" s="99">
        <f t="shared" si="26"/>
        <v>2.5469783794646299E-2</v>
      </c>
      <c r="G1572" s="97">
        <v>92.357157000000001</v>
      </c>
      <c r="H1572" s="97">
        <v>0.19888400000000001</v>
      </c>
    </row>
    <row r="1573" spans="2:8" x14ac:dyDescent="0.25">
      <c r="B1573" s="97">
        <v>0.209871</v>
      </c>
      <c r="C1573" s="98">
        <v>50</v>
      </c>
      <c r="D1573" s="98">
        <v>150</v>
      </c>
      <c r="E1573" s="99">
        <v>39.015563999999998</v>
      </c>
      <c r="F1573" s="99">
        <f t="shared" si="26"/>
        <v>2.5630796981430285E-2</v>
      </c>
      <c r="G1573" s="97">
        <v>97.929734999999994</v>
      </c>
      <c r="H1573" s="97">
        <v>0.209871</v>
      </c>
    </row>
    <row r="1574" spans="2:8" x14ac:dyDescent="0.25">
      <c r="B1574" s="97">
        <v>0.22079399999999999</v>
      </c>
      <c r="C1574" s="98">
        <v>55</v>
      </c>
      <c r="D1574" s="98">
        <v>150</v>
      </c>
      <c r="E1574" s="99">
        <v>38.766109999999998</v>
      </c>
      <c r="F1574" s="99">
        <f t="shared" si="26"/>
        <v>2.5795727247330209E-2</v>
      </c>
      <c r="G1574" s="97">
        <v>103.523754</v>
      </c>
      <c r="H1574" s="97">
        <v>0.22079399999999999</v>
      </c>
    </row>
    <row r="1575" spans="2:8" x14ac:dyDescent="0.25">
      <c r="B1575" s="97">
        <v>0.231654</v>
      </c>
      <c r="C1575" s="98">
        <v>60</v>
      </c>
      <c r="D1575" s="98">
        <v>150</v>
      </c>
      <c r="E1575" s="99">
        <v>38.513702000000002</v>
      </c>
      <c r="F1575" s="99">
        <f t="shared" si="26"/>
        <v>2.5964785208131898E-2</v>
      </c>
      <c r="G1575" s="97">
        <v>109.140281</v>
      </c>
      <c r="H1575" s="97">
        <v>0.231654</v>
      </c>
    </row>
    <row r="1576" spans="2:8" x14ac:dyDescent="0.25">
      <c r="B1576" s="97">
        <v>0.242455</v>
      </c>
      <c r="C1576" s="98">
        <v>65</v>
      </c>
      <c r="D1576" s="98">
        <v>150</v>
      </c>
      <c r="E1576" s="99">
        <v>38.258181999999998</v>
      </c>
      <c r="F1576" s="99">
        <f t="shared" si="26"/>
        <v>2.6138199666675223E-2</v>
      </c>
      <c r="G1576" s="97">
        <v>114.780512</v>
      </c>
      <c r="H1576" s="97">
        <v>0.242455</v>
      </c>
    </row>
    <row r="1577" spans="2:8" x14ac:dyDescent="0.25">
      <c r="B1577" s="97">
        <v>0.25320199999999998</v>
      </c>
      <c r="C1577" s="98">
        <v>70</v>
      </c>
      <c r="D1577" s="98">
        <v>150</v>
      </c>
      <c r="E1577" s="99">
        <v>37.999370999999996</v>
      </c>
      <c r="F1577" s="99">
        <f t="shared" si="26"/>
        <v>2.6316225076462453E-2</v>
      </c>
      <c r="G1577" s="97">
        <v>120.44578799999999</v>
      </c>
      <c r="H1577" s="97">
        <v>0.25320199999999998</v>
      </c>
    </row>
    <row r="1578" spans="2:8" x14ac:dyDescent="0.25">
      <c r="B1578" s="97">
        <v>0.26389800000000002</v>
      </c>
      <c r="C1578" s="98">
        <v>75</v>
      </c>
      <c r="D1578" s="98">
        <v>150</v>
      </c>
      <c r="E1578" s="99">
        <v>37.737076999999999</v>
      </c>
      <c r="F1578" s="99">
        <f t="shared" si="26"/>
        <v>2.6499137704809519E-2</v>
      </c>
      <c r="G1578" s="97">
        <v>126.13760000000001</v>
      </c>
      <c r="H1578" s="97">
        <v>0.26389800000000002</v>
      </c>
    </row>
    <row r="1579" spans="2:8" x14ac:dyDescent="0.25">
      <c r="B1579" s="97">
        <v>1.2017500000000001</v>
      </c>
      <c r="C1579" s="98">
        <v>80</v>
      </c>
      <c r="D1579" s="98">
        <v>150</v>
      </c>
      <c r="E1579" s="99">
        <v>0.50017100000000003</v>
      </c>
      <c r="F1579" s="99">
        <f t="shared" si="26"/>
        <v>1.9993162338480239</v>
      </c>
      <c r="G1579" s="97">
        <v>631.11157400000002</v>
      </c>
      <c r="H1579" s="97">
        <v>1.2017500000000001</v>
      </c>
    </row>
    <row r="1580" spans="2:8" x14ac:dyDescent="0.25">
      <c r="B1580" s="97">
        <v>1.2085889999999999</v>
      </c>
      <c r="C1580" s="98">
        <v>85</v>
      </c>
      <c r="D1580" s="98">
        <v>150</v>
      </c>
      <c r="E1580" s="99">
        <v>0.49274299999999999</v>
      </c>
      <c r="F1580" s="99">
        <f t="shared" si="26"/>
        <v>2.0294555173792426</v>
      </c>
      <c r="G1580" s="97">
        <v>634.81957</v>
      </c>
      <c r="H1580" s="97">
        <v>1.2085889999999999</v>
      </c>
    </row>
    <row r="1581" spans="2:8" x14ac:dyDescent="0.25">
      <c r="B1581" s="97">
        <v>1.2152210000000001</v>
      </c>
      <c r="C1581" s="98">
        <v>90</v>
      </c>
      <c r="D1581" s="98">
        <v>150</v>
      </c>
      <c r="E1581" s="99">
        <v>0.48566599999999999</v>
      </c>
      <c r="F1581" s="99">
        <f t="shared" si="26"/>
        <v>2.0590282210407977</v>
      </c>
      <c r="G1581" s="97">
        <v>638.44817899999998</v>
      </c>
      <c r="H1581" s="97">
        <v>1.2152210000000001</v>
      </c>
    </row>
    <row r="1582" spans="2:8" x14ac:dyDescent="0.25">
      <c r="B1582" s="97">
        <v>1.221665</v>
      </c>
      <c r="C1582" s="98">
        <v>95</v>
      </c>
      <c r="D1582" s="98">
        <v>150</v>
      </c>
      <c r="E1582" s="99">
        <v>0.47890899999999997</v>
      </c>
      <c r="F1582" s="99">
        <f t="shared" si="26"/>
        <v>2.0880793637204564</v>
      </c>
      <c r="G1582" s="97">
        <v>642.00610300000005</v>
      </c>
      <c r="H1582" s="97">
        <v>1.221665</v>
      </c>
    </row>
    <row r="1583" spans="2:8" x14ac:dyDescent="0.25">
      <c r="B1583" s="97">
        <v>1.2279370000000001</v>
      </c>
      <c r="C1583" s="98">
        <v>100</v>
      </c>
      <c r="D1583" s="98">
        <v>150</v>
      </c>
      <c r="E1583" s="99">
        <v>0.472441</v>
      </c>
      <c r="F1583" s="99">
        <f t="shared" si="26"/>
        <v>2.1166664197222511</v>
      </c>
      <c r="G1583" s="97">
        <v>645.50084800000002</v>
      </c>
      <c r="H1583" s="97">
        <v>1.2279370000000001</v>
      </c>
    </row>
    <row r="1584" spans="2:8" x14ac:dyDescent="0.25">
      <c r="B1584" s="97">
        <v>1.2340530000000001</v>
      </c>
      <c r="C1584" s="98">
        <v>105</v>
      </c>
      <c r="D1584" s="98">
        <v>150</v>
      </c>
      <c r="E1584" s="99">
        <v>0.46623700000000001</v>
      </c>
      <c r="F1584" s="99">
        <f t="shared" si="26"/>
        <v>2.14483192024657</v>
      </c>
      <c r="G1584" s="97">
        <v>648.93893800000001</v>
      </c>
      <c r="H1584" s="97">
        <v>1.2340530000000001</v>
      </c>
    </row>
    <row r="1585" spans="2:8" x14ac:dyDescent="0.25">
      <c r="B1585" s="97">
        <v>1.2400249999999999</v>
      </c>
      <c r="C1585" s="98">
        <v>110</v>
      </c>
      <c r="D1585" s="98">
        <v>150</v>
      </c>
      <c r="E1585" s="99">
        <v>0.46027600000000002</v>
      </c>
      <c r="F1585" s="99">
        <f t="shared" si="26"/>
        <v>2.1726094777915859</v>
      </c>
      <c r="G1585" s="97">
        <v>652.32608000000005</v>
      </c>
      <c r="H1585" s="97">
        <v>1.2400249999999999</v>
      </c>
    </row>
    <row r="1586" spans="2:8" x14ac:dyDescent="0.25">
      <c r="B1586" s="97">
        <v>1.245865</v>
      </c>
      <c r="C1586" s="98">
        <v>115</v>
      </c>
      <c r="D1586" s="98">
        <v>150</v>
      </c>
      <c r="E1586" s="99">
        <v>0.45453900000000003</v>
      </c>
      <c r="F1586" s="99">
        <f t="shared" si="26"/>
        <v>2.200031240443614</v>
      </c>
      <c r="G1586" s="97">
        <v>655.66729499999997</v>
      </c>
      <c r="H1586" s="97">
        <v>1.245865</v>
      </c>
    </row>
    <row r="1587" spans="2:8" x14ac:dyDescent="0.25">
      <c r="B1587" s="97">
        <v>1.251582</v>
      </c>
      <c r="C1587" s="98">
        <v>120</v>
      </c>
      <c r="D1587" s="98">
        <v>150</v>
      </c>
      <c r="E1587" s="99">
        <v>0.44900899999999999</v>
      </c>
      <c r="F1587" s="99">
        <f t="shared" si="26"/>
        <v>2.227126850464022</v>
      </c>
      <c r="G1587" s="97">
        <v>658.96702600000003</v>
      </c>
      <c r="H1587" s="97">
        <v>1.251582</v>
      </c>
    </row>
    <row r="1588" spans="2:8" x14ac:dyDescent="0.25">
      <c r="B1588" s="97">
        <v>1.2571859999999999</v>
      </c>
      <c r="C1588" s="98">
        <v>125</v>
      </c>
      <c r="D1588" s="98">
        <v>150</v>
      </c>
      <c r="E1588" s="99">
        <v>0.44367099999999998</v>
      </c>
      <c r="F1588" s="99">
        <f t="shared" si="26"/>
        <v>2.2539223884364765</v>
      </c>
      <c r="G1588" s="97">
        <v>662.22922000000005</v>
      </c>
      <c r="H1588" s="97">
        <v>1.2571859999999999</v>
      </c>
    </row>
    <row r="1589" spans="2:8" x14ac:dyDescent="0.25">
      <c r="B1589" s="97">
        <v>1.2626839999999999</v>
      </c>
      <c r="C1589" s="98">
        <v>130</v>
      </c>
      <c r="D1589" s="98">
        <v>150</v>
      </c>
      <c r="E1589" s="99">
        <v>0.43851099999999998</v>
      </c>
      <c r="F1589" s="99">
        <f t="shared" si="26"/>
        <v>2.2804445042427672</v>
      </c>
      <c r="G1589" s="97">
        <v>665.45739700000001</v>
      </c>
      <c r="H1589" s="97">
        <v>1.2626839999999999</v>
      </c>
    </row>
    <row r="1590" spans="2:8" x14ac:dyDescent="0.25">
      <c r="B1590" s="97">
        <v>1.2680830000000001</v>
      </c>
      <c r="C1590" s="98">
        <v>135</v>
      </c>
      <c r="D1590" s="98">
        <v>150</v>
      </c>
      <c r="E1590" s="99">
        <v>0.43351800000000001</v>
      </c>
      <c r="F1590" s="99">
        <f t="shared" si="26"/>
        <v>2.3067092946544316</v>
      </c>
      <c r="G1590" s="97">
        <v>668.65471300000002</v>
      </c>
      <c r="H1590" s="97">
        <v>1.2680830000000001</v>
      </c>
    </row>
    <row r="1591" spans="2:8" x14ac:dyDescent="0.25">
      <c r="B1591" s="97">
        <v>1.27339</v>
      </c>
      <c r="C1591" s="98">
        <v>140</v>
      </c>
      <c r="D1591" s="98">
        <v>150</v>
      </c>
      <c r="E1591" s="99">
        <v>0.42868200000000001</v>
      </c>
      <c r="F1591" s="99">
        <f t="shared" si="26"/>
        <v>2.332731488609272</v>
      </c>
      <c r="G1591" s="97">
        <v>671.82400299999995</v>
      </c>
      <c r="H1591" s="97">
        <v>1.27339</v>
      </c>
    </row>
    <row r="1592" spans="2:8" x14ac:dyDescent="0.25">
      <c r="B1592" s="97">
        <v>1.2786109999999999</v>
      </c>
      <c r="C1592" s="98">
        <v>145</v>
      </c>
      <c r="D1592" s="98">
        <v>150</v>
      </c>
      <c r="E1592" s="99">
        <v>0.42399100000000001</v>
      </c>
      <c r="F1592" s="99">
        <f t="shared" si="26"/>
        <v>2.3585406294001525</v>
      </c>
      <c r="G1592" s="97">
        <v>674.96782199999996</v>
      </c>
      <c r="H1592" s="97">
        <v>1.2786109999999999</v>
      </c>
    </row>
    <row r="1593" spans="2:8" x14ac:dyDescent="0.25">
      <c r="B1593" s="97">
        <v>1.2837510000000001</v>
      </c>
      <c r="C1593" s="98">
        <v>150</v>
      </c>
      <c r="D1593" s="98">
        <v>150</v>
      </c>
      <c r="E1593" s="99">
        <v>0.41943900000000001</v>
      </c>
      <c r="F1593" s="99">
        <f t="shared" si="26"/>
        <v>2.3841369066777292</v>
      </c>
      <c r="G1593" s="97">
        <v>678.088483</v>
      </c>
      <c r="H1593" s="97">
        <v>1.2837510000000001</v>
      </c>
    </row>
    <row r="1594" spans="2:8" x14ac:dyDescent="0.25">
      <c r="B1594" s="97">
        <v>1.2888139999999999</v>
      </c>
      <c r="C1594" s="98">
        <v>155</v>
      </c>
      <c r="D1594" s="98">
        <v>150</v>
      </c>
      <c r="E1594" s="99">
        <v>0.41501700000000002</v>
      </c>
      <c r="F1594" s="99">
        <f t="shared" si="26"/>
        <v>2.409539850174812</v>
      </c>
      <c r="G1594" s="97">
        <v>681.18808300000001</v>
      </c>
      <c r="H1594" s="97">
        <v>1.2888139999999999</v>
      </c>
    </row>
    <row r="1595" spans="2:8" x14ac:dyDescent="0.25">
      <c r="B1595" s="97">
        <v>1.2938050000000001</v>
      </c>
      <c r="C1595" s="98">
        <v>160</v>
      </c>
      <c r="D1595" s="98">
        <v>150</v>
      </c>
      <c r="E1595" s="99">
        <v>0.410717</v>
      </c>
      <c r="F1595" s="99">
        <f t="shared" si="26"/>
        <v>2.43476651806475</v>
      </c>
      <c r="G1595" s="97">
        <v>684.26852799999995</v>
      </c>
      <c r="H1595" s="97">
        <v>1.2938050000000001</v>
      </c>
    </row>
    <row r="1596" spans="2:8" x14ac:dyDescent="0.25">
      <c r="B1596" s="97">
        <v>1.298729</v>
      </c>
      <c r="C1596" s="98">
        <v>165</v>
      </c>
      <c r="D1596" s="98">
        <v>150</v>
      </c>
      <c r="E1596" s="99">
        <v>0.40653400000000001</v>
      </c>
      <c r="F1596" s="99">
        <f t="shared" si="26"/>
        <v>2.4598188589392276</v>
      </c>
      <c r="G1596" s="97">
        <v>687.33155699999998</v>
      </c>
      <c r="H1596" s="97">
        <v>1.298729</v>
      </c>
    </row>
    <row r="1597" spans="2:8" x14ac:dyDescent="0.25">
      <c r="B1597" s="97">
        <v>1.3035870000000001</v>
      </c>
      <c r="C1597" s="98">
        <v>170</v>
      </c>
      <c r="D1597" s="98">
        <v>150</v>
      </c>
      <c r="E1597" s="99">
        <v>0.40245999999999998</v>
      </c>
      <c r="F1597" s="99">
        <f t="shared" si="26"/>
        <v>2.4847189782835564</v>
      </c>
      <c r="G1597" s="97">
        <v>690.37875599999995</v>
      </c>
      <c r="H1597" s="97">
        <v>1.3035870000000001</v>
      </c>
    </row>
    <row r="1598" spans="2:8" x14ac:dyDescent="0.25">
      <c r="B1598" s="97">
        <v>1.3083849999999999</v>
      </c>
      <c r="C1598" s="98">
        <v>175</v>
      </c>
      <c r="D1598" s="98">
        <v>150</v>
      </c>
      <c r="E1598" s="99">
        <v>0.39849099999999998</v>
      </c>
      <c r="F1598" s="99">
        <f t="shared" si="26"/>
        <v>2.5094669641221508</v>
      </c>
      <c r="G1598" s="97">
        <v>693.41157899999996</v>
      </c>
      <c r="H1598" s="97">
        <v>1.3083849999999999</v>
      </c>
    </row>
    <row r="1599" spans="2:8" x14ac:dyDescent="0.25">
      <c r="B1599" s="97">
        <v>1.313124</v>
      </c>
      <c r="C1599" s="98">
        <v>180</v>
      </c>
      <c r="D1599" s="98">
        <v>150</v>
      </c>
      <c r="E1599" s="99">
        <v>0.394621</v>
      </c>
      <c r="F1599" s="99">
        <f t="shared" si="26"/>
        <v>2.5340770004637361</v>
      </c>
      <c r="G1599" s="97">
        <v>696.43136100000004</v>
      </c>
      <c r="H1599" s="97">
        <v>1.313124</v>
      </c>
    </row>
    <row r="1600" spans="2:8" x14ac:dyDescent="0.25">
      <c r="B1600" s="97">
        <v>1.3178080000000001</v>
      </c>
      <c r="C1600" s="98">
        <v>185</v>
      </c>
      <c r="D1600" s="98">
        <v>150</v>
      </c>
      <c r="E1600" s="99">
        <v>0.39084600000000003</v>
      </c>
      <c r="F1600" s="99">
        <f t="shared" si="26"/>
        <v>2.5585524733526759</v>
      </c>
      <c r="G1600" s="97">
        <v>699.43932800000005</v>
      </c>
      <c r="H1600" s="97">
        <v>1.3178080000000001</v>
      </c>
    </row>
    <row r="1601" spans="1:8" x14ac:dyDescent="0.25">
      <c r="B1601" s="97">
        <v>1.3224400000000001</v>
      </c>
      <c r="C1601" s="98">
        <v>190</v>
      </c>
      <c r="D1601" s="98">
        <v>150</v>
      </c>
      <c r="E1601" s="99">
        <v>0.38716200000000001</v>
      </c>
      <c r="F1601" s="99">
        <f t="shared" si="26"/>
        <v>2.5828981150009556</v>
      </c>
      <c r="G1601" s="97">
        <v>702.43660799999998</v>
      </c>
      <c r="H1601" s="97">
        <v>1.3224400000000001</v>
      </c>
    </row>
    <row r="1602" spans="1:8" x14ac:dyDescent="0.25">
      <c r="B1602" s="97">
        <v>1.327021</v>
      </c>
      <c r="C1602" s="98">
        <v>195</v>
      </c>
      <c r="D1602" s="98">
        <v>150</v>
      </c>
      <c r="E1602" s="99">
        <v>0.38356299999999999</v>
      </c>
      <c r="F1602" s="99">
        <f t="shared" si="26"/>
        <v>2.6071336390632047</v>
      </c>
      <c r="G1602" s="97">
        <v>705.42424500000004</v>
      </c>
      <c r="H1602" s="97">
        <v>1.327021</v>
      </c>
    </row>
    <row r="1603" spans="1:8" x14ac:dyDescent="0.25">
      <c r="B1603" s="97">
        <v>1.3315539999999999</v>
      </c>
      <c r="C1603" s="98">
        <v>200</v>
      </c>
      <c r="D1603" s="98">
        <v>150</v>
      </c>
      <c r="E1603" s="99">
        <v>0.38004700000000002</v>
      </c>
      <c r="F1603" s="99">
        <f t="shared" si="26"/>
        <v>2.6312535028562256</v>
      </c>
      <c r="G1603" s="97">
        <v>708.40320199999996</v>
      </c>
      <c r="H1603" s="97">
        <v>1.3315539999999999</v>
      </c>
    </row>
    <row r="1604" spans="1:8" x14ac:dyDescent="0.25">
      <c r="B1604" s="106">
        <v>1.3520000000000001</v>
      </c>
      <c r="C1604" s="106">
        <v>220</v>
      </c>
      <c r="D1604" s="113"/>
      <c r="E1604" s="106">
        <v>645.71</v>
      </c>
      <c r="F1604" s="106">
        <v>2.7271999999999998</v>
      </c>
      <c r="G1604" s="106">
        <v>721.42</v>
      </c>
      <c r="H1604" s="106">
        <v>1.3520000000000001</v>
      </c>
    </row>
    <row r="1605" spans="1:8" x14ac:dyDescent="0.25">
      <c r="B1605" s="97">
        <v>1.37</v>
      </c>
      <c r="C1605" t="s">
        <v>374</v>
      </c>
      <c r="D1605" t="s">
        <v>374</v>
      </c>
      <c r="E1605" t="s">
        <v>374</v>
      </c>
      <c r="F1605" t="s">
        <v>374</v>
      </c>
      <c r="G1605" t="s">
        <v>374</v>
      </c>
      <c r="H1605" t="s">
        <v>374</v>
      </c>
    </row>
    <row r="1608" spans="1:8" ht="15.75" x14ac:dyDescent="0.25">
      <c r="A1608" s="92">
        <v>166.51</v>
      </c>
      <c r="C1608" s="109" t="s">
        <v>415</v>
      </c>
      <c r="D1608" s="101"/>
      <c r="E1608" s="110"/>
      <c r="F1608" s="110"/>
      <c r="G1608" s="111"/>
    </row>
    <row r="1609" spans="1:8" x14ac:dyDescent="0.25">
      <c r="B1609" s="96" t="s">
        <v>266</v>
      </c>
      <c r="C1609" s="96" t="s">
        <v>375</v>
      </c>
      <c r="D1609" s="96" t="s">
        <v>380</v>
      </c>
      <c r="E1609" s="96" t="s">
        <v>381</v>
      </c>
      <c r="F1609" s="96" t="s">
        <v>382</v>
      </c>
      <c r="G1609" s="96" t="s">
        <v>265</v>
      </c>
      <c r="H1609" s="96" t="s">
        <v>266</v>
      </c>
    </row>
    <row r="1610" spans="1:8" x14ac:dyDescent="0.25">
      <c r="B1610" s="96" t="s">
        <v>383</v>
      </c>
      <c r="C1610" s="96" t="s">
        <v>384</v>
      </c>
      <c r="D1610" s="96" t="s">
        <v>385</v>
      </c>
      <c r="E1610" s="96" t="s">
        <v>386</v>
      </c>
      <c r="F1610" s="96" t="s">
        <v>387</v>
      </c>
      <c r="G1610" s="96" t="s">
        <v>388</v>
      </c>
      <c r="H1610" s="96" t="s">
        <v>383</v>
      </c>
    </row>
    <row r="1611" spans="1:8" x14ac:dyDescent="0.25">
      <c r="B1611" s="97">
        <v>9.6479999999999996E-2</v>
      </c>
      <c r="C1611" s="98">
        <v>0</v>
      </c>
      <c r="D1611" s="98">
        <v>166.5</v>
      </c>
      <c r="E1611" s="99">
        <v>41.38</v>
      </c>
      <c r="F1611" s="99">
        <f t="shared" ref="F1611:F1651" si="27">1/E1611</f>
        <v>2.4166263895601739E-2</v>
      </c>
      <c r="G1611" s="97">
        <v>43.08</v>
      </c>
      <c r="H1611" s="97">
        <v>9.6479999999999996E-2</v>
      </c>
    </row>
    <row r="1612" spans="1:8" x14ac:dyDescent="0.25">
      <c r="B1612" s="97">
        <v>0.1082</v>
      </c>
      <c r="C1612" s="98">
        <v>5</v>
      </c>
      <c r="D1612" s="98">
        <v>166.5</v>
      </c>
      <c r="E1612" s="99">
        <v>41.15</v>
      </c>
      <c r="F1612" s="99">
        <f t="shared" si="27"/>
        <v>2.4301336573511544E-2</v>
      </c>
      <c r="G1612" s="97">
        <v>48.49</v>
      </c>
      <c r="H1612" s="97">
        <v>0.1082</v>
      </c>
    </row>
    <row r="1613" spans="1:8" x14ac:dyDescent="0.25">
      <c r="B1613" s="97">
        <v>0.1198</v>
      </c>
      <c r="C1613" s="98">
        <v>10</v>
      </c>
      <c r="D1613" s="98">
        <v>166.5</v>
      </c>
      <c r="E1613" s="99">
        <v>40.92</v>
      </c>
      <c r="F1613" s="99">
        <f t="shared" si="27"/>
        <v>2.4437927663734114E-2</v>
      </c>
      <c r="G1613" s="97">
        <v>53.92</v>
      </c>
      <c r="H1613" s="97">
        <v>0.1198</v>
      </c>
    </row>
    <row r="1614" spans="1:8" x14ac:dyDescent="0.25">
      <c r="B1614" s="97">
        <v>0.1313</v>
      </c>
      <c r="C1614" s="98">
        <v>15</v>
      </c>
      <c r="D1614" s="98">
        <v>166.5</v>
      </c>
      <c r="E1614" s="99">
        <v>40.69</v>
      </c>
      <c r="F1614" s="99">
        <f t="shared" si="27"/>
        <v>2.4576062914721062E-2</v>
      </c>
      <c r="G1614" s="97">
        <v>59.36</v>
      </c>
      <c r="H1614" s="97">
        <v>0.1313</v>
      </c>
    </row>
    <row r="1615" spans="1:8" x14ac:dyDescent="0.25">
      <c r="B1615" s="97">
        <v>0.14280000000000001</v>
      </c>
      <c r="C1615" s="98">
        <v>20</v>
      </c>
      <c r="D1615" s="98">
        <v>166.5</v>
      </c>
      <c r="E1615" s="99">
        <v>40.46</v>
      </c>
      <c r="F1615" s="99">
        <f t="shared" si="27"/>
        <v>2.4715768660405337E-2</v>
      </c>
      <c r="G1615" s="97">
        <v>64.819999999999993</v>
      </c>
      <c r="H1615" s="97">
        <v>0.14280000000000001</v>
      </c>
    </row>
    <row r="1616" spans="1:8" x14ac:dyDescent="0.25">
      <c r="B1616" s="97">
        <v>0.15409999999999999</v>
      </c>
      <c r="C1616" s="98">
        <v>25</v>
      </c>
      <c r="D1616" s="98">
        <v>166.5</v>
      </c>
      <c r="E1616" s="99">
        <v>40.229999999999997</v>
      </c>
      <c r="F1616" s="99">
        <f t="shared" si="27"/>
        <v>2.4857071836937611E-2</v>
      </c>
      <c r="G1616" s="97">
        <v>70.3</v>
      </c>
      <c r="H1616" s="97">
        <v>0.15409999999999999</v>
      </c>
    </row>
    <row r="1617" spans="2:8" x14ac:dyDescent="0.25">
      <c r="B1617" s="97">
        <v>0.16539999999999999</v>
      </c>
      <c r="C1617" s="98">
        <v>30</v>
      </c>
      <c r="D1617" s="98">
        <v>166.5</v>
      </c>
      <c r="E1617" s="99">
        <v>39.99</v>
      </c>
      <c r="F1617" s="99">
        <f t="shared" si="27"/>
        <v>2.500625156289072E-2</v>
      </c>
      <c r="G1617" s="97">
        <v>75.790000000000006</v>
      </c>
      <c r="H1617" s="97">
        <v>0.16539999999999999</v>
      </c>
    </row>
    <row r="1618" spans="2:8" x14ac:dyDescent="0.25">
      <c r="B1618" s="97">
        <v>0.17660000000000001</v>
      </c>
      <c r="C1618" s="98">
        <v>35</v>
      </c>
      <c r="D1618" s="98">
        <v>166.5</v>
      </c>
      <c r="E1618" s="99">
        <v>39.75</v>
      </c>
      <c r="F1618" s="99">
        <f t="shared" si="27"/>
        <v>2.5157232704402517E-2</v>
      </c>
      <c r="G1618" s="97">
        <v>81.3</v>
      </c>
      <c r="H1618" s="97">
        <v>0.17660000000000001</v>
      </c>
    </row>
    <row r="1619" spans="2:8" x14ac:dyDescent="0.25">
      <c r="B1619" s="97">
        <v>0.18770000000000001</v>
      </c>
      <c r="C1619" s="98">
        <v>40</v>
      </c>
      <c r="D1619" s="98">
        <v>166.5</v>
      </c>
      <c r="E1619" s="99">
        <v>39.51</v>
      </c>
      <c r="F1619" s="99">
        <f t="shared" si="27"/>
        <v>2.5310048089091371E-2</v>
      </c>
      <c r="G1619" s="97">
        <v>86.83</v>
      </c>
      <c r="H1619" s="97">
        <v>0.18770000000000001</v>
      </c>
    </row>
    <row r="1620" spans="2:8" x14ac:dyDescent="0.25">
      <c r="B1620" s="97">
        <v>0.1988</v>
      </c>
      <c r="C1620" s="98">
        <v>45</v>
      </c>
      <c r="D1620" s="98">
        <v>166.5</v>
      </c>
      <c r="E1620" s="99">
        <v>39.270000000000003</v>
      </c>
      <c r="F1620" s="99">
        <f t="shared" si="27"/>
        <v>2.5464731347084286E-2</v>
      </c>
      <c r="G1620" s="97">
        <v>92.39</v>
      </c>
      <c r="H1620" s="97">
        <v>0.1988</v>
      </c>
    </row>
    <row r="1621" spans="2:8" x14ac:dyDescent="0.25">
      <c r="B1621" s="97">
        <v>0.20979999999999999</v>
      </c>
      <c r="C1621" s="98">
        <v>50</v>
      </c>
      <c r="D1621" s="98">
        <v>166.5</v>
      </c>
      <c r="E1621" s="99">
        <v>39.020000000000003</v>
      </c>
      <c r="F1621" s="99">
        <f t="shared" si="27"/>
        <v>2.5627883136852894E-2</v>
      </c>
      <c r="G1621" s="97">
        <v>97.96</v>
      </c>
      <c r="H1621" s="97">
        <v>0.20979999999999999</v>
      </c>
    </row>
    <row r="1622" spans="2:8" x14ac:dyDescent="0.25">
      <c r="B1622" s="97">
        <v>0.22070000000000001</v>
      </c>
      <c r="C1622" s="98">
        <v>55</v>
      </c>
      <c r="D1622" s="98">
        <v>166.5</v>
      </c>
      <c r="E1622" s="99">
        <v>38.770000000000003</v>
      </c>
      <c r="F1622" s="99">
        <f t="shared" si="27"/>
        <v>2.5793139025019344E-2</v>
      </c>
      <c r="G1622" s="97">
        <v>103.6</v>
      </c>
      <c r="H1622" s="97">
        <v>0.22070000000000001</v>
      </c>
    </row>
    <row r="1623" spans="2:8" x14ac:dyDescent="0.25">
      <c r="B1623" s="97">
        <v>0.23150000000000001</v>
      </c>
      <c r="C1623" s="98">
        <v>60</v>
      </c>
      <c r="D1623" s="98">
        <v>166.5</v>
      </c>
      <c r="E1623" s="99">
        <v>38.520000000000003</v>
      </c>
      <c r="F1623" s="99">
        <f t="shared" si="27"/>
        <v>2.5960539979231565E-2</v>
      </c>
      <c r="G1623" s="97">
        <v>109.2</v>
      </c>
      <c r="H1623" s="97">
        <v>0.23150000000000001</v>
      </c>
    </row>
    <row r="1624" spans="2:8" x14ac:dyDescent="0.25">
      <c r="B1624" s="97">
        <v>0.24229999999999999</v>
      </c>
      <c r="C1624" s="98">
        <v>65</v>
      </c>
      <c r="D1624" s="98">
        <v>166.5</v>
      </c>
      <c r="E1624" s="99">
        <v>38.26</v>
      </c>
      <c r="F1624" s="99">
        <f t="shared" si="27"/>
        <v>2.6136957658128596E-2</v>
      </c>
      <c r="G1624" s="97">
        <v>114.8</v>
      </c>
      <c r="H1624" s="97">
        <v>0.24229999999999999</v>
      </c>
    </row>
    <row r="1625" spans="2:8" x14ac:dyDescent="0.25">
      <c r="B1625" s="97">
        <v>0.25309999999999999</v>
      </c>
      <c r="C1625" s="98">
        <v>70</v>
      </c>
      <c r="D1625" s="98">
        <v>166.5</v>
      </c>
      <c r="E1625" s="99">
        <v>38.01</v>
      </c>
      <c r="F1625" s="99">
        <f t="shared" si="27"/>
        <v>2.6308866087871613E-2</v>
      </c>
      <c r="G1625" s="97">
        <v>120.5</v>
      </c>
      <c r="H1625" s="97">
        <v>0.25309999999999999</v>
      </c>
    </row>
    <row r="1626" spans="2:8" x14ac:dyDescent="0.25">
      <c r="B1626" s="97">
        <v>0.26379999999999998</v>
      </c>
      <c r="C1626" s="98">
        <v>75</v>
      </c>
      <c r="D1626" s="98">
        <v>166.5</v>
      </c>
      <c r="E1626" s="99">
        <v>37.74</v>
      </c>
      <c r="F1626" s="99">
        <f t="shared" si="27"/>
        <v>2.6497085320614729E-2</v>
      </c>
      <c r="G1626" s="97">
        <v>126.2</v>
      </c>
      <c r="H1626" s="97">
        <v>0.26379999999999998</v>
      </c>
    </row>
    <row r="1627" spans="2:8" x14ac:dyDescent="0.25">
      <c r="B1627" s="97">
        <v>0.27439999999999998</v>
      </c>
      <c r="C1627" s="98">
        <v>80</v>
      </c>
      <c r="D1627" s="98">
        <v>166.5</v>
      </c>
      <c r="E1627" s="99">
        <v>37.479999999999997</v>
      </c>
      <c r="F1627" s="99">
        <f t="shared" si="27"/>
        <v>2.6680896478121666E-2</v>
      </c>
      <c r="G1627" s="97">
        <v>131.9</v>
      </c>
      <c r="H1627" s="97">
        <v>0.27439999999999998</v>
      </c>
    </row>
    <row r="1628" spans="2:8" x14ac:dyDescent="0.25">
      <c r="B1628" s="97">
        <v>0.28499999999999998</v>
      </c>
      <c r="C1628" s="98">
        <v>85</v>
      </c>
      <c r="D1628" s="98">
        <v>166.5</v>
      </c>
      <c r="E1628" s="99">
        <v>37.21</v>
      </c>
      <c r="F1628" s="99">
        <f t="shared" si="27"/>
        <v>2.6874496103198066E-2</v>
      </c>
      <c r="G1628" s="97">
        <v>137.6</v>
      </c>
      <c r="H1628" s="97">
        <v>0.28499999999999998</v>
      </c>
    </row>
    <row r="1629" spans="2:8" x14ac:dyDescent="0.25">
      <c r="B1629" s="97">
        <v>1.198</v>
      </c>
      <c r="C1629" s="98">
        <v>90</v>
      </c>
      <c r="D1629" s="98">
        <v>166.5</v>
      </c>
      <c r="E1629" s="99">
        <v>0.54759999999999998</v>
      </c>
      <c r="F1629" s="99">
        <f t="shared" si="27"/>
        <v>1.8261504747991235</v>
      </c>
      <c r="G1629" s="97">
        <v>634.79999999999995</v>
      </c>
      <c r="H1629" s="97">
        <v>1.198</v>
      </c>
    </row>
    <row r="1630" spans="2:8" x14ac:dyDescent="0.25">
      <c r="B1630" s="97">
        <v>1.2050000000000001</v>
      </c>
      <c r="C1630" s="98">
        <v>95</v>
      </c>
      <c r="D1630" s="98">
        <v>166.5</v>
      </c>
      <c r="E1630" s="99">
        <v>0.53949999999999998</v>
      </c>
      <c r="F1630" s="99">
        <f t="shared" si="27"/>
        <v>1.8535681186283597</v>
      </c>
      <c r="G1630" s="97">
        <v>638.6</v>
      </c>
      <c r="H1630" s="97">
        <v>1.2050000000000001</v>
      </c>
    </row>
    <row r="1631" spans="2:8" x14ac:dyDescent="0.25">
      <c r="B1631" s="97">
        <v>1.2110000000000001</v>
      </c>
      <c r="C1631" s="98">
        <v>100</v>
      </c>
      <c r="D1631" s="98">
        <v>166.5</v>
      </c>
      <c r="E1631" s="99">
        <v>0.53180000000000005</v>
      </c>
      <c r="F1631" s="99">
        <f t="shared" si="27"/>
        <v>1.8804061677322299</v>
      </c>
      <c r="G1631" s="97">
        <v>642.20000000000005</v>
      </c>
      <c r="H1631" s="97">
        <v>1.2110000000000001</v>
      </c>
    </row>
    <row r="1632" spans="2:8" x14ac:dyDescent="0.25">
      <c r="B1632" s="97">
        <v>1.218</v>
      </c>
      <c r="C1632" s="98">
        <v>105</v>
      </c>
      <c r="D1632" s="98">
        <v>166.5</v>
      </c>
      <c r="E1632" s="99">
        <v>0.52439999999999998</v>
      </c>
      <c r="F1632" s="99">
        <f t="shared" si="27"/>
        <v>1.9069412662090008</v>
      </c>
      <c r="G1632" s="97">
        <v>645.79999999999995</v>
      </c>
      <c r="H1632" s="97">
        <v>1.218</v>
      </c>
    </row>
    <row r="1633" spans="2:8" x14ac:dyDescent="0.25">
      <c r="B1633" s="97">
        <v>1.224</v>
      </c>
      <c r="C1633" s="98">
        <v>110</v>
      </c>
      <c r="D1633" s="98">
        <v>166.5</v>
      </c>
      <c r="E1633" s="99">
        <v>0.51739999999999997</v>
      </c>
      <c r="F1633" s="99">
        <f t="shared" si="27"/>
        <v>1.9327406262079629</v>
      </c>
      <c r="G1633" s="97">
        <v>649.29999999999995</v>
      </c>
      <c r="H1633" s="97">
        <v>1.224</v>
      </c>
    </row>
    <row r="1634" spans="2:8" x14ac:dyDescent="0.25">
      <c r="B1634" s="97">
        <v>1.23</v>
      </c>
      <c r="C1634" s="98">
        <v>115</v>
      </c>
      <c r="D1634" s="98">
        <v>166.5</v>
      </c>
      <c r="E1634" s="99">
        <v>0.51060000000000005</v>
      </c>
      <c r="F1634" s="99">
        <f t="shared" si="27"/>
        <v>1.9584802193497843</v>
      </c>
      <c r="G1634" s="97">
        <v>652.79999999999995</v>
      </c>
      <c r="H1634" s="97">
        <v>1.23</v>
      </c>
    </row>
    <row r="1635" spans="2:8" x14ac:dyDescent="0.25">
      <c r="B1635" s="97">
        <v>1.236</v>
      </c>
      <c r="C1635" s="98">
        <v>120</v>
      </c>
      <c r="D1635" s="98">
        <v>166.5</v>
      </c>
      <c r="E1635" s="99">
        <v>0.50409999999999999</v>
      </c>
      <c r="F1635" s="99">
        <f t="shared" si="27"/>
        <v>1.9837333862328903</v>
      </c>
      <c r="G1635" s="97">
        <v>656.2</v>
      </c>
      <c r="H1635" s="97">
        <v>1.236</v>
      </c>
    </row>
    <row r="1636" spans="2:8" x14ac:dyDescent="0.25">
      <c r="B1636" s="97">
        <v>1.2410000000000001</v>
      </c>
      <c r="C1636" s="98">
        <v>125</v>
      </c>
      <c r="D1636" s="98">
        <v>166.5</v>
      </c>
      <c r="E1636" s="99">
        <v>0.49790000000000001</v>
      </c>
      <c r="F1636" s="99">
        <f t="shared" si="27"/>
        <v>2.008435428800964</v>
      </c>
      <c r="G1636" s="97">
        <v>659.6</v>
      </c>
      <c r="H1636" s="97">
        <v>1.2410000000000001</v>
      </c>
    </row>
    <row r="1637" spans="2:8" x14ac:dyDescent="0.25">
      <c r="B1637" s="97">
        <v>1.2470000000000001</v>
      </c>
      <c r="C1637" s="98">
        <v>130</v>
      </c>
      <c r="D1637" s="98">
        <v>166.5</v>
      </c>
      <c r="E1637" s="99">
        <v>0.4919</v>
      </c>
      <c r="F1637" s="99">
        <f t="shared" si="27"/>
        <v>2.0329335230737953</v>
      </c>
      <c r="G1637" s="97">
        <v>662.9</v>
      </c>
      <c r="H1637" s="97">
        <v>1.2470000000000001</v>
      </c>
    </row>
    <row r="1638" spans="2:8" x14ac:dyDescent="0.25">
      <c r="B1638" s="97">
        <v>1.2529999999999999</v>
      </c>
      <c r="C1638" s="98">
        <v>135</v>
      </c>
      <c r="D1638" s="98">
        <v>166.5</v>
      </c>
      <c r="E1638" s="99">
        <v>0.48609999999999998</v>
      </c>
      <c r="F1638" s="99">
        <f t="shared" si="27"/>
        <v>2.0571898786257972</v>
      </c>
      <c r="G1638" s="97">
        <v>666.2</v>
      </c>
      <c r="H1638" s="97">
        <v>1.2529999999999999</v>
      </c>
    </row>
    <row r="1639" spans="2:8" x14ac:dyDescent="0.25">
      <c r="B1639" s="97">
        <v>1.258</v>
      </c>
      <c r="C1639" s="98">
        <v>140</v>
      </c>
      <c r="D1639" s="98">
        <v>166.5</v>
      </c>
      <c r="E1639" s="99">
        <v>0.48039999999999999</v>
      </c>
      <c r="F1639" s="99">
        <f t="shared" si="27"/>
        <v>2.0815986677768525</v>
      </c>
      <c r="G1639" s="97">
        <v>669.4</v>
      </c>
      <c r="H1639" s="97">
        <v>1.258</v>
      </c>
    </row>
    <row r="1640" spans="2:8" x14ac:dyDescent="0.25">
      <c r="B1640" s="97">
        <v>1.264</v>
      </c>
      <c r="C1640" s="98">
        <v>145</v>
      </c>
      <c r="D1640" s="98">
        <v>166.5</v>
      </c>
      <c r="E1640" s="99">
        <v>0.47499999999999998</v>
      </c>
      <c r="F1640" s="99">
        <f t="shared" si="27"/>
        <v>2.1052631578947367</v>
      </c>
      <c r="G1640" s="97">
        <v>672.7</v>
      </c>
      <c r="H1640" s="97">
        <v>1.264</v>
      </c>
    </row>
    <row r="1641" spans="2:8" x14ac:dyDescent="0.25">
      <c r="B1641" s="97">
        <v>1.2689999999999999</v>
      </c>
      <c r="C1641" s="98">
        <v>150</v>
      </c>
      <c r="D1641" s="98">
        <v>166.5</v>
      </c>
      <c r="E1641" s="99">
        <v>0.46970000000000001</v>
      </c>
      <c r="F1641" s="99">
        <f t="shared" si="27"/>
        <v>2.1290185224611453</v>
      </c>
      <c r="G1641" s="97">
        <v>675.9</v>
      </c>
      <c r="H1641" s="97">
        <v>1.2689999999999999</v>
      </c>
    </row>
    <row r="1642" spans="2:8" x14ac:dyDescent="0.25">
      <c r="B1642" s="97">
        <v>1.274</v>
      </c>
      <c r="C1642" s="98">
        <v>155</v>
      </c>
      <c r="D1642" s="98">
        <v>166.5</v>
      </c>
      <c r="E1642" s="99">
        <v>0.46460000000000001</v>
      </c>
      <c r="F1642" s="99">
        <f t="shared" si="27"/>
        <v>2.152389151958674</v>
      </c>
      <c r="G1642" s="97">
        <v>679</v>
      </c>
      <c r="H1642" s="97">
        <v>1.274</v>
      </c>
    </row>
    <row r="1643" spans="2:8" x14ac:dyDescent="0.25">
      <c r="B1643" s="97">
        <v>1.2789999999999999</v>
      </c>
      <c r="C1643" s="98">
        <v>160</v>
      </c>
      <c r="D1643" s="98">
        <v>166.5</v>
      </c>
      <c r="E1643" s="99">
        <v>0.4597</v>
      </c>
      <c r="F1643" s="99">
        <f t="shared" si="27"/>
        <v>2.1753317380900588</v>
      </c>
      <c r="G1643" s="97">
        <v>682.2</v>
      </c>
      <c r="H1643" s="97">
        <v>1.2789999999999999</v>
      </c>
    </row>
    <row r="1644" spans="2:8" x14ac:dyDescent="0.25">
      <c r="B1644" s="97">
        <v>1.284</v>
      </c>
      <c r="C1644" s="98">
        <v>165</v>
      </c>
      <c r="D1644" s="98">
        <v>166.5</v>
      </c>
      <c r="E1644" s="99">
        <v>0.45479999999999998</v>
      </c>
      <c r="F1644" s="99">
        <f t="shared" si="27"/>
        <v>2.198768689533861</v>
      </c>
      <c r="G1644" s="97">
        <v>685.3</v>
      </c>
      <c r="H1644" s="97">
        <v>1.284</v>
      </c>
    </row>
    <row r="1645" spans="2:8" x14ac:dyDescent="0.25">
      <c r="B1645" s="97">
        <v>1.2889999999999999</v>
      </c>
      <c r="C1645" s="98">
        <v>170</v>
      </c>
      <c r="D1645" s="98">
        <v>166.5</v>
      </c>
      <c r="E1645" s="99">
        <v>0.45019999999999999</v>
      </c>
      <c r="F1645" s="99">
        <f t="shared" si="27"/>
        <v>2.2212350066637052</v>
      </c>
      <c r="G1645" s="97">
        <v>688.4</v>
      </c>
      <c r="H1645" s="97">
        <v>1.2889999999999999</v>
      </c>
    </row>
    <row r="1646" spans="2:8" x14ac:dyDescent="0.25">
      <c r="B1646" s="97">
        <v>1.294</v>
      </c>
      <c r="C1646" s="98">
        <v>175</v>
      </c>
      <c r="D1646" s="98">
        <v>166.5</v>
      </c>
      <c r="E1646" s="99">
        <v>0.4456</v>
      </c>
      <c r="F1646" s="99">
        <f t="shared" si="27"/>
        <v>2.2441651705565531</v>
      </c>
      <c r="G1646" s="97">
        <v>691.5</v>
      </c>
      <c r="H1646" s="97">
        <v>1.294</v>
      </c>
    </row>
    <row r="1647" spans="2:8" x14ac:dyDescent="0.25">
      <c r="B1647" s="97">
        <v>1.2989999999999999</v>
      </c>
      <c r="C1647" s="98">
        <v>180</v>
      </c>
      <c r="D1647" s="98">
        <v>166.5</v>
      </c>
      <c r="E1647" s="99">
        <v>0.44119999999999998</v>
      </c>
      <c r="F1647" s="99">
        <f t="shared" si="27"/>
        <v>2.2665457842248413</v>
      </c>
      <c r="G1647" s="97">
        <v>694.6</v>
      </c>
      <c r="H1647" s="97">
        <v>1.2989999999999999</v>
      </c>
    </row>
    <row r="1648" spans="2:8" x14ac:dyDescent="0.25">
      <c r="B1648" s="97">
        <v>1.304</v>
      </c>
      <c r="C1648" s="98">
        <v>185</v>
      </c>
      <c r="D1648" s="98">
        <v>166.5</v>
      </c>
      <c r="E1648" s="99">
        <v>0.43680000000000002</v>
      </c>
      <c r="F1648" s="99">
        <f t="shared" si="27"/>
        <v>2.2893772893772892</v>
      </c>
      <c r="G1648" s="97">
        <v>697.6</v>
      </c>
      <c r="H1648" s="97">
        <v>1.304</v>
      </c>
    </row>
    <row r="1649" spans="1:8" x14ac:dyDescent="0.25">
      <c r="B1649" s="97">
        <v>1.3080000000000001</v>
      </c>
      <c r="C1649" s="98">
        <v>190</v>
      </c>
      <c r="D1649" s="98">
        <v>166.5</v>
      </c>
      <c r="E1649" s="99">
        <v>0.43259999999999998</v>
      </c>
      <c r="F1649" s="99">
        <f t="shared" si="27"/>
        <v>2.3116042533518262</v>
      </c>
      <c r="G1649" s="97">
        <v>700.7</v>
      </c>
      <c r="H1649" s="97">
        <v>1.3080000000000001</v>
      </c>
    </row>
    <row r="1650" spans="1:8" x14ac:dyDescent="0.25">
      <c r="B1650" s="97">
        <v>1.3129999999999999</v>
      </c>
      <c r="C1650" s="98">
        <v>195</v>
      </c>
      <c r="D1650" s="98">
        <v>166.5</v>
      </c>
      <c r="E1650" s="99">
        <v>0.42849999999999999</v>
      </c>
      <c r="F1650" s="99">
        <f t="shared" si="27"/>
        <v>2.3337222870478413</v>
      </c>
      <c r="G1650" s="97">
        <v>703.7</v>
      </c>
      <c r="H1650" s="97">
        <v>1.3129999999999999</v>
      </c>
    </row>
    <row r="1651" spans="1:8" x14ac:dyDescent="0.25">
      <c r="B1651" s="97">
        <v>1.3169999999999999</v>
      </c>
      <c r="C1651" s="98">
        <v>200</v>
      </c>
      <c r="D1651" s="98">
        <v>166.5</v>
      </c>
      <c r="E1651" s="99">
        <v>0.42449999999999999</v>
      </c>
      <c r="F1651" s="99">
        <f t="shared" si="27"/>
        <v>2.3557126030624262</v>
      </c>
      <c r="G1651" s="97">
        <v>706.7</v>
      </c>
      <c r="H1651" s="97">
        <v>1.3169999999999999</v>
      </c>
    </row>
    <row r="1652" spans="1:8" x14ac:dyDescent="0.25">
      <c r="B1652" s="97">
        <v>1.321</v>
      </c>
      <c r="C1652" t="s">
        <v>374</v>
      </c>
      <c r="D1652" t="s">
        <v>374</v>
      </c>
      <c r="E1652" t="s">
        <v>374</v>
      </c>
      <c r="F1652" t="s">
        <v>374</v>
      </c>
      <c r="G1652" t="s">
        <v>374</v>
      </c>
      <c r="H1652" t="s">
        <v>374</v>
      </c>
    </row>
    <row r="1655" spans="1:8" ht="15.75" x14ac:dyDescent="0.25">
      <c r="A1655" s="92">
        <v>175</v>
      </c>
      <c r="C1655" s="109" t="s">
        <v>416</v>
      </c>
      <c r="D1655" s="101"/>
      <c r="E1655" s="110"/>
      <c r="F1655" s="110"/>
      <c r="G1655" s="111"/>
    </row>
    <row r="1656" spans="1:8" x14ac:dyDescent="0.25">
      <c r="B1656" s="96" t="s">
        <v>266</v>
      </c>
      <c r="C1656" s="96" t="s">
        <v>375</v>
      </c>
      <c r="D1656" s="96" t="s">
        <v>380</v>
      </c>
      <c r="E1656" s="96" t="s">
        <v>381</v>
      </c>
      <c r="F1656" s="96" t="s">
        <v>382</v>
      </c>
      <c r="G1656" s="96" t="s">
        <v>265</v>
      </c>
      <c r="H1656" s="96" t="s">
        <v>266</v>
      </c>
    </row>
    <row r="1657" spans="1:8" x14ac:dyDescent="0.25">
      <c r="B1657" s="96" t="s">
        <v>383</v>
      </c>
      <c r="C1657" s="96" t="s">
        <v>384</v>
      </c>
      <c r="D1657" s="96" t="s">
        <v>385</v>
      </c>
      <c r="E1657" s="96" t="s">
        <v>386</v>
      </c>
      <c r="F1657" s="96" t="s">
        <v>387</v>
      </c>
      <c r="G1657" s="96" t="s">
        <v>388</v>
      </c>
      <c r="H1657" s="96" t="s">
        <v>383</v>
      </c>
    </row>
    <row r="1658" spans="1:8" x14ac:dyDescent="0.25">
      <c r="B1658" s="97">
        <v>9.6443000000000001E-2</v>
      </c>
      <c r="C1658" s="98">
        <v>0</v>
      </c>
      <c r="D1658" s="98">
        <v>175</v>
      </c>
      <c r="E1658" s="99">
        <v>41.379860999999998</v>
      </c>
      <c r="F1658" s="99">
        <f t="shared" ref="F1658:F1698" si="28">1/E1658</f>
        <v>2.4166345073029609E-2</v>
      </c>
      <c r="G1658" s="97">
        <v>43.102564999999998</v>
      </c>
      <c r="H1658" s="97">
        <v>9.6443000000000001E-2</v>
      </c>
    </row>
    <row r="1659" spans="1:8" x14ac:dyDescent="0.25">
      <c r="B1659" s="97">
        <v>0.10814699999999999</v>
      </c>
      <c r="C1659" s="98">
        <v>5</v>
      </c>
      <c r="D1659" s="98">
        <v>175</v>
      </c>
      <c r="E1659" s="99">
        <v>41.154077999999998</v>
      </c>
      <c r="F1659" s="99">
        <f t="shared" si="28"/>
        <v>2.4298928529026941E-2</v>
      </c>
      <c r="G1659" s="97">
        <v>48.51153</v>
      </c>
      <c r="H1659" s="97">
        <v>0.10814699999999999</v>
      </c>
    </row>
    <row r="1660" spans="1:8" x14ac:dyDescent="0.25">
      <c r="B1660" s="97">
        <v>0.11976000000000001</v>
      </c>
      <c r="C1660" s="98">
        <v>10</v>
      </c>
      <c r="D1660" s="98">
        <v>175</v>
      </c>
      <c r="E1660" s="99">
        <v>40.926293000000001</v>
      </c>
      <c r="F1660" s="99">
        <f t="shared" si="28"/>
        <v>2.4434169984562246E-2</v>
      </c>
      <c r="G1660" s="97">
        <v>53.936886999999999</v>
      </c>
      <c r="H1660" s="97">
        <v>0.11976000000000001</v>
      </c>
    </row>
    <row r="1661" spans="1:8" x14ac:dyDescent="0.25">
      <c r="B1661" s="97">
        <v>0.13128500000000001</v>
      </c>
      <c r="C1661" s="98">
        <v>15</v>
      </c>
      <c r="D1661" s="98">
        <v>175</v>
      </c>
      <c r="E1661" s="99">
        <v>40.696455</v>
      </c>
      <c r="F1661" s="99">
        <f t="shared" si="28"/>
        <v>2.4572164823692875E-2</v>
      </c>
      <c r="G1661" s="97">
        <v>59.378844000000001</v>
      </c>
      <c r="H1661" s="97">
        <v>0.13128500000000001</v>
      </c>
    </row>
    <row r="1662" spans="1:8" x14ac:dyDescent="0.25">
      <c r="B1662" s="97">
        <v>0.14272499999999999</v>
      </c>
      <c r="C1662" s="98">
        <v>20</v>
      </c>
      <c r="D1662" s="98">
        <v>175</v>
      </c>
      <c r="E1662" s="99">
        <v>40.464505000000003</v>
      </c>
      <c r="F1662" s="99">
        <f t="shared" si="28"/>
        <v>2.4713017000949349E-2</v>
      </c>
      <c r="G1662" s="97">
        <v>64.837682999999998</v>
      </c>
      <c r="H1662" s="97">
        <v>0.14272499999999999</v>
      </c>
    </row>
    <row r="1663" spans="1:8" x14ac:dyDescent="0.25">
      <c r="B1663" s="97">
        <v>0.154083</v>
      </c>
      <c r="C1663" s="98">
        <v>25</v>
      </c>
      <c r="D1663" s="98">
        <v>175</v>
      </c>
      <c r="E1663" s="99">
        <v>40.230375000000002</v>
      </c>
      <c r="F1663" s="99">
        <f t="shared" si="28"/>
        <v>2.4856840136339767E-2</v>
      </c>
      <c r="G1663" s="97">
        <v>70.313766000000001</v>
      </c>
      <c r="H1663" s="97">
        <v>0.154083</v>
      </c>
    </row>
    <row r="1664" spans="1:8" x14ac:dyDescent="0.25">
      <c r="B1664" s="97">
        <v>0.16536000000000001</v>
      </c>
      <c r="C1664" s="98">
        <v>30</v>
      </c>
      <c r="D1664" s="98">
        <v>175</v>
      </c>
      <c r="E1664" s="99">
        <v>39.993988999999999</v>
      </c>
      <c r="F1664" s="99">
        <f t="shared" si="28"/>
        <v>2.5003757439649246E-2</v>
      </c>
      <c r="G1664" s="97">
        <v>75.807536999999996</v>
      </c>
      <c r="H1664" s="97">
        <v>0.16536000000000001</v>
      </c>
    </row>
    <row r="1665" spans="2:8" x14ac:dyDescent="0.25">
      <c r="B1665" s="97">
        <v>0.17655899999999999</v>
      </c>
      <c r="C1665" s="98">
        <v>35</v>
      </c>
      <c r="D1665" s="98">
        <v>175</v>
      </c>
      <c r="E1665" s="99">
        <v>39.755262000000002</v>
      </c>
      <c r="F1665" s="99">
        <f t="shared" si="28"/>
        <v>2.5153902897181259E-2</v>
      </c>
      <c r="G1665" s="97">
        <v>81.319526999999994</v>
      </c>
      <c r="H1665" s="97">
        <v>0.17655899999999999</v>
      </c>
    </row>
    <row r="1666" spans="2:8" x14ac:dyDescent="0.25">
      <c r="B1666" s="97">
        <v>0.18768399999999999</v>
      </c>
      <c r="C1666" s="98">
        <v>40</v>
      </c>
      <c r="D1666" s="98">
        <v>175</v>
      </c>
      <c r="E1666" s="99">
        <v>39.514097</v>
      </c>
      <c r="F1666" s="99">
        <f t="shared" si="28"/>
        <v>2.5307423829019807E-2</v>
      </c>
      <c r="G1666" s="97">
        <v>86.850359999999995</v>
      </c>
      <c r="H1666" s="97">
        <v>0.18768399999999999</v>
      </c>
    </row>
    <row r="1667" spans="2:8" x14ac:dyDescent="0.25">
      <c r="B1667" s="97">
        <v>0.198737</v>
      </c>
      <c r="C1667" s="98">
        <v>45</v>
      </c>
      <c r="D1667" s="98">
        <v>175</v>
      </c>
      <c r="E1667" s="99">
        <v>39.270387999999997</v>
      </c>
      <c r="F1667" s="99">
        <f t="shared" si="28"/>
        <v>2.5464479749983629E-2</v>
      </c>
      <c r="G1667" s="97">
        <v>92.400758999999994</v>
      </c>
      <c r="H1667" s="97">
        <v>0.198737</v>
      </c>
    </row>
    <row r="1668" spans="2:8" x14ac:dyDescent="0.25">
      <c r="B1668" s="97">
        <v>0.20972099999999999</v>
      </c>
      <c r="C1668" s="98">
        <v>50</v>
      </c>
      <c r="D1668" s="98">
        <v>175</v>
      </c>
      <c r="E1668" s="99">
        <v>39.024016000000003</v>
      </c>
      <c r="F1668" s="99">
        <f t="shared" si="28"/>
        <v>2.5625245746106702E-2</v>
      </c>
      <c r="G1668" s="97">
        <v>97.971547999999999</v>
      </c>
      <c r="H1668" s="97">
        <v>0.20972099999999999</v>
      </c>
    </row>
    <row r="1669" spans="2:8" x14ac:dyDescent="0.25">
      <c r="B1669" s="97">
        <v>0.220639</v>
      </c>
      <c r="C1669" s="98">
        <v>55</v>
      </c>
      <c r="D1669" s="98">
        <v>175</v>
      </c>
      <c r="E1669" s="99">
        <v>38.774852000000003</v>
      </c>
      <c r="F1669" s="99">
        <f t="shared" si="28"/>
        <v>2.578991146117076E-2</v>
      </c>
      <c r="G1669" s="97">
        <v>103.563665</v>
      </c>
      <c r="H1669" s="97">
        <v>0.220639</v>
      </c>
    </row>
    <row r="1670" spans="2:8" x14ac:dyDescent="0.25">
      <c r="B1670" s="97">
        <v>0.23149600000000001</v>
      </c>
      <c r="C1670" s="98">
        <v>60</v>
      </c>
      <c r="D1670" s="98">
        <v>175</v>
      </c>
      <c r="E1670" s="99">
        <v>38.522751999999997</v>
      </c>
      <c r="F1670" s="99">
        <f t="shared" si="28"/>
        <v>2.5958685402330553E-2</v>
      </c>
      <c r="G1670" s="97">
        <v>109.178167</v>
      </c>
      <c r="H1670" s="97">
        <v>0.23149600000000001</v>
      </c>
    </row>
    <row r="1671" spans="2:8" x14ac:dyDescent="0.25">
      <c r="B1671" s="97">
        <v>0.24229300000000001</v>
      </c>
      <c r="C1671" s="98">
        <v>65</v>
      </c>
      <c r="D1671" s="98">
        <v>175</v>
      </c>
      <c r="E1671" s="99">
        <v>38.267556999999996</v>
      </c>
      <c r="F1671" s="99">
        <f t="shared" si="28"/>
        <v>2.6131796184428499E-2</v>
      </c>
      <c r="G1671" s="97">
        <v>114.816238</v>
      </c>
      <c r="H1671" s="97">
        <v>0.24229300000000001</v>
      </c>
    </row>
    <row r="1672" spans="2:8" x14ac:dyDescent="0.25">
      <c r="B1672" s="97">
        <v>0.25303500000000001</v>
      </c>
      <c r="C1672" s="98">
        <v>70</v>
      </c>
      <c r="D1672" s="98">
        <v>175</v>
      </c>
      <c r="E1672" s="99">
        <v>38.009093999999997</v>
      </c>
      <c r="F1672" s="99">
        <f t="shared" si="28"/>
        <v>2.6309493196549228E-2</v>
      </c>
      <c r="G1672" s="97">
        <v>120.479203</v>
      </c>
      <c r="H1672" s="97">
        <v>0.25303500000000001</v>
      </c>
    </row>
    <row r="1673" spans="2:8" x14ac:dyDescent="0.25">
      <c r="B1673" s="97">
        <v>0.26372600000000002</v>
      </c>
      <c r="C1673" s="98">
        <v>75</v>
      </c>
      <c r="D1673" s="98">
        <v>175</v>
      </c>
      <c r="E1673" s="99">
        <v>37.747168000000002</v>
      </c>
      <c r="F1673" s="99">
        <f t="shared" si="28"/>
        <v>2.6492053655521916E-2</v>
      </c>
      <c r="G1673" s="97">
        <v>126.168541</v>
      </c>
      <c r="H1673" s="97">
        <v>0.26372600000000002</v>
      </c>
    </row>
    <row r="1674" spans="2:8" x14ac:dyDescent="0.25">
      <c r="B1674" s="97">
        <v>0.27437</v>
      </c>
      <c r="C1674" s="98">
        <v>80</v>
      </c>
      <c r="D1674" s="98">
        <v>175</v>
      </c>
      <c r="E1674" s="99">
        <v>37.481569999999998</v>
      </c>
      <c r="F1674" s="99">
        <f t="shared" si="28"/>
        <v>2.6679778888664483E-2</v>
      </c>
      <c r="G1674" s="97">
        <v>131.885896</v>
      </c>
      <c r="H1674" s="97">
        <v>0.27437</v>
      </c>
    </row>
    <row r="1675" spans="2:8" x14ac:dyDescent="0.25">
      <c r="B1675" s="97">
        <v>0.28497</v>
      </c>
      <c r="C1675" s="98">
        <v>85</v>
      </c>
      <c r="D1675" s="98">
        <v>175</v>
      </c>
      <c r="E1675" s="99">
        <v>37.212063999999998</v>
      </c>
      <c r="F1675" s="99">
        <f t="shared" si="28"/>
        <v>2.6873005485532866E-2</v>
      </c>
      <c r="G1675" s="97">
        <v>137.63309899999999</v>
      </c>
      <c r="H1675" s="97">
        <v>0.28497</v>
      </c>
    </row>
    <row r="1676" spans="2:8" x14ac:dyDescent="0.25">
      <c r="B1676" s="97">
        <v>1.1892659999999999</v>
      </c>
      <c r="C1676" s="98">
        <v>90</v>
      </c>
      <c r="D1676" s="98">
        <v>175</v>
      </c>
      <c r="E1676" s="99">
        <v>0.58028900000000005</v>
      </c>
      <c r="F1676" s="99">
        <f t="shared" si="28"/>
        <v>1.7232792625743378</v>
      </c>
      <c r="G1676" s="97">
        <v>632.89712799999995</v>
      </c>
      <c r="H1676" s="97">
        <v>1.1892659999999999</v>
      </c>
    </row>
    <row r="1677" spans="2:8" x14ac:dyDescent="0.25">
      <c r="B1677" s="97">
        <v>1.1961999999999999</v>
      </c>
      <c r="C1677" s="98">
        <v>95</v>
      </c>
      <c r="D1677" s="98">
        <v>175</v>
      </c>
      <c r="E1677" s="99">
        <v>0.57145400000000002</v>
      </c>
      <c r="F1677" s="99">
        <f t="shared" si="28"/>
        <v>1.7499221284652833</v>
      </c>
      <c r="G1677" s="97">
        <v>636.72573899999998</v>
      </c>
      <c r="H1677" s="97">
        <v>1.1961999999999999</v>
      </c>
    </row>
    <row r="1678" spans="2:8" x14ac:dyDescent="0.25">
      <c r="B1678" s="97">
        <v>1.202914</v>
      </c>
      <c r="C1678" s="98">
        <v>100</v>
      </c>
      <c r="D1678" s="98">
        <v>175</v>
      </c>
      <c r="E1678" s="99">
        <v>0.56305499999999997</v>
      </c>
      <c r="F1678" s="99">
        <f t="shared" si="28"/>
        <v>1.7760254326841962</v>
      </c>
      <c r="G1678" s="97">
        <v>640.46692099999996</v>
      </c>
      <c r="H1678" s="97">
        <v>1.202914</v>
      </c>
    </row>
    <row r="1679" spans="2:8" x14ac:dyDescent="0.25">
      <c r="B1679" s="97">
        <v>1.2094309999999999</v>
      </c>
      <c r="C1679" s="98">
        <v>105</v>
      </c>
      <c r="D1679" s="98">
        <v>175</v>
      </c>
      <c r="E1679" s="99">
        <v>0.55505000000000004</v>
      </c>
      <c r="F1679" s="99">
        <f t="shared" si="28"/>
        <v>1.801639491937663</v>
      </c>
      <c r="G1679" s="97">
        <v>644.13037799999995</v>
      </c>
      <c r="H1679" s="97">
        <v>1.2094309999999999</v>
      </c>
    </row>
    <row r="1680" spans="2:8" x14ac:dyDescent="0.25">
      <c r="B1680" s="97">
        <v>1.215768</v>
      </c>
      <c r="C1680" s="98">
        <v>110</v>
      </c>
      <c r="D1680" s="98">
        <v>175</v>
      </c>
      <c r="E1680" s="99">
        <v>0.54740200000000006</v>
      </c>
      <c r="F1680" s="99">
        <f t="shared" si="28"/>
        <v>1.826811009093865</v>
      </c>
      <c r="G1680" s="97">
        <v>647.72445000000005</v>
      </c>
      <c r="H1680" s="97">
        <v>1.215768</v>
      </c>
    </row>
    <row r="1681" spans="2:8" x14ac:dyDescent="0.25">
      <c r="B1681" s="97">
        <v>1.2219409999999999</v>
      </c>
      <c r="C1681" s="98">
        <v>115</v>
      </c>
      <c r="D1681" s="98">
        <v>175</v>
      </c>
      <c r="E1681" s="99">
        <v>0.54007799999999995</v>
      </c>
      <c r="F1681" s="99">
        <f t="shared" si="28"/>
        <v>1.8515844007717406</v>
      </c>
      <c r="G1681" s="97">
        <v>651.25635899999997</v>
      </c>
      <c r="H1681" s="97">
        <v>1.2219409999999999</v>
      </c>
    </row>
    <row r="1682" spans="2:8" x14ac:dyDescent="0.25">
      <c r="B1682" s="97">
        <v>1.2279640000000001</v>
      </c>
      <c r="C1682" s="98">
        <v>120</v>
      </c>
      <c r="D1682" s="98">
        <v>175</v>
      </c>
      <c r="E1682" s="99">
        <v>0.53305199999999997</v>
      </c>
      <c r="F1682" s="99">
        <f t="shared" si="28"/>
        <v>1.875989584505827</v>
      </c>
      <c r="G1682" s="97">
        <v>654.73240299999998</v>
      </c>
      <c r="H1682" s="97">
        <v>1.2279640000000001</v>
      </c>
    </row>
    <row r="1683" spans="2:8" x14ac:dyDescent="0.25">
      <c r="B1683" s="97">
        <v>1.2338480000000001</v>
      </c>
      <c r="C1683" s="98">
        <v>125</v>
      </c>
      <c r="D1683" s="98">
        <v>175</v>
      </c>
      <c r="E1683" s="99">
        <v>0.52629800000000004</v>
      </c>
      <c r="F1683" s="99">
        <f t="shared" si="28"/>
        <v>1.9000642221707091</v>
      </c>
      <c r="G1683" s="97">
        <v>658.15810999999997</v>
      </c>
      <c r="H1683" s="97">
        <v>1.2338480000000001</v>
      </c>
    </row>
    <row r="1684" spans="2:8" x14ac:dyDescent="0.25">
      <c r="B1684" s="97">
        <v>1.2396050000000001</v>
      </c>
      <c r="C1684" s="98">
        <v>130</v>
      </c>
      <c r="D1684" s="98">
        <v>175</v>
      </c>
      <c r="E1684" s="99">
        <v>0.51979699999999995</v>
      </c>
      <c r="F1684" s="99">
        <f t="shared" si="28"/>
        <v>1.9238279559135587</v>
      </c>
      <c r="G1684" s="97">
        <v>661.53835400000003</v>
      </c>
      <c r="H1684" s="97">
        <v>1.2396050000000001</v>
      </c>
    </row>
    <row r="1685" spans="2:8" x14ac:dyDescent="0.25">
      <c r="B1685" s="97">
        <v>1.245244</v>
      </c>
      <c r="C1685" s="98">
        <v>135</v>
      </c>
      <c r="D1685" s="98">
        <v>175</v>
      </c>
      <c r="E1685" s="99">
        <v>0.51352799999999998</v>
      </c>
      <c r="F1685" s="99">
        <f t="shared" si="28"/>
        <v>1.9473134863142809</v>
      </c>
      <c r="G1685" s="97">
        <v>664.87745500000005</v>
      </c>
      <c r="H1685" s="97">
        <v>1.245244</v>
      </c>
    </row>
    <row r="1686" spans="2:8" x14ac:dyDescent="0.25">
      <c r="B1686" s="97">
        <v>1.2507729999999999</v>
      </c>
      <c r="C1686" s="98">
        <v>140</v>
      </c>
      <c r="D1686" s="98">
        <v>175</v>
      </c>
      <c r="E1686" s="99">
        <v>0.50747600000000004</v>
      </c>
      <c r="F1686" s="99">
        <f t="shared" si="28"/>
        <v>1.9705365376884816</v>
      </c>
      <c r="G1686" s="97">
        <v>668.17926199999999</v>
      </c>
      <c r="H1686" s="97">
        <v>1.2507729999999999</v>
      </c>
    </row>
    <row r="1687" spans="2:8" x14ac:dyDescent="0.25">
      <c r="B1687" s="97">
        <v>1.2562</v>
      </c>
      <c r="C1687" s="98">
        <v>145</v>
      </c>
      <c r="D1687" s="98">
        <v>175</v>
      </c>
      <c r="E1687" s="99">
        <v>0.50162499999999999</v>
      </c>
      <c r="F1687" s="99">
        <f t="shared" si="28"/>
        <v>1.9935210565661601</v>
      </c>
      <c r="G1687" s="97">
        <v>671.44721500000003</v>
      </c>
      <c r="H1687" s="97">
        <v>1.2562</v>
      </c>
    </row>
    <row r="1688" spans="2:8" x14ac:dyDescent="0.25">
      <c r="B1688" s="97">
        <v>1.2615320000000001</v>
      </c>
      <c r="C1688" s="98">
        <v>150</v>
      </c>
      <c r="D1688" s="98">
        <v>175</v>
      </c>
      <c r="E1688" s="99">
        <v>0.49596299999999999</v>
      </c>
      <c r="F1688" s="99">
        <f t="shared" si="28"/>
        <v>2.0162794402001762</v>
      </c>
      <c r="G1688" s="97">
        <v>674.68439899999998</v>
      </c>
      <c r="H1688" s="97">
        <v>1.2615320000000001</v>
      </c>
    </row>
    <row r="1689" spans="2:8" x14ac:dyDescent="0.25">
      <c r="B1689" s="97">
        <v>1.2667740000000001</v>
      </c>
      <c r="C1689" s="98">
        <v>155</v>
      </c>
      <c r="D1689" s="98">
        <v>175</v>
      </c>
      <c r="E1689" s="99">
        <v>0.49047800000000003</v>
      </c>
      <c r="F1689" s="99">
        <f t="shared" si="28"/>
        <v>2.0388274295687063</v>
      </c>
      <c r="G1689" s="97">
        <v>677.89359300000001</v>
      </c>
      <c r="H1689" s="97">
        <v>1.2667740000000001</v>
      </c>
    </row>
    <row r="1690" spans="2:8" x14ac:dyDescent="0.25">
      <c r="B1690" s="97">
        <v>1.271933</v>
      </c>
      <c r="C1690" s="98">
        <v>160</v>
      </c>
      <c r="D1690" s="98">
        <v>175</v>
      </c>
      <c r="E1690" s="99">
        <v>0.485157</v>
      </c>
      <c r="F1690" s="99">
        <f t="shared" si="28"/>
        <v>2.0611884400307527</v>
      </c>
      <c r="G1690" s="97">
        <v>681.07730500000002</v>
      </c>
      <c r="H1690" s="97">
        <v>1.271933</v>
      </c>
    </row>
    <row r="1691" spans="2:8" x14ac:dyDescent="0.25">
      <c r="B1691" s="97">
        <v>1.277013</v>
      </c>
      <c r="C1691" s="98">
        <v>165</v>
      </c>
      <c r="D1691" s="98">
        <v>175</v>
      </c>
      <c r="E1691" s="99">
        <v>0.479993</v>
      </c>
      <c r="F1691" s="99">
        <f t="shared" si="28"/>
        <v>2.0833637157208544</v>
      </c>
      <c r="G1691" s="97">
        <v>684.23780699999998</v>
      </c>
      <c r="H1691" s="97">
        <v>1.277013</v>
      </c>
    </row>
    <row r="1692" spans="2:8" x14ac:dyDescent="0.25">
      <c r="B1692" s="97">
        <v>1.2820180000000001</v>
      </c>
      <c r="C1692" s="98">
        <v>170</v>
      </c>
      <c r="D1692" s="98">
        <v>175</v>
      </c>
      <c r="E1692" s="99">
        <v>0.47497600000000001</v>
      </c>
      <c r="F1692" s="99">
        <f t="shared" si="28"/>
        <v>2.1053695344606886</v>
      </c>
      <c r="G1692" s="97">
        <v>687.37716499999999</v>
      </c>
      <c r="H1692" s="97">
        <v>1.2820180000000001</v>
      </c>
    </row>
    <row r="1693" spans="2:8" x14ac:dyDescent="0.25">
      <c r="B1693" s="97">
        <v>1.2869539999999999</v>
      </c>
      <c r="C1693" s="98">
        <v>175</v>
      </c>
      <c r="D1693" s="98">
        <v>175</v>
      </c>
      <c r="E1693" s="99">
        <v>0.47009800000000002</v>
      </c>
      <c r="F1693" s="99">
        <f t="shared" si="28"/>
        <v>2.127216027296436</v>
      </c>
      <c r="G1693" s="97">
        <v>690.497255</v>
      </c>
      <c r="H1693" s="97">
        <v>1.2869539999999999</v>
      </c>
    </row>
    <row r="1694" spans="2:8" x14ac:dyDescent="0.25">
      <c r="B1694" s="97">
        <v>1.2918229999999999</v>
      </c>
      <c r="C1694" s="98">
        <v>180</v>
      </c>
      <c r="D1694" s="98">
        <v>175</v>
      </c>
      <c r="E1694" s="99">
        <v>0.46535100000000001</v>
      </c>
      <c r="F1694" s="99">
        <f t="shared" si="28"/>
        <v>2.1489155497678096</v>
      </c>
      <c r="G1694" s="97">
        <v>693.59979399999997</v>
      </c>
      <c r="H1694" s="97">
        <v>1.2918229999999999</v>
      </c>
    </row>
    <row r="1695" spans="2:8" x14ac:dyDescent="0.25">
      <c r="B1695" s="97">
        <v>1.2966299999999999</v>
      </c>
      <c r="C1695" s="98">
        <v>185</v>
      </c>
      <c r="D1695" s="98">
        <v>175</v>
      </c>
      <c r="E1695" s="99">
        <v>0.460729</v>
      </c>
      <c r="F1695" s="99">
        <f t="shared" si="28"/>
        <v>2.1704733151158275</v>
      </c>
      <c r="G1695" s="97">
        <v>696.68634999999995</v>
      </c>
      <c r="H1695" s="97">
        <v>1.2966299999999999</v>
      </c>
    </row>
    <row r="1696" spans="2:8" x14ac:dyDescent="0.25">
      <c r="B1696" s="97">
        <v>1.301377</v>
      </c>
      <c r="C1696" s="98">
        <v>190</v>
      </c>
      <c r="D1696" s="98">
        <v>175</v>
      </c>
      <c r="E1696" s="99">
        <v>0.45622499999999999</v>
      </c>
      <c r="F1696" s="99">
        <f t="shared" si="28"/>
        <v>2.1919009260781412</v>
      </c>
      <c r="G1696" s="97">
        <v>699.75836100000004</v>
      </c>
      <c r="H1696" s="97">
        <v>1.301377</v>
      </c>
    </row>
    <row r="1697" spans="1:8" x14ac:dyDescent="0.25">
      <c r="B1697" s="97">
        <v>1.3060670000000001</v>
      </c>
      <c r="C1697" s="98">
        <v>195</v>
      </c>
      <c r="D1697" s="98">
        <v>175</v>
      </c>
      <c r="E1697" s="99">
        <v>0.45183299999999998</v>
      </c>
      <c r="F1697" s="99">
        <f t="shared" si="28"/>
        <v>2.2132070920008058</v>
      </c>
      <c r="G1697" s="97">
        <v>702.81714899999997</v>
      </c>
      <c r="H1697" s="97">
        <v>1.3060670000000001</v>
      </c>
    </row>
    <row r="1698" spans="1:8" x14ac:dyDescent="0.25">
      <c r="B1698" s="97">
        <v>1.310703</v>
      </c>
      <c r="C1698" s="98">
        <v>200</v>
      </c>
      <c r="D1698" s="98">
        <v>175</v>
      </c>
      <c r="E1698" s="99">
        <v>0.44754899999999997</v>
      </c>
      <c r="F1698" s="99">
        <f t="shared" si="28"/>
        <v>2.2343922118025068</v>
      </c>
      <c r="G1698" s="97">
        <v>705.86392999999998</v>
      </c>
      <c r="H1698" s="97">
        <v>1.310703</v>
      </c>
    </row>
    <row r="1699" spans="1:8" x14ac:dyDescent="0.25">
      <c r="B1699" s="106">
        <v>1.3134999999999999</v>
      </c>
      <c r="C1699" s="106">
        <v>200</v>
      </c>
      <c r="D1699" s="113"/>
      <c r="E1699" s="106">
        <v>634.70000000000005</v>
      </c>
      <c r="F1699" s="106">
        <v>2.2347999999999999</v>
      </c>
      <c r="G1699" s="106">
        <v>707.07</v>
      </c>
      <c r="H1699" s="106">
        <v>1.3134999999999999</v>
      </c>
    </row>
    <row r="1700" spans="1:8" x14ac:dyDescent="0.25">
      <c r="B1700" s="106">
        <v>1.3360000000000001</v>
      </c>
      <c r="C1700" s="106">
        <v>225</v>
      </c>
      <c r="D1700" s="113"/>
      <c r="E1700" s="106">
        <v>646.38</v>
      </c>
      <c r="F1700" s="106">
        <v>2.3391999999999999</v>
      </c>
      <c r="G1700" s="106">
        <v>722.13</v>
      </c>
      <c r="H1700" s="106">
        <v>1.3360000000000001</v>
      </c>
    </row>
    <row r="1701" spans="1:8" x14ac:dyDescent="0.25">
      <c r="B1701" s="106">
        <v>1.3573</v>
      </c>
      <c r="C1701" s="106">
        <v>250</v>
      </c>
      <c r="D1701" s="113"/>
      <c r="E1701" s="106">
        <v>657.94</v>
      </c>
      <c r="F1701" s="106">
        <v>2.4413</v>
      </c>
      <c r="G1701" s="106">
        <v>737</v>
      </c>
      <c r="H1701" s="106">
        <v>1.3573</v>
      </c>
    </row>
    <row r="1702" spans="1:8" x14ac:dyDescent="0.25">
      <c r="B1702" s="106">
        <v>1.3777999999999999</v>
      </c>
      <c r="C1702" s="106">
        <v>275</v>
      </c>
      <c r="D1702" s="113"/>
      <c r="E1702" s="106">
        <v>669.48</v>
      </c>
      <c r="F1702" s="106">
        <v>2.5417999999999998</v>
      </c>
      <c r="G1702" s="106">
        <v>751.79</v>
      </c>
      <c r="H1702" s="106">
        <v>1.3777999999999999</v>
      </c>
    </row>
    <row r="1703" spans="1:8" x14ac:dyDescent="0.25">
      <c r="B1703" s="106">
        <v>1.3975</v>
      </c>
      <c r="C1703" s="106">
        <v>300</v>
      </c>
      <c r="D1703" s="113"/>
      <c r="E1703" s="106">
        <v>681.04</v>
      </c>
      <c r="F1703" s="106">
        <v>2.6410999999999998</v>
      </c>
      <c r="G1703" s="106">
        <v>766.57</v>
      </c>
      <c r="H1703" s="106">
        <v>1.3975</v>
      </c>
    </row>
    <row r="1704" spans="1:8" x14ac:dyDescent="0.25">
      <c r="B1704" s="106">
        <v>1.41</v>
      </c>
      <c r="C1704" t="s">
        <v>374</v>
      </c>
      <c r="D1704" t="s">
        <v>374</v>
      </c>
      <c r="E1704" t="s">
        <v>374</v>
      </c>
      <c r="F1704" t="s">
        <v>374</v>
      </c>
      <c r="G1704" t="s">
        <v>374</v>
      </c>
      <c r="H1704" t="s">
        <v>374</v>
      </c>
    </row>
    <row r="1707" spans="1:8" ht="15.75" x14ac:dyDescent="0.25">
      <c r="A1707" s="92">
        <v>195</v>
      </c>
      <c r="C1707" s="109" t="s">
        <v>417</v>
      </c>
      <c r="D1707" s="101"/>
      <c r="E1707" s="110"/>
      <c r="F1707" s="110"/>
      <c r="G1707" s="111"/>
    </row>
    <row r="1708" spans="1:8" x14ac:dyDescent="0.25">
      <c r="B1708" s="96" t="s">
        <v>418</v>
      </c>
      <c r="C1708" s="96" t="s">
        <v>419</v>
      </c>
      <c r="D1708" s="96" t="s">
        <v>420</v>
      </c>
      <c r="E1708" s="114" t="s">
        <v>421</v>
      </c>
      <c r="F1708" s="96" t="s">
        <v>422</v>
      </c>
      <c r="G1708" s="96" t="s">
        <v>423</v>
      </c>
      <c r="H1708" s="96" t="s">
        <v>418</v>
      </c>
    </row>
    <row r="1709" spans="1:8" x14ac:dyDescent="0.25">
      <c r="B1709" s="115" t="s">
        <v>383</v>
      </c>
      <c r="C1709" s="96" t="s">
        <v>384</v>
      </c>
      <c r="D1709" s="96" t="s">
        <v>385</v>
      </c>
      <c r="E1709" s="116" t="s">
        <v>386</v>
      </c>
      <c r="F1709" s="96" t="s">
        <v>387</v>
      </c>
      <c r="G1709" s="115" t="s">
        <v>388</v>
      </c>
      <c r="H1709" s="115" t="s">
        <v>383</v>
      </c>
    </row>
    <row r="1710" spans="1:8" x14ac:dyDescent="0.25">
      <c r="B1710" s="97">
        <v>0.20960000000000001</v>
      </c>
      <c r="C1710" s="98">
        <v>50</v>
      </c>
      <c r="D1710" s="98">
        <v>195.9</v>
      </c>
      <c r="E1710" s="99">
        <v>39.03</v>
      </c>
      <c r="F1710" s="99">
        <v>2.5621316935690495E-2</v>
      </c>
      <c r="G1710" s="97">
        <v>98.01</v>
      </c>
      <c r="H1710" s="97">
        <v>0.20960000000000001</v>
      </c>
    </row>
    <row r="1711" spans="1:8" x14ac:dyDescent="0.25">
      <c r="B1711" s="97">
        <v>0.2205</v>
      </c>
      <c r="C1711" s="98">
        <v>55</v>
      </c>
      <c r="D1711" s="98">
        <f>+D1710</f>
        <v>195.9</v>
      </c>
      <c r="E1711" s="99">
        <v>38.78</v>
      </c>
      <c r="F1711" s="99">
        <v>2.5786487880350695E-2</v>
      </c>
      <c r="G1711" s="97">
        <v>103.6</v>
      </c>
      <c r="H1711" s="97">
        <v>0.2205</v>
      </c>
    </row>
    <row r="1712" spans="1:8" x14ac:dyDescent="0.25">
      <c r="B1712" s="97">
        <v>0.23139999999999999</v>
      </c>
      <c r="C1712" s="98">
        <v>60</v>
      </c>
      <c r="D1712" s="98">
        <f t="shared" ref="D1712:D1740" si="29">+D1711</f>
        <v>195.9</v>
      </c>
      <c r="E1712" s="99">
        <v>38.53</v>
      </c>
      <c r="F1712" s="99">
        <v>2.5953802232026993E-2</v>
      </c>
      <c r="G1712" s="97">
        <v>109.2</v>
      </c>
      <c r="H1712" s="97">
        <v>0.23139999999999999</v>
      </c>
    </row>
    <row r="1713" spans="2:8" x14ac:dyDescent="0.25">
      <c r="B1713" s="97">
        <v>0.2422</v>
      </c>
      <c r="C1713" s="98">
        <v>65</v>
      </c>
      <c r="D1713" s="98">
        <f t="shared" si="29"/>
        <v>195.9</v>
      </c>
      <c r="E1713" s="99">
        <v>38.28</v>
      </c>
      <c r="F1713" s="99">
        <v>2.612330198537095E-2</v>
      </c>
      <c r="G1713" s="97">
        <v>114.8</v>
      </c>
      <c r="H1713" s="97">
        <v>0.2422</v>
      </c>
    </row>
    <row r="1714" spans="2:8" x14ac:dyDescent="0.25">
      <c r="B1714" s="97">
        <v>0.25290000000000001</v>
      </c>
      <c r="C1714" s="98">
        <v>70</v>
      </c>
      <c r="D1714" s="98">
        <f t="shared" si="29"/>
        <v>195.9</v>
      </c>
      <c r="E1714" s="99">
        <v>38.020000000000003</v>
      </c>
      <c r="F1714" s="99">
        <v>2.6301946344029457E-2</v>
      </c>
      <c r="G1714" s="97">
        <v>120.5</v>
      </c>
      <c r="H1714" s="97">
        <v>0.25290000000000001</v>
      </c>
    </row>
    <row r="1715" spans="2:8" x14ac:dyDescent="0.25">
      <c r="B1715" s="97">
        <v>0.2636</v>
      </c>
      <c r="C1715" s="98">
        <v>75</v>
      </c>
      <c r="D1715" s="98">
        <f t="shared" si="29"/>
        <v>195.9</v>
      </c>
      <c r="E1715" s="99">
        <v>37.76</v>
      </c>
      <c r="F1715" s="99">
        <v>2.6483050847457629E-2</v>
      </c>
      <c r="G1715" s="97">
        <v>126.2</v>
      </c>
      <c r="H1715" s="97">
        <v>0.2636</v>
      </c>
    </row>
    <row r="1716" spans="2:8" x14ac:dyDescent="0.25">
      <c r="B1716" s="97">
        <v>0.2742</v>
      </c>
      <c r="C1716" s="98">
        <v>80</v>
      </c>
      <c r="D1716" s="98">
        <f t="shared" si="29"/>
        <v>195.9</v>
      </c>
      <c r="E1716" s="99">
        <v>37.49</v>
      </c>
      <c r="F1716" s="99">
        <v>2.6673779674579887E-2</v>
      </c>
      <c r="G1716" s="97">
        <v>131.9</v>
      </c>
      <c r="H1716" s="97">
        <v>0.2742</v>
      </c>
    </row>
    <row r="1717" spans="2:8" x14ac:dyDescent="0.25">
      <c r="B1717" s="97">
        <v>0.2848</v>
      </c>
      <c r="C1717" s="98">
        <v>85</v>
      </c>
      <c r="D1717" s="98">
        <f t="shared" si="29"/>
        <v>195.9</v>
      </c>
      <c r="E1717" s="99">
        <v>37.22</v>
      </c>
      <c r="F1717" s="99">
        <v>2.6867275658248254E-2</v>
      </c>
      <c r="G1717" s="97">
        <v>137.69999999999999</v>
      </c>
      <c r="H1717" s="97">
        <v>0.2848</v>
      </c>
    </row>
    <row r="1718" spans="2:8" x14ac:dyDescent="0.25">
      <c r="B1718" s="97">
        <v>0.2954</v>
      </c>
      <c r="C1718" s="98">
        <v>90</v>
      </c>
      <c r="D1718" s="98">
        <f t="shared" si="29"/>
        <v>195.9</v>
      </c>
      <c r="E1718" s="99">
        <v>36.950000000000003</v>
      </c>
      <c r="F1718" s="99">
        <v>2.7063599458728008E-2</v>
      </c>
      <c r="G1718" s="97">
        <v>143.4</v>
      </c>
      <c r="H1718" s="97">
        <v>0.2954</v>
      </c>
    </row>
    <row r="1719" spans="2:8" x14ac:dyDescent="0.25">
      <c r="B1719" s="97">
        <v>1.1759999999999999</v>
      </c>
      <c r="C1719" s="98">
        <v>95</v>
      </c>
      <c r="D1719" s="98">
        <f t="shared" si="29"/>
        <v>195.9</v>
      </c>
      <c r="E1719" s="99">
        <v>0.65269999999999995</v>
      </c>
      <c r="F1719" s="99">
        <v>1.532097441397273</v>
      </c>
      <c r="G1719" s="97">
        <v>632.1</v>
      </c>
      <c r="H1719" s="97">
        <v>1.1759999999999999</v>
      </c>
    </row>
    <row r="1720" spans="2:8" x14ac:dyDescent="0.25">
      <c r="B1720" s="97">
        <v>1.1839999999999999</v>
      </c>
      <c r="C1720" s="98">
        <v>100</v>
      </c>
      <c r="D1720" s="98">
        <f t="shared" si="29"/>
        <v>195.9</v>
      </c>
      <c r="E1720" s="99">
        <v>0.64239999999999997</v>
      </c>
      <c r="F1720" s="99">
        <v>1.5566625155666252</v>
      </c>
      <c r="G1720" s="97">
        <v>636</v>
      </c>
      <c r="H1720" s="97">
        <v>1.1839999999999999</v>
      </c>
    </row>
    <row r="1721" spans="2:8" x14ac:dyDescent="0.25">
      <c r="B1721" s="97">
        <v>1.19</v>
      </c>
      <c r="C1721" s="98">
        <v>105</v>
      </c>
      <c r="D1721" s="98">
        <f t="shared" si="29"/>
        <v>195.9</v>
      </c>
      <c r="E1721" s="99">
        <v>0.63260000000000005</v>
      </c>
      <c r="F1721" s="99">
        <v>1.5807777426493834</v>
      </c>
      <c r="G1721" s="97">
        <v>639.9</v>
      </c>
      <c r="H1721" s="97">
        <v>1.19</v>
      </c>
    </row>
    <row r="1722" spans="2:8" x14ac:dyDescent="0.25">
      <c r="B1722" s="97">
        <v>1.1970000000000001</v>
      </c>
      <c r="C1722" s="98">
        <v>110</v>
      </c>
      <c r="D1722" s="98">
        <f t="shared" si="29"/>
        <v>195.9</v>
      </c>
      <c r="E1722" s="99">
        <v>0.62329999999999997</v>
      </c>
      <c r="F1722" s="99">
        <v>1.6043638697256539</v>
      </c>
      <c r="G1722" s="97">
        <v>643.70000000000005</v>
      </c>
      <c r="H1722" s="97">
        <v>1.1970000000000001</v>
      </c>
    </row>
    <row r="1723" spans="2:8" x14ac:dyDescent="0.25">
      <c r="B1723" s="97">
        <v>1.204</v>
      </c>
      <c r="C1723" s="98">
        <v>115</v>
      </c>
      <c r="D1723" s="98">
        <f t="shared" si="29"/>
        <v>195.9</v>
      </c>
      <c r="E1723" s="99">
        <v>0.61439999999999995</v>
      </c>
      <c r="F1723" s="99">
        <v>1.6276041666666667</v>
      </c>
      <c r="G1723" s="97">
        <v>647.4</v>
      </c>
      <c r="H1723" s="97">
        <v>1.204</v>
      </c>
    </row>
    <row r="1724" spans="2:8" x14ac:dyDescent="0.25">
      <c r="B1724" s="97">
        <v>1.21</v>
      </c>
      <c r="C1724" s="98">
        <v>120</v>
      </c>
      <c r="D1724" s="98">
        <f t="shared" si="29"/>
        <v>195.9</v>
      </c>
      <c r="E1724" s="99">
        <v>0.60589999999999999</v>
      </c>
      <c r="F1724" s="99">
        <v>1.650437365901964</v>
      </c>
      <c r="G1724" s="97">
        <v>651.1</v>
      </c>
      <c r="H1724" s="97">
        <v>1.21</v>
      </c>
    </row>
    <row r="1725" spans="2:8" x14ac:dyDescent="0.25">
      <c r="B1725" s="97">
        <v>1.216</v>
      </c>
      <c r="C1725" s="98">
        <v>125</v>
      </c>
      <c r="D1725" s="98">
        <f t="shared" si="29"/>
        <v>195.9</v>
      </c>
      <c r="E1725" s="99">
        <v>0.5978</v>
      </c>
      <c r="F1725" s="99">
        <v>1.6728002676480429</v>
      </c>
      <c r="G1725" s="97">
        <v>654.6</v>
      </c>
      <c r="H1725" s="97">
        <v>1.216</v>
      </c>
    </row>
    <row r="1726" spans="2:8" x14ac:dyDescent="0.25">
      <c r="B1726" s="97">
        <v>1.222</v>
      </c>
      <c r="C1726" s="98">
        <v>130</v>
      </c>
      <c r="D1726" s="98">
        <f t="shared" si="29"/>
        <v>195.9</v>
      </c>
      <c r="E1726" s="99">
        <v>0.59</v>
      </c>
      <c r="F1726" s="99">
        <v>1.6949152542372883</v>
      </c>
      <c r="G1726" s="97">
        <v>658.1</v>
      </c>
      <c r="H1726" s="97">
        <v>1.222</v>
      </c>
    </row>
    <row r="1727" spans="2:8" x14ac:dyDescent="0.25">
      <c r="B1727" s="97">
        <v>1.228</v>
      </c>
      <c r="C1727" s="98">
        <v>135</v>
      </c>
      <c r="D1727" s="98">
        <f t="shared" si="29"/>
        <v>195.9</v>
      </c>
      <c r="E1727" s="99">
        <v>0.58250000000000002</v>
      </c>
      <c r="F1727" s="99">
        <v>1.7167381974248928</v>
      </c>
      <c r="G1727" s="97">
        <v>661.6</v>
      </c>
      <c r="H1727" s="97">
        <v>1.228</v>
      </c>
    </row>
    <row r="1728" spans="2:8" x14ac:dyDescent="0.25">
      <c r="B1728" s="97">
        <v>1.234</v>
      </c>
      <c r="C1728" s="98">
        <v>140</v>
      </c>
      <c r="D1728" s="98">
        <f t="shared" si="29"/>
        <v>195.9</v>
      </c>
      <c r="E1728" s="99">
        <v>0.57530000000000003</v>
      </c>
      <c r="F1728" s="99">
        <v>1.7382235355466713</v>
      </c>
      <c r="G1728" s="97">
        <v>665</v>
      </c>
      <c r="H1728" s="97">
        <v>1.234</v>
      </c>
    </row>
    <row r="1729" spans="2:8" x14ac:dyDescent="0.25">
      <c r="B1729" s="97">
        <v>1.2390000000000001</v>
      </c>
      <c r="C1729" s="98">
        <v>145</v>
      </c>
      <c r="D1729" s="98">
        <f t="shared" si="29"/>
        <v>195.9</v>
      </c>
      <c r="E1729" s="99">
        <v>0.56840000000000002</v>
      </c>
      <c r="F1729" s="99">
        <v>1.7593244194229416</v>
      </c>
      <c r="G1729" s="97">
        <v>668.4</v>
      </c>
      <c r="H1729" s="97">
        <v>1.2390000000000001</v>
      </c>
    </row>
    <row r="1730" spans="2:8" x14ac:dyDescent="0.25">
      <c r="B1730" s="97">
        <v>1.2450000000000001</v>
      </c>
      <c r="C1730" s="98">
        <v>150</v>
      </c>
      <c r="D1730" s="98">
        <f t="shared" si="29"/>
        <v>195.9</v>
      </c>
      <c r="E1730" s="99">
        <v>0.56169999999999998</v>
      </c>
      <c r="F1730" s="99">
        <v>1.7803097739006588</v>
      </c>
      <c r="G1730" s="97">
        <v>671.8</v>
      </c>
      <c r="H1730" s="97">
        <v>1.2450000000000001</v>
      </c>
    </row>
    <row r="1731" spans="2:8" x14ac:dyDescent="0.25">
      <c r="B1731" s="97">
        <v>1.25</v>
      </c>
      <c r="C1731" s="98">
        <v>155</v>
      </c>
      <c r="D1731" s="98">
        <f t="shared" si="29"/>
        <v>195.9</v>
      </c>
      <c r="E1731" s="99">
        <v>0.55520000000000003</v>
      </c>
      <c r="F1731" s="99">
        <v>1.8011527377521612</v>
      </c>
      <c r="G1731" s="97">
        <v>675.1</v>
      </c>
      <c r="H1731" s="97">
        <v>1.25</v>
      </c>
    </row>
    <row r="1732" spans="2:8" x14ac:dyDescent="0.25">
      <c r="B1732" s="97">
        <v>1.2549999999999999</v>
      </c>
      <c r="C1732" s="98">
        <v>160</v>
      </c>
      <c r="D1732" s="98">
        <f t="shared" si="29"/>
        <v>195.9</v>
      </c>
      <c r="E1732" s="99">
        <v>0.54890000000000005</v>
      </c>
      <c r="F1732" s="99">
        <v>1.8218254691200582</v>
      </c>
      <c r="G1732" s="97">
        <v>678.3</v>
      </c>
      <c r="H1732" s="97">
        <v>1.2549999999999999</v>
      </c>
    </row>
    <row r="1733" spans="2:8" x14ac:dyDescent="0.25">
      <c r="B1733" s="97">
        <v>1.2609999999999999</v>
      </c>
      <c r="C1733" s="98">
        <v>165</v>
      </c>
      <c r="D1733" s="98">
        <f t="shared" si="29"/>
        <v>195.9</v>
      </c>
      <c r="E1733" s="99">
        <v>0.54290000000000005</v>
      </c>
      <c r="F1733" s="99">
        <v>1.8419598452753729</v>
      </c>
      <c r="G1733" s="97">
        <v>681.6</v>
      </c>
      <c r="H1733" s="97">
        <v>1.2609999999999999</v>
      </c>
    </row>
    <row r="1734" spans="2:8" x14ac:dyDescent="0.25">
      <c r="B1734" s="97">
        <v>1.266</v>
      </c>
      <c r="C1734" s="98">
        <v>170</v>
      </c>
      <c r="D1734" s="98">
        <f t="shared" si="29"/>
        <v>195.9</v>
      </c>
      <c r="E1734" s="99">
        <v>0.53700000000000003</v>
      </c>
      <c r="F1734" s="99">
        <v>1.8621973929236497</v>
      </c>
      <c r="G1734" s="97">
        <v>684.8</v>
      </c>
      <c r="H1734" s="97">
        <v>1.266</v>
      </c>
    </row>
    <row r="1735" spans="2:8" x14ac:dyDescent="0.25">
      <c r="B1735" s="97">
        <v>1.2709999999999999</v>
      </c>
      <c r="C1735" s="98">
        <v>175</v>
      </c>
      <c r="D1735" s="98">
        <f t="shared" si="29"/>
        <v>195.9</v>
      </c>
      <c r="E1735" s="99">
        <v>0.53129999999999999</v>
      </c>
      <c r="F1735" s="99">
        <v>1.8821757952192735</v>
      </c>
      <c r="G1735" s="97">
        <v>688</v>
      </c>
      <c r="H1735" s="97">
        <v>1.2709999999999999</v>
      </c>
    </row>
    <row r="1736" spans="2:8" x14ac:dyDescent="0.25">
      <c r="B1736" s="97">
        <v>1.276</v>
      </c>
      <c r="C1736" s="98">
        <v>180</v>
      </c>
      <c r="D1736" s="98">
        <f t="shared" si="29"/>
        <v>195.9</v>
      </c>
      <c r="E1736" s="99">
        <v>0.52569999999999995</v>
      </c>
      <c r="F1736" s="99">
        <v>1.9022256039566294</v>
      </c>
      <c r="G1736" s="97">
        <v>691.2</v>
      </c>
      <c r="H1736" s="97">
        <v>1.276</v>
      </c>
    </row>
    <row r="1737" spans="2:8" x14ac:dyDescent="0.25">
      <c r="B1737" s="97">
        <v>1.2809999999999999</v>
      </c>
      <c r="C1737" s="98">
        <v>185</v>
      </c>
      <c r="D1737" s="98">
        <f t="shared" si="29"/>
        <v>195.9</v>
      </c>
      <c r="E1737" s="99">
        <v>0.52029999999999998</v>
      </c>
      <c r="F1737" s="99">
        <v>1.9219680953296177</v>
      </c>
      <c r="G1737" s="97">
        <v>694.3</v>
      </c>
      <c r="H1737" s="97">
        <v>1.2809999999999999</v>
      </c>
    </row>
    <row r="1738" spans="2:8" x14ac:dyDescent="0.25">
      <c r="B1738" s="97">
        <v>1.286</v>
      </c>
      <c r="C1738" s="98">
        <v>190</v>
      </c>
      <c r="D1738" s="98">
        <f t="shared" si="29"/>
        <v>195.9</v>
      </c>
      <c r="E1738" s="99">
        <v>0.5151</v>
      </c>
      <c r="F1738" s="99">
        <v>1.9413706076490003</v>
      </c>
      <c r="G1738" s="97">
        <v>697.5</v>
      </c>
      <c r="H1738" s="97">
        <v>1.286</v>
      </c>
    </row>
    <row r="1739" spans="2:8" x14ac:dyDescent="0.25">
      <c r="B1739" s="97">
        <v>1.29</v>
      </c>
      <c r="C1739" s="98">
        <v>195</v>
      </c>
      <c r="D1739" s="98">
        <f t="shared" si="29"/>
        <v>195.9</v>
      </c>
      <c r="E1739" s="99">
        <v>0.51</v>
      </c>
      <c r="F1739" s="99">
        <v>1.9607843137254901</v>
      </c>
      <c r="G1739" s="97">
        <v>700.6</v>
      </c>
      <c r="H1739" s="97">
        <v>1.29</v>
      </c>
    </row>
    <row r="1740" spans="2:8" x14ac:dyDescent="0.25">
      <c r="B1740" s="97">
        <v>1.2949999999999999</v>
      </c>
      <c r="C1740" s="98">
        <v>200</v>
      </c>
      <c r="D1740" s="98">
        <f t="shared" si="29"/>
        <v>195.9</v>
      </c>
      <c r="E1740" s="99">
        <v>0.505</v>
      </c>
      <c r="F1740" s="99">
        <v>1.9801980198019802</v>
      </c>
      <c r="G1740" s="97">
        <v>703.7</v>
      </c>
      <c r="H1740" s="97">
        <v>1.2949999999999999</v>
      </c>
    </row>
    <row r="1741" spans="2:8" x14ac:dyDescent="0.25">
      <c r="B1741" s="97">
        <v>1.2995000000000001</v>
      </c>
      <c r="C1741" s="98">
        <v>205</v>
      </c>
      <c r="D1741" s="98">
        <v>195.9</v>
      </c>
      <c r="E1741" s="99">
        <v>0.50019999999999998</v>
      </c>
      <c r="F1741" s="99">
        <v>1.9993844358194399</v>
      </c>
      <c r="G1741" s="97">
        <v>706.8</v>
      </c>
      <c r="H1741" s="97">
        <v>1.2995000000000001</v>
      </c>
    </row>
    <row r="1742" spans="2:8" x14ac:dyDescent="0.25">
      <c r="B1742" s="97">
        <v>1.304</v>
      </c>
      <c r="C1742" s="98">
        <v>210</v>
      </c>
      <c r="D1742" s="98">
        <v>195.9</v>
      </c>
      <c r="E1742" s="99">
        <v>0.49540000000000001</v>
      </c>
      <c r="F1742" s="99">
        <f>1/E1742</f>
        <v>2.0185708518368997</v>
      </c>
      <c r="G1742" s="97">
        <v>709.9</v>
      </c>
      <c r="H1742" s="97">
        <v>1.304</v>
      </c>
    </row>
    <row r="1743" spans="2:8" x14ac:dyDescent="0.25">
      <c r="B1743" s="97">
        <v>1.3089999999999999</v>
      </c>
      <c r="C1743" s="98">
        <v>215</v>
      </c>
      <c r="D1743" s="98">
        <v>195.9</v>
      </c>
      <c r="E1743" s="99">
        <v>0.49080000000000001</v>
      </c>
      <c r="F1743" s="99">
        <f t="shared" ref="F1743:F1770" si="30">1/E1743</f>
        <v>2.0374898125509371</v>
      </c>
      <c r="G1743" s="97">
        <v>712.9</v>
      </c>
      <c r="H1743" s="97">
        <v>1.3089999999999999</v>
      </c>
    </row>
    <row r="1744" spans="2:8" x14ac:dyDescent="0.25">
      <c r="B1744" s="97">
        <v>1.3129999999999999</v>
      </c>
      <c r="C1744" s="98">
        <v>220</v>
      </c>
      <c r="D1744" s="98">
        <v>195.9</v>
      </c>
      <c r="E1744" s="99">
        <v>0.48630000000000001</v>
      </c>
      <c r="F1744" s="99">
        <f t="shared" si="30"/>
        <v>2.056343820686819</v>
      </c>
      <c r="G1744" s="97">
        <v>716</v>
      </c>
      <c r="H1744" s="97">
        <v>1.3129999999999999</v>
      </c>
    </row>
    <row r="1745" spans="2:8" x14ac:dyDescent="0.25">
      <c r="B1745" s="97">
        <v>1.3180000000000001</v>
      </c>
      <c r="C1745" s="98">
        <v>225</v>
      </c>
      <c r="D1745" s="98">
        <v>195.9</v>
      </c>
      <c r="E1745" s="99">
        <v>0.4819</v>
      </c>
      <c r="F1745" s="99">
        <f t="shared" si="30"/>
        <v>2.0751193193608635</v>
      </c>
      <c r="G1745" s="97">
        <v>719.1</v>
      </c>
      <c r="H1745" s="97">
        <v>1.3180000000000001</v>
      </c>
    </row>
    <row r="1746" spans="2:8" x14ac:dyDescent="0.25">
      <c r="B1746" s="97">
        <v>1.3220000000000001</v>
      </c>
      <c r="C1746" s="98">
        <v>230</v>
      </c>
      <c r="D1746" s="98">
        <v>195.9</v>
      </c>
      <c r="E1746" s="99">
        <v>0.47760000000000002</v>
      </c>
      <c r="F1746" s="99">
        <f t="shared" si="30"/>
        <v>2.0938023450586263</v>
      </c>
      <c r="G1746" s="97">
        <v>722.1</v>
      </c>
      <c r="H1746" s="97">
        <v>1.3220000000000001</v>
      </c>
    </row>
    <row r="1747" spans="2:8" x14ac:dyDescent="0.25">
      <c r="B1747" s="97">
        <v>1.327</v>
      </c>
      <c r="C1747" s="98">
        <v>235</v>
      </c>
      <c r="D1747" s="98">
        <v>195.9</v>
      </c>
      <c r="E1747" s="99">
        <v>0.47339999999999999</v>
      </c>
      <c r="F1747" s="99">
        <f t="shared" si="30"/>
        <v>2.1123785382340516</v>
      </c>
      <c r="G1747" s="97">
        <v>725.1</v>
      </c>
      <c r="H1747" s="97">
        <v>1.327</v>
      </c>
    </row>
    <row r="1748" spans="2:8" x14ac:dyDescent="0.25">
      <c r="B1748" s="97">
        <v>1.331</v>
      </c>
      <c r="C1748" s="98">
        <v>240</v>
      </c>
      <c r="D1748" s="98">
        <v>195.9</v>
      </c>
      <c r="E1748" s="99">
        <v>0.46929999999999999</v>
      </c>
      <c r="F1748" s="99">
        <f t="shared" si="30"/>
        <v>2.1308331557639035</v>
      </c>
      <c r="G1748" s="97">
        <v>728.2</v>
      </c>
      <c r="H1748" s="97">
        <v>1.331</v>
      </c>
    </row>
    <row r="1749" spans="2:8" x14ac:dyDescent="0.25">
      <c r="B1749" s="97">
        <v>1.335</v>
      </c>
      <c r="C1749" s="98">
        <v>245</v>
      </c>
      <c r="D1749" s="98">
        <v>195.9</v>
      </c>
      <c r="E1749" s="99">
        <v>0.4652</v>
      </c>
      <c r="F1749" s="99">
        <f t="shared" si="30"/>
        <v>2.1496130696474633</v>
      </c>
      <c r="G1749" s="97">
        <v>731.2</v>
      </c>
      <c r="H1749" s="97">
        <v>1.335</v>
      </c>
    </row>
    <row r="1750" spans="2:8" x14ac:dyDescent="0.25">
      <c r="B1750" s="97">
        <v>1.34</v>
      </c>
      <c r="C1750" s="98">
        <v>250</v>
      </c>
      <c r="D1750" s="98">
        <v>195.9</v>
      </c>
      <c r="E1750" s="99">
        <v>0.46129999999999999</v>
      </c>
      <c r="F1750" s="99">
        <f t="shared" si="30"/>
        <v>2.1677866897897249</v>
      </c>
      <c r="G1750" s="97">
        <v>734.2</v>
      </c>
      <c r="H1750" s="97">
        <v>1.34</v>
      </c>
    </row>
    <row r="1751" spans="2:8" x14ac:dyDescent="0.25">
      <c r="B1751" s="97">
        <v>1.3440000000000001</v>
      </c>
      <c r="C1751" s="98">
        <v>255</v>
      </c>
      <c r="D1751" s="98">
        <v>195.9</v>
      </c>
      <c r="E1751" s="99">
        <v>0.45739999999999997</v>
      </c>
      <c r="F1751" s="99">
        <f t="shared" si="30"/>
        <v>2.1862702229995628</v>
      </c>
      <c r="G1751" s="97">
        <v>737.2</v>
      </c>
      <c r="H1751" s="97">
        <v>1.3440000000000001</v>
      </c>
    </row>
    <row r="1752" spans="2:8" x14ac:dyDescent="0.25">
      <c r="B1752" s="97">
        <v>1.3480000000000001</v>
      </c>
      <c r="C1752" s="98">
        <v>260</v>
      </c>
      <c r="D1752" s="98">
        <v>195.9</v>
      </c>
      <c r="E1752" s="99">
        <v>0.4536</v>
      </c>
      <c r="F1752" s="99">
        <f t="shared" si="30"/>
        <v>2.204585537918871</v>
      </c>
      <c r="G1752" s="97">
        <v>740.2</v>
      </c>
      <c r="H1752" s="97">
        <v>1.3480000000000001</v>
      </c>
    </row>
    <row r="1753" spans="2:8" x14ac:dyDescent="0.25">
      <c r="B1753" s="97">
        <v>1.3520000000000001</v>
      </c>
      <c r="C1753" s="98">
        <v>265</v>
      </c>
      <c r="D1753" s="98">
        <v>195.9</v>
      </c>
      <c r="E1753" s="99">
        <v>0.44990000000000002</v>
      </c>
      <c r="F1753" s="99">
        <f t="shared" si="30"/>
        <v>2.222716159146477</v>
      </c>
      <c r="G1753" s="97">
        <v>743.2</v>
      </c>
      <c r="H1753" s="97">
        <v>1.3520000000000001</v>
      </c>
    </row>
    <row r="1754" spans="2:8" x14ac:dyDescent="0.25">
      <c r="B1754" s="97">
        <v>1.3560000000000001</v>
      </c>
      <c r="C1754" s="98">
        <v>270</v>
      </c>
      <c r="D1754" s="98">
        <v>195.9</v>
      </c>
      <c r="E1754" s="99">
        <v>0.44630000000000003</v>
      </c>
      <c r="F1754" s="99">
        <v>2.2407911041948783</v>
      </c>
      <c r="G1754" s="97">
        <v>746.2</v>
      </c>
      <c r="H1754" s="97">
        <v>1.3560000000000001</v>
      </c>
    </row>
    <row r="1755" spans="2:8" x14ac:dyDescent="0.25">
      <c r="B1755" s="97">
        <v>1.36</v>
      </c>
      <c r="C1755" s="98">
        <v>275</v>
      </c>
      <c r="D1755" s="98">
        <v>195.9</v>
      </c>
      <c r="E1755" s="99">
        <v>0.44269999999999998</v>
      </c>
      <c r="F1755" s="99">
        <f t="shared" si="30"/>
        <v>2.2588660492432799</v>
      </c>
      <c r="G1755" s="97">
        <v>749.2</v>
      </c>
      <c r="H1755" s="97">
        <v>1.36</v>
      </c>
    </row>
    <row r="1756" spans="2:8" x14ac:dyDescent="0.25">
      <c r="B1756" s="97">
        <v>1.365</v>
      </c>
      <c r="C1756" s="98">
        <v>280</v>
      </c>
      <c r="D1756" s="98">
        <v>195.9</v>
      </c>
      <c r="E1756" s="99">
        <v>0.43919999999999998</v>
      </c>
      <c r="F1756" s="99">
        <f t="shared" si="30"/>
        <v>2.2768670309653918</v>
      </c>
      <c r="G1756" s="97">
        <v>752.2</v>
      </c>
      <c r="H1756" s="97">
        <v>1.365</v>
      </c>
    </row>
    <row r="1757" spans="2:8" x14ac:dyDescent="0.25">
      <c r="B1757" s="97">
        <v>1.369</v>
      </c>
      <c r="C1757" s="98">
        <v>285</v>
      </c>
      <c r="D1757" s="98">
        <v>195.9</v>
      </c>
      <c r="E1757" s="99">
        <v>0.43569999999999998</v>
      </c>
      <c r="F1757" s="99">
        <f t="shared" si="30"/>
        <v>2.2951572182694515</v>
      </c>
      <c r="G1757" s="97">
        <v>755.2</v>
      </c>
      <c r="H1757" s="97">
        <v>1.369</v>
      </c>
    </row>
    <row r="1758" spans="2:8" x14ac:dyDescent="0.25">
      <c r="B1758" s="97">
        <v>1.373</v>
      </c>
      <c r="C1758" s="98">
        <v>290</v>
      </c>
      <c r="D1758" s="98">
        <v>195.9</v>
      </c>
      <c r="E1758" s="99">
        <v>0.43240000000000001</v>
      </c>
      <c r="F1758" s="99">
        <f t="shared" si="30"/>
        <v>2.3126734505087883</v>
      </c>
      <c r="G1758" s="97">
        <v>758.2</v>
      </c>
      <c r="H1758" s="97">
        <v>1.373</v>
      </c>
    </row>
    <row r="1759" spans="2:8" x14ac:dyDescent="0.25">
      <c r="B1759" s="97">
        <v>1.377</v>
      </c>
      <c r="C1759" s="98">
        <v>295</v>
      </c>
      <c r="D1759" s="98">
        <v>195.9</v>
      </c>
      <c r="E1759" s="99">
        <v>0.42899999999999999</v>
      </c>
      <c r="F1759" s="99">
        <f t="shared" si="30"/>
        <v>2.3310023310023311</v>
      </c>
      <c r="G1759" s="97">
        <v>761.2</v>
      </c>
      <c r="H1759" s="97">
        <v>1.377</v>
      </c>
    </row>
    <row r="1760" spans="2:8" x14ac:dyDescent="0.25">
      <c r="B1760" s="97">
        <v>1.38</v>
      </c>
      <c r="C1760" s="98">
        <v>300</v>
      </c>
      <c r="D1760" s="98">
        <v>195.9</v>
      </c>
      <c r="E1760" s="99">
        <v>0.42580000000000001</v>
      </c>
      <c r="F1760" s="99">
        <f t="shared" si="30"/>
        <v>2.3485204321277595</v>
      </c>
      <c r="G1760" s="97">
        <v>764.2</v>
      </c>
      <c r="H1760" s="97">
        <v>1.38</v>
      </c>
    </row>
    <row r="1761" spans="1:8" x14ac:dyDescent="0.25">
      <c r="B1761" s="97">
        <v>1.3839999999999999</v>
      </c>
      <c r="C1761" s="98">
        <v>305</v>
      </c>
      <c r="D1761" s="98">
        <v>195.9</v>
      </c>
      <c r="E1761" s="99">
        <v>0.42259999999999998</v>
      </c>
      <c r="F1761" s="99">
        <f t="shared" si="30"/>
        <v>2.3663038334122102</v>
      </c>
      <c r="G1761" s="97">
        <v>767.2</v>
      </c>
      <c r="H1761" s="97">
        <v>1.3839999999999999</v>
      </c>
    </row>
    <row r="1762" spans="1:8" x14ac:dyDescent="0.25">
      <c r="B1762" s="97">
        <v>1.3879999999999999</v>
      </c>
      <c r="C1762" s="98">
        <v>310</v>
      </c>
      <c r="D1762" s="98">
        <v>195.9</v>
      </c>
      <c r="E1762" s="99">
        <v>0.4194</v>
      </c>
      <c r="F1762" s="99">
        <f t="shared" si="30"/>
        <v>2.3843586075345731</v>
      </c>
      <c r="G1762" s="97">
        <v>770.1</v>
      </c>
      <c r="H1762" s="97">
        <v>1.3879999999999999</v>
      </c>
    </row>
    <row r="1763" spans="1:8" x14ac:dyDescent="0.25">
      <c r="B1763" s="97">
        <v>1.3919999999999999</v>
      </c>
      <c r="C1763" s="98">
        <v>315</v>
      </c>
      <c r="D1763" s="98">
        <v>195.9</v>
      </c>
      <c r="E1763" s="99">
        <v>0.41639999999999999</v>
      </c>
      <c r="F1763" s="99">
        <f t="shared" si="30"/>
        <v>2.4015369836695486</v>
      </c>
      <c r="G1763" s="97">
        <v>773.1</v>
      </c>
      <c r="H1763" s="97">
        <v>1.3919999999999999</v>
      </c>
    </row>
    <row r="1764" spans="1:8" x14ac:dyDescent="0.25">
      <c r="B1764" s="97">
        <v>1.3959999999999999</v>
      </c>
      <c r="C1764" s="98">
        <v>320</v>
      </c>
      <c r="D1764" s="98">
        <v>195.9</v>
      </c>
      <c r="E1764" s="99">
        <v>0.4133</v>
      </c>
      <c r="F1764" s="99">
        <f t="shared" si="30"/>
        <v>2.4195499637067504</v>
      </c>
      <c r="G1764" s="97">
        <v>776.1</v>
      </c>
      <c r="H1764" s="97">
        <v>1.3959999999999999</v>
      </c>
    </row>
    <row r="1765" spans="1:8" x14ac:dyDescent="0.25">
      <c r="B1765" s="97">
        <v>1.4</v>
      </c>
      <c r="C1765" s="98">
        <v>325</v>
      </c>
      <c r="D1765" s="98">
        <v>195.9</v>
      </c>
      <c r="E1765" s="99">
        <v>0.4103</v>
      </c>
      <c r="F1765" s="99">
        <f t="shared" si="30"/>
        <v>2.4372410431391667</v>
      </c>
      <c r="G1765" s="97">
        <v>779.1</v>
      </c>
      <c r="H1765" s="97">
        <v>1.4</v>
      </c>
    </row>
    <row r="1766" spans="1:8" x14ac:dyDescent="0.25">
      <c r="B1766" s="97">
        <v>1.4039999999999999</v>
      </c>
      <c r="C1766" s="98">
        <v>330</v>
      </c>
      <c r="D1766" s="98">
        <v>195.9</v>
      </c>
      <c r="E1766" s="99">
        <v>0.40739999999999998</v>
      </c>
      <c r="F1766" s="99">
        <f t="shared" si="30"/>
        <v>2.454590083456063</v>
      </c>
      <c r="G1766" s="97">
        <v>782.1</v>
      </c>
      <c r="H1766" s="97">
        <v>1.4039999999999999</v>
      </c>
    </row>
    <row r="1767" spans="1:8" x14ac:dyDescent="0.25">
      <c r="B1767" s="97">
        <v>1.407</v>
      </c>
      <c r="C1767" s="98">
        <v>335</v>
      </c>
      <c r="D1767" s="98">
        <v>195.9</v>
      </c>
      <c r="E1767" s="99">
        <v>0.40450000000000003</v>
      </c>
      <c r="F1767" s="99">
        <f t="shared" si="30"/>
        <v>2.4721878862793569</v>
      </c>
      <c r="G1767" s="97">
        <v>785.1</v>
      </c>
      <c r="H1767" s="97">
        <v>1.407</v>
      </c>
    </row>
    <row r="1768" spans="1:8" x14ac:dyDescent="0.25">
      <c r="B1768" s="97">
        <v>1.411</v>
      </c>
      <c r="C1768" s="98">
        <v>340</v>
      </c>
      <c r="D1768" s="98">
        <v>195.9</v>
      </c>
      <c r="E1768" s="99">
        <v>0.40160000000000001</v>
      </c>
      <c r="F1768" s="99">
        <f t="shared" si="30"/>
        <v>2.4900398406374502</v>
      </c>
      <c r="G1768" s="97">
        <v>788.1</v>
      </c>
      <c r="H1768" s="97">
        <v>1.411</v>
      </c>
    </row>
    <row r="1769" spans="1:8" x14ac:dyDescent="0.25">
      <c r="B1769" s="97">
        <v>1.415</v>
      </c>
      <c r="C1769" s="98">
        <v>345</v>
      </c>
      <c r="D1769" s="98">
        <v>195.9</v>
      </c>
      <c r="E1769" s="99">
        <v>0.39879999999999999</v>
      </c>
      <c r="F1769" s="99">
        <f t="shared" si="30"/>
        <v>2.5075225677031092</v>
      </c>
      <c r="G1769" s="97">
        <v>791.1</v>
      </c>
      <c r="H1769" s="97">
        <v>1.415</v>
      </c>
    </row>
    <row r="1770" spans="1:8" x14ac:dyDescent="0.25">
      <c r="B1770" s="97">
        <v>1.419</v>
      </c>
      <c r="C1770" s="98">
        <v>350</v>
      </c>
      <c r="D1770" s="98">
        <v>195.9</v>
      </c>
      <c r="E1770" s="99">
        <v>0.39610000000000001</v>
      </c>
      <c r="F1770" s="99">
        <f t="shared" si="30"/>
        <v>2.5246149962130775</v>
      </c>
      <c r="G1770" s="97">
        <v>794.1</v>
      </c>
      <c r="H1770" s="97">
        <v>1.419</v>
      </c>
    </row>
    <row r="1771" spans="1:8" x14ac:dyDescent="0.25">
      <c r="B1771" s="97">
        <v>1.423</v>
      </c>
      <c r="C1771" t="s">
        <v>374</v>
      </c>
      <c r="D1771" t="s">
        <v>374</v>
      </c>
      <c r="E1771" t="s">
        <v>374</v>
      </c>
      <c r="F1771" t="s">
        <v>374</v>
      </c>
      <c r="G1771" t="s">
        <v>374</v>
      </c>
      <c r="H1771" t="s">
        <v>374</v>
      </c>
    </row>
    <row r="1774" spans="1:8" ht="15.75" x14ac:dyDescent="0.25">
      <c r="A1774" s="92">
        <v>200</v>
      </c>
      <c r="C1774" s="109" t="s">
        <v>424</v>
      </c>
      <c r="D1774" s="101"/>
      <c r="E1774" s="110"/>
      <c r="F1774" s="110"/>
      <c r="G1774" s="111"/>
    </row>
    <row r="1775" spans="1:8" x14ac:dyDescent="0.25">
      <c r="B1775" s="96" t="s">
        <v>266</v>
      </c>
      <c r="C1775" s="96" t="s">
        <v>375</v>
      </c>
      <c r="D1775" s="96" t="s">
        <v>380</v>
      </c>
      <c r="E1775" s="96" t="s">
        <v>381</v>
      </c>
      <c r="F1775" s="96" t="s">
        <v>382</v>
      </c>
      <c r="G1775" s="96" t="s">
        <v>265</v>
      </c>
      <c r="H1775" s="96" t="s">
        <v>266</v>
      </c>
    </row>
    <row r="1776" spans="1:8" x14ac:dyDescent="0.25">
      <c r="B1776" s="96" t="s">
        <v>383</v>
      </c>
      <c r="C1776" s="96" t="s">
        <v>384</v>
      </c>
      <c r="D1776" s="96" t="s">
        <v>385</v>
      </c>
      <c r="E1776" s="96" t="s">
        <v>386</v>
      </c>
      <c r="F1776" s="96" t="s">
        <v>387</v>
      </c>
      <c r="G1776" s="96" t="s">
        <v>388</v>
      </c>
      <c r="H1776" s="96" t="s">
        <v>383</v>
      </c>
    </row>
    <row r="1777" spans="2:8" x14ac:dyDescent="0.25">
      <c r="B1777" s="97">
        <v>0.20957000000000001</v>
      </c>
      <c r="C1777" s="98">
        <v>50</v>
      </c>
      <c r="D1777" s="98">
        <v>200</v>
      </c>
      <c r="E1777" s="99">
        <v>39.032452999999997</v>
      </c>
      <c r="F1777" s="99">
        <f t="shared" ref="F1777:F1807" si="31">1/E1777</f>
        <v>2.5619706760423182E-2</v>
      </c>
      <c r="G1777" s="97">
        <v>98.013456000000005</v>
      </c>
      <c r="H1777" s="97">
        <v>0.20957000000000001</v>
      </c>
    </row>
    <row r="1778" spans="2:8" x14ac:dyDescent="0.25">
      <c r="B1778" s="97">
        <v>0.22048499999999999</v>
      </c>
      <c r="C1778" s="98">
        <v>55</v>
      </c>
      <c r="D1778" s="98">
        <v>200</v>
      </c>
      <c r="E1778" s="99">
        <v>38.783577999999999</v>
      </c>
      <c r="F1778" s="99">
        <f t="shared" si="31"/>
        <v>2.5784108933941063E-2</v>
      </c>
      <c r="G1778" s="97">
        <v>103.60368</v>
      </c>
      <c r="H1778" s="97">
        <v>0.22048499999999999</v>
      </c>
    </row>
    <row r="1779" spans="2:8" x14ac:dyDescent="0.25">
      <c r="B1779" s="97">
        <v>0.23133699999999999</v>
      </c>
      <c r="C1779" s="98">
        <v>60</v>
      </c>
      <c r="D1779" s="98">
        <v>200</v>
      </c>
      <c r="E1779" s="99">
        <v>38.531784000000002</v>
      </c>
      <c r="F1779" s="99">
        <f t="shared" si="31"/>
        <v>2.5952600585532191E-2</v>
      </c>
      <c r="G1779" s="97">
        <v>109.216166</v>
      </c>
      <c r="H1779" s="97">
        <v>0.23133699999999999</v>
      </c>
    </row>
    <row r="1780" spans="2:8" x14ac:dyDescent="0.25">
      <c r="B1780" s="97">
        <v>0.24213100000000001</v>
      </c>
      <c r="C1780" s="98">
        <v>65</v>
      </c>
      <c r="D1780" s="98">
        <v>200</v>
      </c>
      <c r="E1780" s="99">
        <v>38.276913999999998</v>
      </c>
      <c r="F1780" s="99">
        <f t="shared" si="31"/>
        <v>2.6125408124594372E-2</v>
      </c>
      <c r="G1780" s="97">
        <v>114.852087</v>
      </c>
      <c r="H1780" s="97">
        <v>0.24213100000000001</v>
      </c>
    </row>
    <row r="1781" spans="2:8" x14ac:dyDescent="0.25">
      <c r="B1781" s="97">
        <v>0.25286900000000001</v>
      </c>
      <c r="C1781" s="98">
        <v>70</v>
      </c>
      <c r="D1781" s="98">
        <v>200</v>
      </c>
      <c r="E1781" s="99">
        <v>38.018794999999997</v>
      </c>
      <c r="F1781" s="99">
        <f t="shared" si="31"/>
        <v>2.6302779980270287E-2</v>
      </c>
      <c r="G1781" s="97">
        <v>120.512754</v>
      </c>
      <c r="H1781" s="97">
        <v>0.25286900000000001</v>
      </c>
    </row>
    <row r="1782" spans="2:8" x14ac:dyDescent="0.25">
      <c r="B1782" s="97">
        <v>0.26355499999999998</v>
      </c>
      <c r="C1782" s="98">
        <v>75</v>
      </c>
      <c r="D1782" s="98">
        <v>200</v>
      </c>
      <c r="E1782" s="99">
        <v>37.757235999999999</v>
      </c>
      <c r="F1782" s="99">
        <f t="shared" si="31"/>
        <v>2.6484989526246044E-2</v>
      </c>
      <c r="G1782" s="97">
        <v>126.19963</v>
      </c>
      <c r="H1782" s="97">
        <v>0.26355499999999998</v>
      </c>
    </row>
    <row r="1783" spans="2:8" x14ac:dyDescent="0.25">
      <c r="B1783" s="97">
        <v>0.27419300000000002</v>
      </c>
      <c r="C1783" s="98">
        <v>80</v>
      </c>
      <c r="D1783" s="98">
        <v>200</v>
      </c>
      <c r="E1783" s="99">
        <v>37.492029000000002</v>
      </c>
      <c r="F1783" s="99">
        <f t="shared" si="31"/>
        <v>2.667233613843625E-2</v>
      </c>
      <c r="G1783" s="97">
        <v>131.914342</v>
      </c>
      <c r="H1783" s="97">
        <v>0.27419300000000002</v>
      </c>
    </row>
    <row r="1784" spans="2:8" x14ac:dyDescent="0.25">
      <c r="B1784" s="97">
        <v>0.28478900000000001</v>
      </c>
      <c r="C1784" s="98">
        <v>85</v>
      </c>
      <c r="D1784" s="98">
        <v>200</v>
      </c>
      <c r="E1784" s="99">
        <v>37.222942000000003</v>
      </c>
      <c r="F1784" s="99">
        <f t="shared" si="31"/>
        <v>2.6865152141923653E-2</v>
      </c>
      <c r="G1784" s="97">
        <v>137.658703</v>
      </c>
      <c r="H1784" s="97">
        <v>0.28478900000000001</v>
      </c>
    </row>
    <row r="1785" spans="2:8" x14ac:dyDescent="0.25">
      <c r="B1785" s="97">
        <v>0.29534500000000002</v>
      </c>
      <c r="C1785" s="98">
        <v>90</v>
      </c>
      <c r="D1785" s="98">
        <v>200</v>
      </c>
      <c r="E1785" s="99">
        <v>36.949719000000002</v>
      </c>
      <c r="F1785" s="99">
        <f t="shared" si="31"/>
        <v>2.7063805275488021E-2</v>
      </c>
      <c r="G1785" s="97">
        <v>143.43472600000001</v>
      </c>
      <c r="H1785" s="97">
        <v>0.29534500000000002</v>
      </c>
    </row>
    <row r="1786" spans="2:8" x14ac:dyDescent="0.25">
      <c r="B1786" s="97">
        <v>0.305867</v>
      </c>
      <c r="C1786" s="98">
        <v>95</v>
      </c>
      <c r="D1786" s="98">
        <v>200</v>
      </c>
      <c r="E1786" s="99">
        <v>36.672075999999997</v>
      </c>
      <c r="F1786" s="99">
        <f t="shared" si="31"/>
        <v>2.7268704395137053E-2</v>
      </c>
      <c r="G1786" s="97">
        <v>149.24465599999999</v>
      </c>
      <c r="H1786" s="97">
        <v>0.305867</v>
      </c>
    </row>
    <row r="1787" spans="2:8" x14ac:dyDescent="0.25">
      <c r="B1787" s="97">
        <v>1.179816</v>
      </c>
      <c r="C1787" s="98">
        <v>100</v>
      </c>
      <c r="D1787" s="98">
        <v>200</v>
      </c>
      <c r="E1787" s="99">
        <v>0.65837299999999999</v>
      </c>
      <c r="F1787" s="99">
        <f t="shared" si="31"/>
        <v>1.5188958234921541</v>
      </c>
      <c r="G1787" s="97">
        <v>635.14043800000002</v>
      </c>
      <c r="H1787" s="97">
        <v>1.179816</v>
      </c>
    </row>
    <row r="1788" spans="2:8" x14ac:dyDescent="0.25">
      <c r="B1788" s="97">
        <v>1.186795</v>
      </c>
      <c r="C1788" s="98">
        <v>105</v>
      </c>
      <c r="D1788" s="98">
        <v>200</v>
      </c>
      <c r="E1788" s="99">
        <v>0.64817899999999995</v>
      </c>
      <c r="F1788" s="99">
        <f t="shared" si="31"/>
        <v>1.5427837063527206</v>
      </c>
      <c r="G1788" s="97">
        <v>639.06370700000002</v>
      </c>
      <c r="H1788" s="97">
        <v>1.186795</v>
      </c>
    </row>
    <row r="1789" spans="2:8" x14ac:dyDescent="0.25">
      <c r="B1789" s="97">
        <v>1.193549</v>
      </c>
      <c r="C1789" s="98">
        <v>110</v>
      </c>
      <c r="D1789" s="98">
        <v>200</v>
      </c>
      <c r="E1789" s="99">
        <v>0.63850399999999996</v>
      </c>
      <c r="F1789" s="99">
        <f t="shared" si="31"/>
        <v>1.5661609011063362</v>
      </c>
      <c r="G1789" s="97">
        <v>642.89397299999996</v>
      </c>
      <c r="H1789" s="97">
        <v>1.193549</v>
      </c>
    </row>
    <row r="1790" spans="2:8" x14ac:dyDescent="0.25">
      <c r="B1790" s="97">
        <v>1.200099</v>
      </c>
      <c r="C1790" s="98">
        <v>115</v>
      </c>
      <c r="D1790" s="98">
        <v>200</v>
      </c>
      <c r="E1790" s="99">
        <v>0.62929400000000002</v>
      </c>
      <c r="F1790" s="99">
        <f t="shared" si="31"/>
        <v>1.5890823684954885</v>
      </c>
      <c r="G1790" s="97">
        <v>646.641616</v>
      </c>
      <c r="H1790" s="97">
        <v>1.200099</v>
      </c>
    </row>
    <row r="1791" spans="2:8" x14ac:dyDescent="0.25">
      <c r="B1791" s="97">
        <v>1.206464</v>
      </c>
      <c r="C1791" s="98">
        <v>120</v>
      </c>
      <c r="D1791" s="98">
        <v>200</v>
      </c>
      <c r="E1791" s="99">
        <v>0.620506</v>
      </c>
      <c r="F1791" s="99">
        <f t="shared" si="31"/>
        <v>1.6115879620825584</v>
      </c>
      <c r="G1791" s="97">
        <v>650.31553699999995</v>
      </c>
      <c r="H1791" s="97">
        <v>1.206464</v>
      </c>
    </row>
    <row r="1792" spans="2:8" x14ac:dyDescent="0.25">
      <c r="B1792" s="97">
        <v>1.2126619999999999</v>
      </c>
      <c r="C1792" s="98">
        <v>125</v>
      </c>
      <c r="D1792" s="98">
        <v>200</v>
      </c>
      <c r="E1792" s="99">
        <v>0.61209999999999998</v>
      </c>
      <c r="F1792" s="99">
        <f t="shared" si="31"/>
        <v>1.6337199803953604</v>
      </c>
      <c r="G1792" s="97">
        <v>653.92343400000004</v>
      </c>
      <c r="H1792" s="97">
        <v>1.2126619999999999</v>
      </c>
    </row>
    <row r="1793" spans="2:8" x14ac:dyDescent="0.25">
      <c r="B1793" s="97">
        <v>1.2187049999999999</v>
      </c>
      <c r="C1793" s="98">
        <v>130</v>
      </c>
      <c r="D1793" s="98">
        <v>200</v>
      </c>
      <c r="E1793" s="99">
        <v>0.604043</v>
      </c>
      <c r="F1793" s="99">
        <f t="shared" si="31"/>
        <v>1.6555112798261051</v>
      </c>
      <c r="G1793" s="97">
        <v>657.47200299999997</v>
      </c>
      <c r="H1793" s="97">
        <v>1.2187049999999999</v>
      </c>
    </row>
    <row r="1794" spans="2:8" x14ac:dyDescent="0.25">
      <c r="B1794" s="97">
        <v>1.2246079999999999</v>
      </c>
      <c r="C1794" s="98">
        <v>135</v>
      </c>
      <c r="D1794" s="98">
        <v>200</v>
      </c>
      <c r="E1794" s="99">
        <v>0.596306</v>
      </c>
      <c r="F1794" s="99">
        <f t="shared" si="31"/>
        <v>1.6769913433706856</v>
      </c>
      <c r="G1794" s="97">
        <v>660.96711300000004</v>
      </c>
      <c r="H1794" s="97">
        <v>1.2246079999999999</v>
      </c>
    </row>
    <row r="1795" spans="2:8" x14ac:dyDescent="0.25">
      <c r="B1795" s="97">
        <v>1.23038</v>
      </c>
      <c r="C1795" s="98">
        <v>140</v>
      </c>
      <c r="D1795" s="98">
        <v>200</v>
      </c>
      <c r="E1795" s="99">
        <v>0.58886499999999997</v>
      </c>
      <c r="F1795" s="99">
        <f t="shared" si="31"/>
        <v>1.6981820960661613</v>
      </c>
      <c r="G1795" s="97">
        <v>664.41393500000004</v>
      </c>
      <c r="H1795" s="97">
        <v>1.23038</v>
      </c>
    </row>
    <row r="1796" spans="2:8" x14ac:dyDescent="0.25">
      <c r="B1796" s="97">
        <v>1.2360310000000001</v>
      </c>
      <c r="C1796" s="98">
        <v>145</v>
      </c>
      <c r="D1796" s="98">
        <v>200</v>
      </c>
      <c r="E1796" s="99">
        <v>0.58169599999999999</v>
      </c>
      <c r="F1796" s="99">
        <f t="shared" si="31"/>
        <v>1.7191110133127958</v>
      </c>
      <c r="G1796" s="97">
        <v>667.81704300000001</v>
      </c>
      <c r="H1796" s="97">
        <v>1.2360310000000001</v>
      </c>
    </row>
    <row r="1797" spans="2:8" x14ac:dyDescent="0.25">
      <c r="B1797" s="97">
        <v>1.241571</v>
      </c>
      <c r="C1797" s="98">
        <v>150</v>
      </c>
      <c r="D1797" s="98">
        <v>200</v>
      </c>
      <c r="E1797" s="99">
        <v>0.57477999999999996</v>
      </c>
      <c r="F1797" s="99">
        <f t="shared" si="31"/>
        <v>1.7397960958975609</v>
      </c>
      <c r="G1797" s="97">
        <v>671.18050700000003</v>
      </c>
      <c r="H1797" s="97">
        <v>1.241571</v>
      </c>
    </row>
    <row r="1798" spans="2:8" x14ac:dyDescent="0.25">
      <c r="B1798" s="97">
        <v>1.2470060000000001</v>
      </c>
      <c r="C1798" s="98">
        <v>155</v>
      </c>
      <c r="D1798" s="98">
        <v>200</v>
      </c>
      <c r="E1798" s="99">
        <v>0.56810000000000005</v>
      </c>
      <c r="F1798" s="99">
        <f t="shared" si="31"/>
        <v>1.7602534765006159</v>
      </c>
      <c r="G1798" s="97">
        <v>674.50796300000002</v>
      </c>
      <c r="H1798" s="97">
        <v>1.2470060000000001</v>
      </c>
    </row>
    <row r="1799" spans="2:8" x14ac:dyDescent="0.25">
      <c r="B1799" s="97">
        <v>1.252345</v>
      </c>
      <c r="C1799" s="98">
        <v>160</v>
      </c>
      <c r="D1799" s="98">
        <v>200</v>
      </c>
      <c r="E1799" s="99">
        <v>0.561639</v>
      </c>
      <c r="F1799" s="99">
        <f t="shared" si="31"/>
        <v>1.7805031345757685</v>
      </c>
      <c r="G1799" s="97">
        <v>677.80266600000004</v>
      </c>
      <c r="H1799" s="97">
        <v>1.252345</v>
      </c>
    </row>
    <row r="1800" spans="2:8" x14ac:dyDescent="0.25">
      <c r="B1800" s="97">
        <v>1.257592</v>
      </c>
      <c r="C1800" s="98">
        <v>165</v>
      </c>
      <c r="D1800" s="98">
        <v>200</v>
      </c>
      <c r="E1800" s="99">
        <v>0.55538299999999996</v>
      </c>
      <c r="F1800" s="99">
        <f t="shared" si="31"/>
        <v>1.8005592537042006</v>
      </c>
      <c r="G1800" s="97">
        <v>681.06754899999999</v>
      </c>
      <c r="H1800" s="97">
        <v>1.257592</v>
      </c>
    </row>
    <row r="1801" spans="2:8" x14ac:dyDescent="0.25">
      <c r="B1801" s="97">
        <v>1.2627550000000001</v>
      </c>
      <c r="C1801" s="98">
        <v>170</v>
      </c>
      <c r="D1801" s="98">
        <v>200</v>
      </c>
      <c r="E1801" s="99">
        <v>0.54932000000000003</v>
      </c>
      <c r="F1801" s="99">
        <f t="shared" si="31"/>
        <v>1.8204325347702612</v>
      </c>
      <c r="G1801" s="97">
        <v>684.30525299999999</v>
      </c>
      <c r="H1801" s="97">
        <v>1.2627550000000001</v>
      </c>
    </row>
    <row r="1802" spans="2:8" x14ac:dyDescent="0.25">
      <c r="B1802" s="97">
        <v>1.2678370000000001</v>
      </c>
      <c r="C1802" s="98">
        <v>175</v>
      </c>
      <c r="D1802" s="98">
        <v>200</v>
      </c>
      <c r="E1802" s="99">
        <v>0.54343699999999995</v>
      </c>
      <c r="F1802" s="99">
        <f t="shared" si="31"/>
        <v>1.8401397034062827</v>
      </c>
      <c r="G1802" s="97">
        <v>687.51817300000005</v>
      </c>
      <c r="H1802" s="97">
        <v>1.2678370000000001</v>
      </c>
    </row>
    <row r="1803" spans="2:8" x14ac:dyDescent="0.25">
      <c r="B1803" s="97">
        <v>1.2728440000000001</v>
      </c>
      <c r="C1803" s="98">
        <v>180</v>
      </c>
      <c r="D1803" s="98">
        <v>200</v>
      </c>
      <c r="E1803" s="99">
        <v>0.53772500000000001</v>
      </c>
      <c r="F1803" s="99">
        <f t="shared" si="31"/>
        <v>1.859686642800688</v>
      </c>
      <c r="G1803" s="97">
        <v>690.70848100000001</v>
      </c>
      <c r="H1803" s="97">
        <v>1.2728440000000001</v>
      </c>
    </row>
    <row r="1804" spans="2:8" x14ac:dyDescent="0.25">
      <c r="B1804" s="97">
        <v>1.2777799999999999</v>
      </c>
      <c r="C1804" s="98">
        <v>185</v>
      </c>
      <c r="D1804" s="98">
        <v>200</v>
      </c>
      <c r="E1804" s="99">
        <v>0.53217400000000004</v>
      </c>
      <c r="F1804" s="99">
        <f t="shared" si="31"/>
        <v>1.8790846602802842</v>
      </c>
      <c r="G1804" s="97">
        <v>693.878153</v>
      </c>
      <c r="H1804" s="97">
        <v>1.2777799999999999</v>
      </c>
    </row>
    <row r="1805" spans="2:8" x14ac:dyDescent="0.25">
      <c r="B1805" s="97">
        <v>1.2826489999999999</v>
      </c>
      <c r="C1805" s="98">
        <v>190</v>
      </c>
      <c r="D1805" s="98">
        <v>200</v>
      </c>
      <c r="E1805" s="99">
        <v>0.52677600000000002</v>
      </c>
      <c r="F1805" s="99">
        <f t="shared" si="31"/>
        <v>1.8983400914240587</v>
      </c>
      <c r="G1805" s="97">
        <v>697.02899200000002</v>
      </c>
      <c r="H1805" s="97">
        <v>1.2826489999999999</v>
      </c>
    </row>
    <row r="1806" spans="2:8" x14ac:dyDescent="0.25">
      <c r="B1806" s="97">
        <v>1.2874540000000001</v>
      </c>
      <c r="C1806" s="98">
        <v>195</v>
      </c>
      <c r="D1806" s="98">
        <v>200</v>
      </c>
      <c r="E1806" s="99">
        <v>0.52152100000000001</v>
      </c>
      <c r="F1806" s="99">
        <f t="shared" si="31"/>
        <v>1.9174683282168887</v>
      </c>
      <c r="G1806" s="97">
        <v>700.16264799999999</v>
      </c>
      <c r="H1806" s="97">
        <v>1.2874540000000001</v>
      </c>
    </row>
    <row r="1807" spans="2:8" x14ac:dyDescent="0.25">
      <c r="B1807" s="97">
        <v>1.2921990000000001</v>
      </c>
      <c r="C1807" s="98">
        <v>200</v>
      </c>
      <c r="D1807" s="98">
        <v>200</v>
      </c>
      <c r="E1807" s="99">
        <v>0.51640299999999995</v>
      </c>
      <c r="F1807" s="99">
        <f t="shared" si="31"/>
        <v>1.936472096405327</v>
      </c>
      <c r="G1807" s="97">
        <v>703.28062999999997</v>
      </c>
      <c r="H1807" s="97">
        <v>1.2921990000000001</v>
      </c>
    </row>
    <row r="1808" spans="2:8" x14ac:dyDescent="0.25">
      <c r="B1808" s="106">
        <v>1.3179000000000001</v>
      </c>
      <c r="C1808" s="106">
        <v>225</v>
      </c>
      <c r="E1808" s="106">
        <v>644.73</v>
      </c>
      <c r="F1808" s="106">
        <v>2.0301999999999998</v>
      </c>
      <c r="G1808" s="106">
        <v>719.86</v>
      </c>
      <c r="H1808" s="106">
        <v>1.3179000000000001</v>
      </c>
    </row>
    <row r="1809" spans="1:8" x14ac:dyDescent="0.25">
      <c r="B1809" s="106">
        <v>1.3395999999999999</v>
      </c>
      <c r="C1809" s="106">
        <v>250</v>
      </c>
      <c r="E1809" s="106">
        <v>656.48</v>
      </c>
      <c r="F1809" s="106">
        <v>2.1213000000000002</v>
      </c>
      <c r="G1809" s="106">
        <v>734.98</v>
      </c>
      <c r="H1809" s="106">
        <v>1.3395999999999999</v>
      </c>
    </row>
    <row r="1810" spans="1:8" x14ac:dyDescent="0.25">
      <c r="B1810" s="106">
        <v>1.3604000000000001</v>
      </c>
      <c r="C1810" s="106">
        <v>275</v>
      </c>
      <c r="E1810" s="106">
        <v>668.16</v>
      </c>
      <c r="F1810" s="106">
        <v>2.2105999999999999</v>
      </c>
      <c r="G1810" s="106">
        <v>749.97</v>
      </c>
      <c r="H1810" s="106">
        <v>1.3604000000000001</v>
      </c>
    </row>
    <row r="1811" spans="1:8" x14ac:dyDescent="0.25">
      <c r="B1811" s="106">
        <v>1.3804000000000001</v>
      </c>
      <c r="C1811" s="106">
        <v>300</v>
      </c>
      <c r="E1811" s="106">
        <v>679.83</v>
      </c>
      <c r="F1811" s="106">
        <v>2.2987000000000002</v>
      </c>
      <c r="G1811" s="106">
        <v>764.91</v>
      </c>
      <c r="H1811" s="106">
        <v>1.3804000000000001</v>
      </c>
    </row>
    <row r="1812" spans="1:8" x14ac:dyDescent="0.25">
      <c r="B1812" s="106">
        <v>1.4</v>
      </c>
      <c r="C1812" t="s">
        <v>374</v>
      </c>
      <c r="D1812" t="s">
        <v>374</v>
      </c>
      <c r="E1812" t="s">
        <v>374</v>
      </c>
      <c r="F1812" t="s">
        <v>374</v>
      </c>
      <c r="G1812" t="s">
        <v>374</v>
      </c>
      <c r="H1812" t="s">
        <v>374</v>
      </c>
    </row>
    <row r="1815" spans="1:8" ht="15.75" x14ac:dyDescent="0.25">
      <c r="A1815" s="92">
        <v>225</v>
      </c>
      <c r="C1815" s="109" t="s">
        <v>425</v>
      </c>
      <c r="D1815" s="101"/>
      <c r="E1815" s="110"/>
      <c r="F1815" s="110"/>
      <c r="G1815" s="111"/>
    </row>
    <row r="1816" spans="1:8" x14ac:dyDescent="0.25">
      <c r="B1816" s="96" t="s">
        <v>266</v>
      </c>
      <c r="C1816" s="96" t="s">
        <v>375</v>
      </c>
      <c r="D1816" s="96" t="s">
        <v>380</v>
      </c>
      <c r="E1816" s="96" t="s">
        <v>381</v>
      </c>
      <c r="F1816" s="96" t="s">
        <v>382</v>
      </c>
      <c r="G1816" s="96" t="s">
        <v>265</v>
      </c>
      <c r="H1816" s="96" t="s">
        <v>266</v>
      </c>
    </row>
    <row r="1817" spans="1:8" x14ac:dyDescent="0.25">
      <c r="B1817" s="96" t="s">
        <v>383</v>
      </c>
      <c r="C1817" s="96" t="s">
        <v>384</v>
      </c>
      <c r="D1817" s="96" t="s">
        <v>385</v>
      </c>
      <c r="E1817" s="96" t="s">
        <v>386</v>
      </c>
      <c r="F1817" s="96" t="s">
        <v>387</v>
      </c>
      <c r="G1817" s="96" t="s">
        <v>388</v>
      </c>
      <c r="H1817" s="96" t="s">
        <v>383</v>
      </c>
    </row>
    <row r="1818" spans="1:8" x14ac:dyDescent="0.25">
      <c r="B1818" s="97">
        <v>0.20942</v>
      </c>
      <c r="C1818" s="98">
        <v>50</v>
      </c>
      <c r="D1818" s="98">
        <v>225</v>
      </c>
      <c r="E1818" s="99">
        <v>39.040875</v>
      </c>
      <c r="F1818" s="99">
        <f t="shared" ref="F1818:F1858" si="32">1/E1818</f>
        <v>2.5614180010053566E-2</v>
      </c>
      <c r="G1818" s="97">
        <v>98.055458000000002</v>
      </c>
      <c r="H1818" s="97">
        <v>0.20942</v>
      </c>
    </row>
    <row r="1819" spans="1:8" x14ac:dyDescent="0.25">
      <c r="B1819" s="97">
        <v>0.220331</v>
      </c>
      <c r="C1819" s="98">
        <v>55</v>
      </c>
      <c r="D1819" s="98">
        <v>225</v>
      </c>
      <c r="E1819" s="99">
        <v>38.792287999999999</v>
      </c>
      <c r="F1819" s="99">
        <f t="shared" si="32"/>
        <v>2.5778319649513843E-2</v>
      </c>
      <c r="G1819" s="97">
        <v>103.64379700000001</v>
      </c>
      <c r="H1819" s="97">
        <v>0.220331</v>
      </c>
    </row>
    <row r="1820" spans="1:8" x14ac:dyDescent="0.25">
      <c r="B1820" s="97">
        <v>0.23118</v>
      </c>
      <c r="C1820" s="98">
        <v>60</v>
      </c>
      <c r="D1820" s="98">
        <v>225</v>
      </c>
      <c r="E1820" s="99">
        <v>38.540799</v>
      </c>
      <c r="F1820" s="99">
        <f t="shared" si="32"/>
        <v>2.5946530065450901E-2</v>
      </c>
      <c r="G1820" s="97">
        <v>109.254277</v>
      </c>
      <c r="H1820" s="97">
        <v>0.23118</v>
      </c>
    </row>
    <row r="1821" spans="1:8" x14ac:dyDescent="0.25">
      <c r="B1821" s="97">
        <v>0.24196899999999999</v>
      </c>
      <c r="C1821" s="98">
        <v>65</v>
      </c>
      <c r="D1821" s="98">
        <v>225</v>
      </c>
      <c r="E1821" s="99">
        <v>38.286251</v>
      </c>
      <c r="F1821" s="99">
        <f t="shared" si="32"/>
        <v>2.6119036831263525E-2</v>
      </c>
      <c r="G1821" s="97">
        <v>114.888058</v>
      </c>
      <c r="H1821" s="97">
        <v>0.24196899999999999</v>
      </c>
    </row>
    <row r="1822" spans="1:8" x14ac:dyDescent="0.25">
      <c r="B1822" s="97">
        <v>0.25270199999999998</v>
      </c>
      <c r="C1822" s="98">
        <v>70</v>
      </c>
      <c r="D1822" s="98">
        <v>225</v>
      </c>
      <c r="E1822" s="99">
        <v>38.028475</v>
      </c>
      <c r="F1822" s="99">
        <f t="shared" si="32"/>
        <v>2.6296084710207286E-2</v>
      </c>
      <c r="G1822" s="97">
        <v>120.54643900000001</v>
      </c>
      <c r="H1822" s="97">
        <v>0.25270199999999998</v>
      </c>
    </row>
    <row r="1823" spans="1:8" x14ac:dyDescent="0.25">
      <c r="B1823" s="97">
        <v>0.26338400000000001</v>
      </c>
      <c r="C1823" s="98">
        <v>75</v>
      </c>
      <c r="D1823" s="98">
        <v>225</v>
      </c>
      <c r="E1823" s="99">
        <v>37.767280999999997</v>
      </c>
      <c r="F1823" s="99">
        <f t="shared" si="32"/>
        <v>2.6477945288145049E-2</v>
      </c>
      <c r="G1823" s="97">
        <v>126.23086600000001</v>
      </c>
      <c r="H1823" s="97">
        <v>0.26338400000000001</v>
      </c>
    </row>
    <row r="1824" spans="1:8" x14ac:dyDescent="0.25">
      <c r="B1824" s="97">
        <v>0.27401799999999998</v>
      </c>
      <c r="C1824" s="98">
        <v>80</v>
      </c>
      <c r="D1824" s="98">
        <v>225</v>
      </c>
      <c r="E1824" s="99">
        <v>37.502464000000003</v>
      </c>
      <c r="F1824" s="99">
        <f t="shared" si="32"/>
        <v>2.6664914604011082E-2</v>
      </c>
      <c r="G1824" s="97">
        <v>131.94295099999999</v>
      </c>
      <c r="H1824" s="97">
        <v>0.27401799999999998</v>
      </c>
    </row>
    <row r="1825" spans="2:8" x14ac:dyDescent="0.25">
      <c r="B1825" s="97">
        <v>0.28460800000000003</v>
      </c>
      <c r="C1825" s="98">
        <v>85</v>
      </c>
      <c r="D1825" s="98">
        <v>225</v>
      </c>
      <c r="E1825" s="99">
        <v>37.233792999999999</v>
      </c>
      <c r="F1825" s="99">
        <f t="shared" si="32"/>
        <v>2.6857322862594204E-2</v>
      </c>
      <c r="G1825" s="97">
        <v>137.684485</v>
      </c>
      <c r="H1825" s="97">
        <v>0.28460800000000003</v>
      </c>
    </row>
    <row r="1826" spans="2:8" x14ac:dyDescent="0.25">
      <c r="B1826" s="97">
        <v>0.29515799999999998</v>
      </c>
      <c r="C1826" s="98">
        <v>90</v>
      </c>
      <c r="D1826" s="98">
        <v>225</v>
      </c>
      <c r="E1826" s="99">
        <v>36.961016999999998</v>
      </c>
      <c r="F1826" s="99">
        <f t="shared" si="32"/>
        <v>2.7055532589917643E-2</v>
      </c>
      <c r="G1826" s="97">
        <v>143.457461</v>
      </c>
      <c r="H1826" s="97">
        <v>0.29515799999999998</v>
      </c>
    </row>
    <row r="1827" spans="2:8" x14ac:dyDescent="0.25">
      <c r="B1827" s="97">
        <v>0.305674</v>
      </c>
      <c r="C1827" s="98">
        <v>95</v>
      </c>
      <c r="D1827" s="98">
        <v>225</v>
      </c>
      <c r="E1827" s="99">
        <v>36.683853999999997</v>
      </c>
      <c r="F1827" s="99">
        <f t="shared" si="32"/>
        <v>2.7259949295403915E-2</v>
      </c>
      <c r="G1827" s="97">
        <v>149.264096</v>
      </c>
      <c r="H1827" s="97">
        <v>0.305674</v>
      </c>
    </row>
    <row r="1828" spans="2:8" x14ac:dyDescent="0.25">
      <c r="B1828" s="97">
        <v>0.31616100000000003</v>
      </c>
      <c r="C1828" s="98">
        <v>100</v>
      </c>
      <c r="D1828" s="98">
        <v>225</v>
      </c>
      <c r="E1828" s="99">
        <v>36.401994000000002</v>
      </c>
      <c r="F1828" s="99">
        <f t="shared" si="32"/>
        <v>2.7471022603871645E-2</v>
      </c>
      <c r="G1828" s="97">
        <v>155.10686000000001</v>
      </c>
      <c r="H1828" s="97">
        <v>0.31616100000000003</v>
      </c>
    </row>
    <row r="1829" spans="2:8" x14ac:dyDescent="0.25">
      <c r="B1829" s="97">
        <v>1.165508</v>
      </c>
      <c r="C1829" s="98">
        <v>105</v>
      </c>
      <c r="D1829" s="98">
        <v>225</v>
      </c>
      <c r="E1829" s="99">
        <v>0.74629599999999996</v>
      </c>
      <c r="F1829" s="99">
        <f t="shared" si="32"/>
        <v>1.3399509041988702</v>
      </c>
      <c r="G1829" s="97">
        <v>633.69807900000001</v>
      </c>
      <c r="H1829" s="97">
        <v>1.165508</v>
      </c>
    </row>
    <row r="1830" spans="2:8" x14ac:dyDescent="0.25">
      <c r="B1830" s="97">
        <v>1.172742</v>
      </c>
      <c r="C1830" s="98">
        <v>110</v>
      </c>
      <c r="D1830" s="98">
        <v>225</v>
      </c>
      <c r="E1830" s="99">
        <v>0.734155</v>
      </c>
      <c r="F1830" s="99">
        <f t="shared" si="32"/>
        <v>1.3621101810925487</v>
      </c>
      <c r="G1830" s="97">
        <v>637.801242</v>
      </c>
      <c r="H1830" s="97">
        <v>1.172742</v>
      </c>
    </row>
    <row r="1831" spans="2:8" x14ac:dyDescent="0.25">
      <c r="B1831" s="97">
        <v>1.1797230000000001</v>
      </c>
      <c r="C1831" s="98">
        <v>115</v>
      </c>
      <c r="D1831" s="98">
        <v>225</v>
      </c>
      <c r="E1831" s="99">
        <v>0.72267899999999996</v>
      </c>
      <c r="F1831" s="99">
        <f t="shared" si="32"/>
        <v>1.3837402221456554</v>
      </c>
      <c r="G1831" s="97">
        <v>641.79551200000003</v>
      </c>
      <c r="H1831" s="97">
        <v>1.1797230000000001</v>
      </c>
    </row>
    <row r="1832" spans="2:8" x14ac:dyDescent="0.25">
      <c r="B1832" s="97">
        <v>1.186477</v>
      </c>
      <c r="C1832" s="98">
        <v>120</v>
      </c>
      <c r="D1832" s="98">
        <v>225</v>
      </c>
      <c r="E1832" s="99">
        <v>0.71179599999999998</v>
      </c>
      <c r="F1832" s="99">
        <f t="shared" si="32"/>
        <v>1.4048969086648422</v>
      </c>
      <c r="G1832" s="97">
        <v>645.69353000000001</v>
      </c>
      <c r="H1832" s="97">
        <v>1.186477</v>
      </c>
    </row>
    <row r="1833" spans="2:8" x14ac:dyDescent="0.25">
      <c r="B1833" s="97">
        <v>1.1930259999999999</v>
      </c>
      <c r="C1833" s="98">
        <v>125</v>
      </c>
      <c r="D1833" s="98">
        <v>225</v>
      </c>
      <c r="E1833" s="99">
        <v>0.70144399999999996</v>
      </c>
      <c r="F1833" s="99">
        <f t="shared" si="32"/>
        <v>1.4256305563950937</v>
      </c>
      <c r="G1833" s="97">
        <v>649.50603100000001</v>
      </c>
      <c r="H1833" s="97">
        <v>1.1930259999999999</v>
      </c>
    </row>
    <row r="1834" spans="2:8" x14ac:dyDescent="0.25">
      <c r="B1834" s="97">
        <v>1.199389</v>
      </c>
      <c r="C1834" s="98">
        <v>130</v>
      </c>
      <c r="D1834" s="98">
        <v>225</v>
      </c>
      <c r="E1834" s="99">
        <v>0.69157299999999999</v>
      </c>
      <c r="F1834" s="99">
        <f t="shared" si="32"/>
        <v>1.4459789494384541</v>
      </c>
      <c r="G1834" s="97">
        <v>653.24221599999998</v>
      </c>
      <c r="H1834" s="97">
        <v>1.199389</v>
      </c>
    </row>
    <row r="1835" spans="2:8" x14ac:dyDescent="0.25">
      <c r="B1835" s="97">
        <v>1.2055830000000001</v>
      </c>
      <c r="C1835" s="98">
        <v>135</v>
      </c>
      <c r="D1835" s="98">
        <v>225</v>
      </c>
      <c r="E1835" s="99">
        <v>0.68213800000000002</v>
      </c>
      <c r="F1835" s="99">
        <f t="shared" si="32"/>
        <v>1.4659790247721136</v>
      </c>
      <c r="G1835" s="97">
        <v>656.910032</v>
      </c>
      <c r="H1835" s="97">
        <v>1.2055830000000001</v>
      </c>
    </row>
    <row r="1836" spans="2:8" x14ac:dyDescent="0.25">
      <c r="B1836" s="97">
        <v>1.211622</v>
      </c>
      <c r="C1836" s="98">
        <v>140</v>
      </c>
      <c r="D1836" s="98">
        <v>225</v>
      </c>
      <c r="E1836" s="99">
        <v>0.67310000000000003</v>
      </c>
      <c r="F1836" s="99">
        <f t="shared" si="32"/>
        <v>1.4856633486851878</v>
      </c>
      <c r="G1836" s="97">
        <v>660.51639799999998</v>
      </c>
      <c r="H1836" s="97">
        <v>1.211622</v>
      </c>
    </row>
    <row r="1837" spans="2:8" x14ac:dyDescent="0.25">
      <c r="B1837" s="97">
        <v>1.2175199999999999</v>
      </c>
      <c r="C1837" s="98">
        <v>145</v>
      </c>
      <c r="D1837" s="98">
        <v>225</v>
      </c>
      <c r="E1837" s="99">
        <v>0.66442699999999999</v>
      </c>
      <c r="F1837" s="99">
        <f t="shared" si="32"/>
        <v>1.5050562364262741</v>
      </c>
      <c r="G1837" s="97">
        <v>664.06736699999999</v>
      </c>
      <c r="H1837" s="97">
        <v>1.2175199999999999</v>
      </c>
    </row>
    <row r="1838" spans="2:8" x14ac:dyDescent="0.25">
      <c r="B1838" s="97">
        <v>1.2232860000000001</v>
      </c>
      <c r="C1838" s="98">
        <v>150</v>
      </c>
      <c r="D1838" s="98">
        <v>225</v>
      </c>
      <c r="E1838" s="99">
        <v>0.65608900000000003</v>
      </c>
      <c r="F1838" s="99">
        <f t="shared" si="32"/>
        <v>1.5241834568175963</v>
      </c>
      <c r="G1838" s="97">
        <v>667.56827299999998</v>
      </c>
      <c r="H1838" s="97">
        <v>1.2232860000000001</v>
      </c>
    </row>
    <row r="1839" spans="2:8" x14ac:dyDescent="0.25">
      <c r="B1839" s="97">
        <v>1.2289300000000001</v>
      </c>
      <c r="C1839" s="98">
        <v>155</v>
      </c>
      <c r="D1839" s="98">
        <v>225</v>
      </c>
      <c r="E1839" s="99">
        <v>0.648061</v>
      </c>
      <c r="F1839" s="99">
        <f t="shared" si="32"/>
        <v>1.5430646189170465</v>
      </c>
      <c r="G1839" s="97">
        <v>671.02383299999997</v>
      </c>
      <c r="H1839" s="97">
        <v>1.2289300000000001</v>
      </c>
    </row>
    <row r="1840" spans="2:8" x14ac:dyDescent="0.25">
      <c r="B1840" s="97">
        <v>1.2344630000000001</v>
      </c>
      <c r="C1840" s="98">
        <v>160</v>
      </c>
      <c r="D1840" s="98">
        <v>225</v>
      </c>
      <c r="E1840" s="99">
        <v>0.64032</v>
      </c>
      <c r="F1840" s="99">
        <f t="shared" si="32"/>
        <v>1.5617191404297852</v>
      </c>
      <c r="G1840" s="97">
        <v>674.43824300000006</v>
      </c>
      <c r="H1840" s="97">
        <v>1.2344630000000001</v>
      </c>
    </row>
    <row r="1841" spans="2:8" x14ac:dyDescent="0.25">
      <c r="B1841" s="97">
        <v>1.2398910000000001</v>
      </c>
      <c r="C1841" s="98">
        <v>165</v>
      </c>
      <c r="D1841" s="98">
        <v>225</v>
      </c>
      <c r="E1841" s="99">
        <v>0.63284499999999999</v>
      </c>
      <c r="F1841" s="99">
        <f t="shared" si="32"/>
        <v>1.58016575938816</v>
      </c>
      <c r="G1841" s="97">
        <v>677.815246</v>
      </c>
      <c r="H1841" s="97">
        <v>1.2398910000000001</v>
      </c>
    </row>
    <row r="1842" spans="2:8" x14ac:dyDescent="0.25">
      <c r="B1842" s="97">
        <v>1.2452209999999999</v>
      </c>
      <c r="C1842" s="98">
        <v>170</v>
      </c>
      <c r="D1842" s="98">
        <v>225</v>
      </c>
      <c r="E1842" s="99">
        <v>0.62561900000000004</v>
      </c>
      <c r="F1842" s="99">
        <f t="shared" si="32"/>
        <v>1.598416927874633</v>
      </c>
      <c r="G1842" s="97">
        <v>681.15819799999997</v>
      </c>
      <c r="H1842" s="97">
        <v>1.2452209999999999</v>
      </c>
    </row>
    <row r="1843" spans="2:8" x14ac:dyDescent="0.25">
      <c r="B1843" s="97">
        <v>1.2504599999999999</v>
      </c>
      <c r="C1843" s="98">
        <v>175</v>
      </c>
      <c r="D1843" s="98">
        <v>225</v>
      </c>
      <c r="E1843" s="99">
        <v>0.61862600000000001</v>
      </c>
      <c r="F1843" s="99">
        <f t="shared" si="32"/>
        <v>1.6164855664003777</v>
      </c>
      <c r="G1843" s="97">
        <v>684.47011599999996</v>
      </c>
      <c r="H1843" s="97">
        <v>1.2504599999999999</v>
      </c>
    </row>
    <row r="1844" spans="2:8" x14ac:dyDescent="0.25">
      <c r="B1844" s="97">
        <v>1.2556130000000001</v>
      </c>
      <c r="C1844" s="98">
        <v>180</v>
      </c>
      <c r="D1844" s="98">
        <v>225</v>
      </c>
      <c r="E1844" s="99">
        <v>0.61185</v>
      </c>
      <c r="F1844" s="99">
        <f t="shared" si="32"/>
        <v>1.6343875132793986</v>
      </c>
      <c r="G1844" s="97">
        <v>687.75372400000003</v>
      </c>
      <c r="H1844" s="97">
        <v>1.2556130000000001</v>
      </c>
    </row>
    <row r="1845" spans="2:8" x14ac:dyDescent="0.25">
      <c r="B1845" s="97">
        <v>1.2606869999999999</v>
      </c>
      <c r="C1845" s="98">
        <v>185</v>
      </c>
      <c r="D1845" s="98">
        <v>225</v>
      </c>
      <c r="E1845" s="99">
        <v>0.60527900000000001</v>
      </c>
      <c r="F1845" s="99">
        <f t="shared" si="32"/>
        <v>1.6521306703189769</v>
      </c>
      <c r="G1845" s="97">
        <v>691.01148499999999</v>
      </c>
      <c r="H1845" s="97">
        <v>1.2606869999999999</v>
      </c>
    </row>
    <row r="1846" spans="2:8" x14ac:dyDescent="0.25">
      <c r="B1846" s="97">
        <v>1.265684</v>
      </c>
      <c r="C1846" s="98">
        <v>190</v>
      </c>
      <c r="D1846" s="98">
        <v>225</v>
      </c>
      <c r="E1846" s="99">
        <v>0.59890100000000002</v>
      </c>
      <c r="F1846" s="99">
        <f t="shared" si="32"/>
        <v>1.6697250463766131</v>
      </c>
      <c r="G1846" s="97">
        <v>694.24563499999999</v>
      </c>
      <c r="H1846" s="97">
        <v>1.265684</v>
      </c>
    </row>
    <row r="1847" spans="2:8" x14ac:dyDescent="0.25">
      <c r="B1847" s="97">
        <v>1.27061</v>
      </c>
      <c r="C1847" s="98">
        <v>195</v>
      </c>
      <c r="D1847" s="98">
        <v>225</v>
      </c>
      <c r="E1847" s="99">
        <v>0.59270500000000004</v>
      </c>
      <c r="F1847" s="99">
        <f t="shared" si="32"/>
        <v>1.6871799630507587</v>
      </c>
      <c r="G1847" s="97">
        <v>697.45820900000001</v>
      </c>
      <c r="H1847" s="97">
        <v>1.27061</v>
      </c>
    </row>
    <row r="1848" spans="2:8" x14ac:dyDescent="0.25">
      <c r="B1848" s="97">
        <v>1.275469</v>
      </c>
      <c r="C1848" s="98">
        <v>200</v>
      </c>
      <c r="D1848" s="98">
        <v>225</v>
      </c>
      <c r="E1848" s="99">
        <v>0.58667999999999998</v>
      </c>
      <c r="F1848" s="99">
        <f t="shared" si="32"/>
        <v>1.7045067157564602</v>
      </c>
      <c r="G1848" s="97">
        <v>700.65106200000002</v>
      </c>
      <c r="H1848" s="97">
        <v>1.275469</v>
      </c>
    </row>
    <row r="1849" spans="2:8" x14ac:dyDescent="0.25">
      <c r="B1849" s="97">
        <v>1.2803100000000001</v>
      </c>
      <c r="C1849" s="98">
        <v>205</v>
      </c>
      <c r="D1849" s="98">
        <v>225</v>
      </c>
      <c r="E1849" s="99">
        <v>0.58076099999999997</v>
      </c>
      <c r="F1849" s="99">
        <f t="shared" si="32"/>
        <v>1.7218787074200921</v>
      </c>
      <c r="G1849" s="97">
        <v>703.85692200000005</v>
      </c>
      <c r="H1849" s="97">
        <v>1.2803100000000001</v>
      </c>
    </row>
    <row r="1850" spans="2:8" x14ac:dyDescent="0.25">
      <c r="B1850" s="97">
        <v>1.2849969999999999</v>
      </c>
      <c r="C1850" s="98">
        <v>210</v>
      </c>
      <c r="D1850" s="98">
        <v>225</v>
      </c>
      <c r="E1850" s="99">
        <v>0.57510899999999998</v>
      </c>
      <c r="F1850" s="99">
        <f t="shared" si="32"/>
        <v>1.7388008186274255</v>
      </c>
      <c r="G1850" s="97">
        <v>706.98425599999996</v>
      </c>
      <c r="H1850" s="97">
        <v>1.2849969999999999</v>
      </c>
    </row>
    <row r="1851" spans="2:8" x14ac:dyDescent="0.25">
      <c r="B1851" s="97">
        <v>1.289674</v>
      </c>
      <c r="C1851" s="98">
        <v>215</v>
      </c>
      <c r="D1851" s="98">
        <v>225</v>
      </c>
      <c r="E1851" s="99">
        <v>0.56954800000000005</v>
      </c>
      <c r="F1851" s="99">
        <f t="shared" si="32"/>
        <v>1.7557782662743087</v>
      </c>
      <c r="G1851" s="97">
        <v>710.12758099999996</v>
      </c>
      <c r="H1851" s="97">
        <v>1.289674</v>
      </c>
    </row>
    <row r="1852" spans="2:8" x14ac:dyDescent="0.25">
      <c r="B1852" s="97">
        <v>1.294295</v>
      </c>
      <c r="C1852" s="98">
        <v>220</v>
      </c>
      <c r="D1852" s="98">
        <v>225</v>
      </c>
      <c r="E1852" s="99">
        <v>0.56412499999999999</v>
      </c>
      <c r="F1852" s="99">
        <f t="shared" si="32"/>
        <v>1.772656769333038</v>
      </c>
      <c r="G1852" s="97">
        <v>713.25718300000005</v>
      </c>
      <c r="H1852" s="97">
        <v>1.294295</v>
      </c>
    </row>
    <row r="1853" spans="2:8" x14ac:dyDescent="0.25">
      <c r="B1853" s="97">
        <v>1.2988649999999999</v>
      </c>
      <c r="C1853" s="98">
        <v>225</v>
      </c>
      <c r="D1853" s="98">
        <v>225</v>
      </c>
      <c r="E1853" s="99">
        <v>0.558836</v>
      </c>
      <c r="F1853" s="99">
        <f t="shared" si="32"/>
        <v>1.7894337515836489</v>
      </c>
      <c r="G1853" s="97">
        <v>716.37427400000001</v>
      </c>
      <c r="H1853" s="97">
        <v>1.2988649999999999</v>
      </c>
    </row>
    <row r="1854" spans="2:8" x14ac:dyDescent="0.25">
      <c r="B1854" s="97">
        <v>1.3033840000000001</v>
      </c>
      <c r="C1854" s="98">
        <v>230</v>
      </c>
      <c r="D1854" s="98">
        <v>225</v>
      </c>
      <c r="E1854" s="99">
        <v>0.55367299999999997</v>
      </c>
      <c r="F1854" s="99">
        <f t="shared" si="32"/>
        <v>1.8061202189740155</v>
      </c>
      <c r="G1854" s="97">
        <v>719.47997399999997</v>
      </c>
      <c r="H1854" s="97">
        <v>1.3033840000000001</v>
      </c>
    </row>
    <row r="1855" spans="2:8" x14ac:dyDescent="0.25">
      <c r="B1855" s="97">
        <v>1.3078559999999999</v>
      </c>
      <c r="C1855" s="98">
        <v>235</v>
      </c>
      <c r="D1855" s="98">
        <v>225</v>
      </c>
      <c r="E1855" s="99">
        <v>0.54863099999999998</v>
      </c>
      <c r="F1855" s="99">
        <f t="shared" si="32"/>
        <v>1.8227187308044934</v>
      </c>
      <c r="G1855" s="97">
        <v>722.57532000000003</v>
      </c>
      <c r="H1855" s="97">
        <v>1.3078559999999999</v>
      </c>
    </row>
    <row r="1856" spans="2:8" x14ac:dyDescent="0.25">
      <c r="B1856" s="97">
        <v>1.3122830000000001</v>
      </c>
      <c r="C1856" s="98">
        <v>240</v>
      </c>
      <c r="D1856" s="98">
        <v>225</v>
      </c>
      <c r="E1856" s="99">
        <v>0.54370399999999997</v>
      </c>
      <c r="F1856" s="99">
        <f t="shared" si="32"/>
        <v>1.8392360549122317</v>
      </c>
      <c r="G1856" s="97">
        <v>725.66127300000005</v>
      </c>
      <c r="H1856" s="97">
        <v>1.3122830000000001</v>
      </c>
    </row>
    <row r="1857" spans="1:8" x14ac:dyDescent="0.25">
      <c r="B1857" s="97">
        <v>1.316665</v>
      </c>
      <c r="C1857" s="98">
        <v>245</v>
      </c>
      <c r="D1857" s="98">
        <v>225</v>
      </c>
      <c r="E1857" s="99">
        <v>0.53888800000000003</v>
      </c>
      <c r="F1857" s="99">
        <f t="shared" si="32"/>
        <v>1.8556731639969715</v>
      </c>
      <c r="G1857" s="97">
        <v>728.73872500000004</v>
      </c>
      <c r="H1857" s="97">
        <v>1.316665</v>
      </c>
    </row>
    <row r="1858" spans="1:8" x14ac:dyDescent="0.25">
      <c r="B1858" s="97">
        <v>1.3210059999999999</v>
      </c>
      <c r="C1858" s="98">
        <v>250</v>
      </c>
      <c r="D1858" s="98">
        <v>225</v>
      </c>
      <c r="E1858" s="99">
        <v>0.53417800000000004</v>
      </c>
      <c r="F1858" s="99">
        <f t="shared" si="32"/>
        <v>1.8720351643085262</v>
      </c>
      <c r="G1858" s="97">
        <v>731.80850699999996</v>
      </c>
      <c r="H1858" s="97">
        <v>1.3210059999999999</v>
      </c>
    </row>
    <row r="1859" spans="1:8" x14ac:dyDescent="0.25">
      <c r="B1859" s="106">
        <v>1.3448</v>
      </c>
      <c r="C1859" s="106">
        <v>275</v>
      </c>
      <c r="E1859" s="106">
        <v>666.82</v>
      </c>
      <c r="F1859" s="106">
        <v>1.9531000000000001</v>
      </c>
      <c r="G1859" s="106">
        <v>748.14</v>
      </c>
      <c r="H1859" s="106">
        <v>1.3448</v>
      </c>
    </row>
    <row r="1860" spans="1:8" x14ac:dyDescent="0.25">
      <c r="B1860" s="106">
        <v>1.365</v>
      </c>
      <c r="C1860" s="106">
        <v>300</v>
      </c>
      <c r="E1860" s="106">
        <v>678.62</v>
      </c>
      <c r="F1860" s="106">
        <v>2.0324</v>
      </c>
      <c r="G1860" s="106">
        <v>763.24</v>
      </c>
      <c r="H1860" s="106">
        <v>1.365</v>
      </c>
    </row>
    <row r="1861" spans="1:8" x14ac:dyDescent="0.25">
      <c r="B1861" s="97">
        <v>1.38</v>
      </c>
      <c r="C1861" t="s">
        <v>374</v>
      </c>
      <c r="D1861" t="s">
        <v>374</v>
      </c>
      <c r="E1861" t="s">
        <v>374</v>
      </c>
      <c r="F1861" t="s">
        <v>374</v>
      </c>
      <c r="G1861" t="s">
        <v>374</v>
      </c>
      <c r="H1861" t="s">
        <v>374</v>
      </c>
    </row>
    <row r="1864" spans="1:8" ht="15.75" x14ac:dyDescent="0.25">
      <c r="A1864" s="92">
        <v>250</v>
      </c>
      <c r="C1864" s="109" t="s">
        <v>426</v>
      </c>
      <c r="D1864" s="101"/>
      <c r="E1864" s="110"/>
      <c r="F1864" s="110"/>
      <c r="G1864" s="111"/>
    </row>
    <row r="1865" spans="1:8" x14ac:dyDescent="0.25">
      <c r="B1865" s="96" t="s">
        <v>266</v>
      </c>
      <c r="C1865" s="96" t="s">
        <v>375</v>
      </c>
      <c r="D1865" s="96" t="s">
        <v>380</v>
      </c>
      <c r="E1865" s="96" t="s">
        <v>381</v>
      </c>
      <c r="F1865" s="96" t="s">
        <v>382</v>
      </c>
      <c r="G1865" s="96" t="s">
        <v>265</v>
      </c>
      <c r="H1865" s="96" t="s">
        <v>266</v>
      </c>
    </row>
    <row r="1866" spans="1:8" x14ac:dyDescent="0.25">
      <c r="B1866" s="96" t="s">
        <v>383</v>
      </c>
      <c r="C1866" s="96" t="s">
        <v>384</v>
      </c>
      <c r="D1866" s="96" t="s">
        <v>385</v>
      </c>
      <c r="E1866" s="96" t="s">
        <v>386</v>
      </c>
      <c r="F1866" s="96" t="s">
        <v>387</v>
      </c>
      <c r="G1866" s="96" t="s">
        <v>388</v>
      </c>
      <c r="H1866" s="96" t="s">
        <v>383</v>
      </c>
    </row>
    <row r="1867" spans="1:8" x14ac:dyDescent="0.25">
      <c r="B1867" s="97">
        <v>0.20927000000000001</v>
      </c>
      <c r="C1867" s="98">
        <v>50</v>
      </c>
      <c r="D1867" s="98">
        <v>250</v>
      </c>
      <c r="E1867" s="99">
        <v>39.049281999999998</v>
      </c>
      <c r="F1867" s="99">
        <f t="shared" ref="F1867:F1902" si="33">1/E1867</f>
        <v>2.5608665480712296E-2</v>
      </c>
      <c r="G1867" s="97">
        <v>98.097553000000005</v>
      </c>
      <c r="H1867" s="97">
        <v>0.20927000000000001</v>
      </c>
    </row>
    <row r="1868" spans="1:8" x14ac:dyDescent="0.25">
      <c r="B1868" s="97">
        <v>0.22017700000000001</v>
      </c>
      <c r="C1868" s="98">
        <v>55</v>
      </c>
      <c r="D1868" s="98">
        <v>250</v>
      </c>
      <c r="E1868" s="99">
        <v>38.800981999999998</v>
      </c>
      <c r="F1868" s="99">
        <f t="shared" si="33"/>
        <v>2.5772543591809097E-2</v>
      </c>
      <c r="G1868" s="97">
        <v>103.684016</v>
      </c>
      <c r="H1868" s="97">
        <v>0.22017700000000001</v>
      </c>
    </row>
    <row r="1869" spans="1:8" x14ac:dyDescent="0.25">
      <c r="B1869" s="97">
        <v>0.23102200000000001</v>
      </c>
      <c r="C1869" s="98">
        <v>60</v>
      </c>
      <c r="D1869" s="98">
        <v>250</v>
      </c>
      <c r="E1869" s="99">
        <v>38.549795000000003</v>
      </c>
      <c r="F1869" s="99">
        <f t="shared" si="33"/>
        <v>2.5940475169842016E-2</v>
      </c>
      <c r="G1869" s="97">
        <v>109.29249900000001</v>
      </c>
      <c r="H1869" s="97">
        <v>0.23102200000000001</v>
      </c>
    </row>
    <row r="1870" spans="1:8" x14ac:dyDescent="0.25">
      <c r="B1870" s="97">
        <v>0.24180699999999999</v>
      </c>
      <c r="C1870" s="98">
        <v>65</v>
      </c>
      <c r="D1870" s="98">
        <v>250</v>
      </c>
      <c r="E1870" s="99">
        <v>38.295569</v>
      </c>
      <c r="F1870" s="99">
        <f t="shared" si="33"/>
        <v>2.611268160031778E-2</v>
      </c>
      <c r="G1870" s="97">
        <v>114.92415099999999</v>
      </c>
      <c r="H1870" s="97">
        <v>0.24180699999999999</v>
      </c>
    </row>
    <row r="1871" spans="1:8" x14ac:dyDescent="0.25">
      <c r="B1871" s="97">
        <v>0.25253599999999998</v>
      </c>
      <c r="C1871" s="98">
        <v>70</v>
      </c>
      <c r="D1871" s="98">
        <v>250</v>
      </c>
      <c r="E1871" s="99">
        <v>38.038133999999999</v>
      </c>
      <c r="F1871" s="99">
        <f t="shared" si="33"/>
        <v>2.6289407361570365E-2</v>
      </c>
      <c r="G1871" s="97">
        <v>120.580257</v>
      </c>
      <c r="H1871" s="97">
        <v>0.25253599999999998</v>
      </c>
    </row>
    <row r="1872" spans="1:8" x14ac:dyDescent="0.25">
      <c r="B1872" s="97">
        <v>0.26321299999999997</v>
      </c>
      <c r="C1872" s="98">
        <v>75</v>
      </c>
      <c r="D1872" s="98">
        <v>250</v>
      </c>
      <c r="E1872" s="99">
        <v>37.777304000000001</v>
      </c>
      <c r="F1872" s="99">
        <f t="shared" si="33"/>
        <v>2.6470920211775831E-2</v>
      </c>
      <c r="G1872" s="97">
        <v>126.262249</v>
      </c>
      <c r="H1872" s="97">
        <v>0.26321299999999997</v>
      </c>
    </row>
    <row r="1873" spans="2:8" x14ac:dyDescent="0.25">
      <c r="B1873" s="97">
        <v>0.27384199999999997</v>
      </c>
      <c r="C1873" s="98">
        <v>80</v>
      </c>
      <c r="D1873" s="98">
        <v>250</v>
      </c>
      <c r="E1873" s="99">
        <v>37.512873999999996</v>
      </c>
      <c r="F1873" s="99">
        <f t="shared" si="33"/>
        <v>2.665751496406274E-2</v>
      </c>
      <c r="G1873" s="97">
        <v>131.97172</v>
      </c>
      <c r="H1873" s="97">
        <v>0.27384199999999997</v>
      </c>
    </row>
    <row r="1874" spans="2:8" x14ac:dyDescent="0.25">
      <c r="B1874" s="97">
        <v>0.28442699999999999</v>
      </c>
      <c r="C1874" s="98">
        <v>85</v>
      </c>
      <c r="D1874" s="98">
        <v>250</v>
      </c>
      <c r="E1874" s="99">
        <v>37.244616999999998</v>
      </c>
      <c r="F1874" s="99">
        <f t="shared" si="33"/>
        <v>2.6849517609484345E-2</v>
      </c>
      <c r="G1874" s="97">
        <v>137.710444</v>
      </c>
      <c r="H1874" s="97">
        <v>0.28442699999999999</v>
      </c>
    </row>
    <row r="1875" spans="2:8" x14ac:dyDescent="0.25">
      <c r="B1875" s="97">
        <v>0.29497200000000001</v>
      </c>
      <c r="C1875" s="98">
        <v>90</v>
      </c>
      <c r="D1875" s="98">
        <v>250</v>
      </c>
      <c r="E1875" s="99">
        <v>36.972284000000002</v>
      </c>
      <c r="F1875" s="99">
        <f t="shared" si="33"/>
        <v>2.7047287638491579E-2</v>
      </c>
      <c r="G1875" s="97">
        <v>143.480391</v>
      </c>
      <c r="H1875" s="97">
        <v>0.29497200000000001</v>
      </c>
    </row>
    <row r="1876" spans="2:8" x14ac:dyDescent="0.25">
      <c r="B1876" s="97">
        <v>0.30548199999999998</v>
      </c>
      <c r="C1876" s="98">
        <v>95</v>
      </c>
      <c r="D1876" s="98">
        <v>250</v>
      </c>
      <c r="E1876" s="99">
        <v>36.695599000000001</v>
      </c>
      <c r="F1876" s="99">
        <f t="shared" si="33"/>
        <v>2.7251224322567946E-2</v>
      </c>
      <c r="G1876" s="97">
        <v>149.28375299999999</v>
      </c>
      <c r="H1876" s="97">
        <v>0.30548199999999998</v>
      </c>
    </row>
    <row r="1877" spans="2:8" x14ac:dyDescent="0.25">
      <c r="B1877" s="97">
        <v>0.31596200000000002</v>
      </c>
      <c r="C1877" s="98">
        <v>100</v>
      </c>
      <c r="D1877" s="98">
        <v>250</v>
      </c>
      <c r="E1877" s="99">
        <v>36.414253000000002</v>
      </c>
      <c r="F1877" s="99">
        <f t="shared" si="33"/>
        <v>2.7461774377192359E-2</v>
      </c>
      <c r="G1877" s="97">
        <v>155.12297000000001</v>
      </c>
      <c r="H1877" s="97">
        <v>0.31596200000000002</v>
      </c>
    </row>
    <row r="1878" spans="2:8" x14ac:dyDescent="0.25">
      <c r="B1878" s="97">
        <v>0.32641799999999999</v>
      </c>
      <c r="C1878" s="98">
        <v>105</v>
      </c>
      <c r="D1878" s="98">
        <v>250</v>
      </c>
      <c r="E1878" s="99">
        <v>36.127904999999998</v>
      </c>
      <c r="F1878" s="99">
        <f t="shared" si="33"/>
        <v>2.7679435051658822E-2</v>
      </c>
      <c r="G1878" s="97">
        <v>161.000767</v>
      </c>
      <c r="H1878" s="97">
        <v>0.32641799999999999</v>
      </c>
    </row>
    <row r="1879" spans="2:8" x14ac:dyDescent="0.25">
      <c r="B1879" s="97">
        <v>0.33685500000000002</v>
      </c>
      <c r="C1879" s="98">
        <v>110</v>
      </c>
      <c r="D1879" s="98">
        <v>250</v>
      </c>
      <c r="E1879" s="99">
        <v>35.836173000000002</v>
      </c>
      <c r="F1879" s="99">
        <f t="shared" si="33"/>
        <v>2.790476538887118E-2</v>
      </c>
      <c r="G1879" s="97">
        <v>166.92019099999999</v>
      </c>
      <c r="H1879" s="97">
        <v>0.33685500000000002</v>
      </c>
    </row>
    <row r="1880" spans="2:8" x14ac:dyDescent="0.25">
      <c r="B1880" s="97">
        <v>1.1603699999999999</v>
      </c>
      <c r="C1880" s="98">
        <v>115</v>
      </c>
      <c r="D1880" s="98">
        <v>250</v>
      </c>
      <c r="E1880" s="99">
        <v>0.82084400000000002</v>
      </c>
      <c r="F1880" s="99">
        <f t="shared" si="33"/>
        <v>1.2182582805015325</v>
      </c>
      <c r="G1880" s="97">
        <v>636.68370700000003</v>
      </c>
      <c r="H1880" s="97">
        <v>1.1603699999999999</v>
      </c>
    </row>
    <row r="1881" spans="2:8" x14ac:dyDescent="0.25">
      <c r="B1881" s="97">
        <v>1.1675690000000001</v>
      </c>
      <c r="C1881" s="98">
        <v>120</v>
      </c>
      <c r="D1881" s="98">
        <v>250</v>
      </c>
      <c r="E1881" s="99">
        <v>0.80744300000000002</v>
      </c>
      <c r="F1881" s="99">
        <f t="shared" si="33"/>
        <v>1.2384775148214797</v>
      </c>
      <c r="G1881" s="97">
        <v>640.83828200000005</v>
      </c>
      <c r="H1881" s="97">
        <v>1.1675690000000001</v>
      </c>
    </row>
    <row r="1882" spans="2:8" x14ac:dyDescent="0.25">
      <c r="B1882" s="97">
        <v>1.1745159999999999</v>
      </c>
      <c r="C1882" s="98">
        <v>125</v>
      </c>
      <c r="D1882" s="98">
        <v>250</v>
      </c>
      <c r="E1882" s="99">
        <v>0.79477900000000001</v>
      </c>
      <c r="F1882" s="99">
        <f t="shared" si="33"/>
        <v>1.2582114021633686</v>
      </c>
      <c r="G1882" s="97">
        <v>644.88271499999996</v>
      </c>
      <c r="H1882" s="97">
        <v>1.1745159999999999</v>
      </c>
    </row>
    <row r="1883" spans="2:8" x14ac:dyDescent="0.25">
      <c r="B1883" s="97">
        <v>1.181238</v>
      </c>
      <c r="C1883" s="98">
        <v>130</v>
      </c>
      <c r="D1883" s="98">
        <v>250</v>
      </c>
      <c r="E1883" s="99">
        <v>0.78277399999999997</v>
      </c>
      <c r="F1883" s="99">
        <f t="shared" si="33"/>
        <v>1.2775079397118454</v>
      </c>
      <c r="G1883" s="97">
        <v>648.82971099999997</v>
      </c>
      <c r="H1883" s="97">
        <v>1.181238</v>
      </c>
    </row>
    <row r="1884" spans="2:8" x14ac:dyDescent="0.25">
      <c r="B1884" s="97">
        <v>1.187757</v>
      </c>
      <c r="C1884" s="98">
        <v>135</v>
      </c>
      <c r="D1884" s="98">
        <v>250</v>
      </c>
      <c r="E1884" s="99">
        <v>0.77135799999999999</v>
      </c>
      <c r="F1884" s="99">
        <f t="shared" si="33"/>
        <v>1.2964148942514371</v>
      </c>
      <c r="G1884" s="97">
        <v>652.69006999999999</v>
      </c>
      <c r="H1884" s="97">
        <v>1.187757</v>
      </c>
    </row>
    <row r="1885" spans="2:8" x14ac:dyDescent="0.25">
      <c r="B1885" s="97">
        <v>1.1940919999999999</v>
      </c>
      <c r="C1885" s="98">
        <v>140</v>
      </c>
      <c r="D1885" s="98">
        <v>250</v>
      </c>
      <c r="E1885" s="99">
        <v>0.76047500000000001</v>
      </c>
      <c r="F1885" s="99">
        <f t="shared" si="33"/>
        <v>1.314967618922384</v>
      </c>
      <c r="G1885" s="97">
        <v>656.47305300000005</v>
      </c>
      <c r="H1885" s="97">
        <v>1.1940919999999999</v>
      </c>
    </row>
    <row r="1886" spans="2:8" x14ac:dyDescent="0.25">
      <c r="B1886" s="97">
        <v>1.2002600000000001</v>
      </c>
      <c r="C1886" s="98">
        <v>145</v>
      </c>
      <c r="D1886" s="98">
        <v>250</v>
      </c>
      <c r="E1886" s="99">
        <v>0.75007500000000005</v>
      </c>
      <c r="F1886" s="99">
        <f t="shared" si="33"/>
        <v>1.3332000133320001</v>
      </c>
      <c r="G1886" s="97">
        <v>660.18666800000005</v>
      </c>
      <c r="H1886" s="97">
        <v>1.2002600000000001</v>
      </c>
    </row>
    <row r="1887" spans="2:8" x14ac:dyDescent="0.25">
      <c r="B1887" s="97">
        <v>1.2062729999999999</v>
      </c>
      <c r="C1887" s="98">
        <v>150</v>
      </c>
      <c r="D1887" s="98">
        <v>250</v>
      </c>
      <c r="E1887" s="99">
        <v>0.74011700000000002</v>
      </c>
      <c r="F1887" s="99">
        <f t="shared" si="33"/>
        <v>1.3511377255217756</v>
      </c>
      <c r="G1887" s="97">
        <v>663.83788500000003</v>
      </c>
      <c r="H1887" s="97">
        <v>1.2062729999999999</v>
      </c>
    </row>
    <row r="1888" spans="2:8" x14ac:dyDescent="0.25">
      <c r="B1888" s="97">
        <v>1.2121459999999999</v>
      </c>
      <c r="C1888" s="98">
        <v>155</v>
      </c>
      <c r="D1888" s="98">
        <v>250</v>
      </c>
      <c r="E1888" s="99">
        <v>0.73056200000000004</v>
      </c>
      <c r="F1888" s="99">
        <f t="shared" si="33"/>
        <v>1.3688092181087983</v>
      </c>
      <c r="G1888" s="97">
        <v>667.43280900000002</v>
      </c>
      <c r="H1888" s="97">
        <v>1.2121459999999999</v>
      </c>
    </row>
    <row r="1889" spans="2:8" x14ac:dyDescent="0.25">
      <c r="B1889" s="97">
        <v>1.2178880000000001</v>
      </c>
      <c r="C1889" s="98">
        <v>160</v>
      </c>
      <c r="D1889" s="98">
        <v>250</v>
      </c>
      <c r="E1889" s="99">
        <v>0.72138000000000002</v>
      </c>
      <c r="F1889" s="99">
        <f t="shared" si="33"/>
        <v>1.386231944328925</v>
      </c>
      <c r="G1889" s="97">
        <v>670.97681799999998</v>
      </c>
      <c r="H1889" s="97">
        <v>1.2178880000000001</v>
      </c>
    </row>
    <row r="1890" spans="2:8" x14ac:dyDescent="0.25">
      <c r="B1890" s="97">
        <v>1.2235100000000001</v>
      </c>
      <c r="C1890" s="98">
        <v>165</v>
      </c>
      <c r="D1890" s="98">
        <v>250</v>
      </c>
      <c r="E1890" s="99">
        <v>0.71253999999999995</v>
      </c>
      <c r="F1890" s="99">
        <f t="shared" si="33"/>
        <v>1.4034299828781542</v>
      </c>
      <c r="G1890" s="97">
        <v>674.47467200000006</v>
      </c>
      <c r="H1890" s="97">
        <v>1.2235100000000001</v>
      </c>
    </row>
    <row r="1891" spans="2:8" x14ac:dyDescent="0.25">
      <c r="B1891" s="97">
        <v>1.2290209999999999</v>
      </c>
      <c r="C1891" s="98">
        <v>170</v>
      </c>
      <c r="D1891" s="98">
        <v>250</v>
      </c>
      <c r="E1891" s="99">
        <v>0.70401899999999995</v>
      </c>
      <c r="F1891" s="99">
        <f t="shared" si="33"/>
        <v>1.4204162103579592</v>
      </c>
      <c r="G1891" s="97">
        <v>677.93060500000001</v>
      </c>
      <c r="H1891" s="97">
        <v>1.2290209999999999</v>
      </c>
    </row>
    <row r="1892" spans="2:8" x14ac:dyDescent="0.25">
      <c r="B1892" s="97">
        <v>1.2344269999999999</v>
      </c>
      <c r="C1892" s="98">
        <v>175</v>
      </c>
      <c r="D1892" s="98">
        <v>250</v>
      </c>
      <c r="E1892" s="99">
        <v>0.69579299999999999</v>
      </c>
      <c r="F1892" s="99">
        <f t="shared" si="33"/>
        <v>1.4372090549919301</v>
      </c>
      <c r="G1892" s="97">
        <v>681.34839599999998</v>
      </c>
      <c r="H1892" s="97">
        <v>1.2344269999999999</v>
      </c>
    </row>
    <row r="1893" spans="2:8" x14ac:dyDescent="0.25">
      <c r="B1893" s="97">
        <v>1.2397370000000001</v>
      </c>
      <c r="C1893" s="98">
        <v>180</v>
      </c>
      <c r="D1893" s="98">
        <v>250</v>
      </c>
      <c r="E1893" s="99">
        <v>0.68784199999999995</v>
      </c>
      <c r="F1893" s="99">
        <f t="shared" si="33"/>
        <v>1.4538222440618631</v>
      </c>
      <c r="G1893" s="97">
        <v>684.73143500000003</v>
      </c>
      <c r="H1893" s="97">
        <v>1.2397370000000001</v>
      </c>
    </row>
    <row r="1894" spans="2:8" x14ac:dyDescent="0.25">
      <c r="B1894" s="97">
        <v>1.244955</v>
      </c>
      <c r="C1894" s="98">
        <v>185</v>
      </c>
      <c r="D1894" s="98">
        <v>250</v>
      </c>
      <c r="E1894" s="99">
        <v>0.680149</v>
      </c>
      <c r="F1894" s="99">
        <f t="shared" si="33"/>
        <v>1.4702660740514211</v>
      </c>
      <c r="G1894" s="97">
        <v>688.08276899999998</v>
      </c>
      <c r="H1894" s="97">
        <v>1.244955</v>
      </c>
    </row>
    <row r="1895" spans="2:8" x14ac:dyDescent="0.25">
      <c r="B1895" s="97">
        <v>1.250089</v>
      </c>
      <c r="C1895" s="98">
        <v>190</v>
      </c>
      <c r="D1895" s="98">
        <v>250</v>
      </c>
      <c r="E1895" s="99">
        <v>0.67269699999999999</v>
      </c>
      <c r="F1895" s="99">
        <f t="shared" si="33"/>
        <v>1.4865533813886489</v>
      </c>
      <c r="G1895" s="97">
        <v>691.40515100000005</v>
      </c>
      <c r="H1895" s="97">
        <v>1.250089</v>
      </c>
    </row>
    <row r="1896" spans="2:8" x14ac:dyDescent="0.25">
      <c r="B1896" s="97">
        <v>1.2551429999999999</v>
      </c>
      <c r="C1896" s="98">
        <v>195</v>
      </c>
      <c r="D1896" s="98">
        <v>250</v>
      </c>
      <c r="E1896" s="99">
        <v>0.66547100000000003</v>
      </c>
      <c r="F1896" s="99">
        <f t="shared" si="33"/>
        <v>1.5026950836324948</v>
      </c>
      <c r="G1896" s="97">
        <v>694.70106999999996</v>
      </c>
      <c r="H1896" s="97">
        <v>1.2551429999999999</v>
      </c>
    </row>
    <row r="1897" spans="2:8" x14ac:dyDescent="0.25">
      <c r="B1897" s="97">
        <v>1.260122</v>
      </c>
      <c r="C1897" s="98">
        <v>200</v>
      </c>
      <c r="D1897" s="98">
        <v>250</v>
      </c>
      <c r="E1897" s="99">
        <v>0.65845900000000002</v>
      </c>
      <c r="F1897" s="99">
        <f t="shared" si="33"/>
        <v>1.5186974435765932</v>
      </c>
      <c r="G1897" s="97">
        <v>697.97278800000004</v>
      </c>
      <c r="H1897" s="97">
        <v>1.260122</v>
      </c>
    </row>
    <row r="1898" spans="2:8" x14ac:dyDescent="0.25">
      <c r="B1898" s="97">
        <v>1.265077</v>
      </c>
      <c r="C1898" s="98">
        <v>205</v>
      </c>
      <c r="D1898" s="98">
        <v>250</v>
      </c>
      <c r="E1898" s="99">
        <v>0.65158199999999999</v>
      </c>
      <c r="F1898" s="99">
        <f t="shared" si="33"/>
        <v>1.5347262508786308</v>
      </c>
      <c r="G1898" s="97">
        <v>701.25410599999998</v>
      </c>
      <c r="H1898" s="97">
        <v>1.265077</v>
      </c>
    </row>
    <row r="1899" spans="2:8" x14ac:dyDescent="0.25">
      <c r="B1899" s="97">
        <v>1.2698689999999999</v>
      </c>
      <c r="C1899" s="98">
        <v>210</v>
      </c>
      <c r="D1899" s="98">
        <v>250</v>
      </c>
      <c r="E1899" s="99">
        <v>0.64502599999999999</v>
      </c>
      <c r="F1899" s="99">
        <f t="shared" si="33"/>
        <v>1.5503251031741356</v>
      </c>
      <c r="G1899" s="97">
        <v>704.45167400000003</v>
      </c>
      <c r="H1899" s="97">
        <v>1.2698689999999999</v>
      </c>
    </row>
    <row r="1900" spans="2:8" x14ac:dyDescent="0.25">
      <c r="B1900" s="97">
        <v>1.2746459999999999</v>
      </c>
      <c r="C1900" s="98">
        <v>215</v>
      </c>
      <c r="D1900" s="98">
        <v>250</v>
      </c>
      <c r="E1900" s="99">
        <v>0.63858400000000004</v>
      </c>
      <c r="F1900" s="99">
        <f t="shared" si="33"/>
        <v>1.5659646968918732</v>
      </c>
      <c r="G1900" s="97">
        <v>707.66243799999995</v>
      </c>
      <c r="H1900" s="97">
        <v>1.2746459999999999</v>
      </c>
    </row>
    <row r="1901" spans="2:8" x14ac:dyDescent="0.25">
      <c r="B1901" s="97">
        <v>1.279363</v>
      </c>
      <c r="C1901" s="98">
        <v>220</v>
      </c>
      <c r="D1901" s="98">
        <v>250</v>
      </c>
      <c r="E1901" s="99">
        <v>0.63231300000000001</v>
      </c>
      <c r="F1901" s="99">
        <f t="shared" si="33"/>
        <v>1.5814952404900737</v>
      </c>
      <c r="G1901" s="97">
        <v>710.85623099999998</v>
      </c>
      <c r="H1901" s="97">
        <v>1.279363</v>
      </c>
    </row>
    <row r="1902" spans="2:8" x14ac:dyDescent="0.25">
      <c r="B1902" s="97">
        <v>1.284022</v>
      </c>
      <c r="C1902" s="98">
        <v>225</v>
      </c>
      <c r="D1902" s="98">
        <v>250</v>
      </c>
      <c r="E1902" s="99">
        <v>0.62620399999999998</v>
      </c>
      <c r="F1902" s="99">
        <f t="shared" si="33"/>
        <v>1.5969236862108833</v>
      </c>
      <c r="G1902" s="97">
        <v>714.03450099999998</v>
      </c>
      <c r="H1902" s="97">
        <v>1.284022</v>
      </c>
    </row>
    <row r="1903" spans="2:8" x14ac:dyDescent="0.25">
      <c r="B1903" s="106">
        <v>1.3092999999999999</v>
      </c>
      <c r="C1903" s="106">
        <v>250</v>
      </c>
      <c r="E1903" s="106">
        <v>653.48</v>
      </c>
      <c r="F1903" s="106">
        <v>1.6729000000000001</v>
      </c>
      <c r="G1903" s="106">
        <v>730.88</v>
      </c>
      <c r="H1903" s="106">
        <v>1.3092999999999999</v>
      </c>
    </row>
    <row r="1904" spans="2:8" x14ac:dyDescent="0.25">
      <c r="B1904" s="106">
        <v>1.3307</v>
      </c>
      <c r="C1904" s="106">
        <v>275</v>
      </c>
      <c r="E1904" s="106">
        <v>665.46</v>
      </c>
      <c r="F1904" s="106">
        <v>1.7467999999999999</v>
      </c>
      <c r="G1904" s="106">
        <v>746.28</v>
      </c>
      <c r="H1904" s="106">
        <v>1.3307</v>
      </c>
    </row>
    <row r="1905" spans="1:8" x14ac:dyDescent="0.25">
      <c r="B1905" s="106">
        <v>1.3511</v>
      </c>
      <c r="C1905" s="106">
        <v>300</v>
      </c>
      <c r="E1905" s="106">
        <v>677.39</v>
      </c>
      <c r="F1905" s="106">
        <v>1.8193999999999999</v>
      </c>
      <c r="G1905" s="106">
        <v>761.56</v>
      </c>
      <c r="H1905" s="106">
        <v>1.3511</v>
      </c>
    </row>
    <row r="1906" spans="1:8" x14ac:dyDescent="0.25">
      <c r="B1906" s="106">
        <v>1.37</v>
      </c>
      <c r="C1906" t="s">
        <v>374</v>
      </c>
      <c r="D1906" t="s">
        <v>374</v>
      </c>
      <c r="E1906" t="s">
        <v>374</v>
      </c>
      <c r="F1906" t="s">
        <v>374</v>
      </c>
      <c r="G1906" t="s">
        <v>374</v>
      </c>
      <c r="H1906" t="s">
        <v>374</v>
      </c>
    </row>
    <row r="1909" spans="1:8" ht="15.75" x14ac:dyDescent="0.25">
      <c r="A1909" s="92">
        <v>275</v>
      </c>
      <c r="C1909" s="109" t="s">
        <v>427</v>
      </c>
      <c r="D1909" s="101"/>
      <c r="E1909" s="110"/>
      <c r="F1909" s="110"/>
      <c r="G1909" s="111"/>
    </row>
    <row r="1910" spans="1:8" x14ac:dyDescent="0.25">
      <c r="B1910" s="96" t="s">
        <v>266</v>
      </c>
      <c r="C1910" s="96" t="s">
        <v>375</v>
      </c>
      <c r="D1910" s="96" t="s">
        <v>380</v>
      </c>
      <c r="E1910" s="96" t="s">
        <v>381</v>
      </c>
      <c r="F1910" s="96" t="s">
        <v>382</v>
      </c>
      <c r="G1910" s="96" t="s">
        <v>265</v>
      </c>
      <c r="H1910" s="96" t="s">
        <v>266</v>
      </c>
    </row>
    <row r="1911" spans="1:8" x14ac:dyDescent="0.25">
      <c r="B1911" s="96" t="s">
        <v>383</v>
      </c>
      <c r="C1911" s="96" t="s">
        <v>384</v>
      </c>
      <c r="D1911" s="96" t="s">
        <v>385</v>
      </c>
      <c r="E1911" s="96" t="s">
        <v>386</v>
      </c>
      <c r="F1911" s="96" t="s">
        <v>387</v>
      </c>
      <c r="G1911" s="96" t="s">
        <v>388</v>
      </c>
      <c r="H1911" s="96" t="s">
        <v>383</v>
      </c>
    </row>
    <row r="1912" spans="1:8" x14ac:dyDescent="0.25">
      <c r="B1912" s="97">
        <v>0.20912</v>
      </c>
      <c r="C1912" s="98">
        <v>50</v>
      </c>
      <c r="D1912" s="98">
        <v>275</v>
      </c>
      <c r="E1912" s="99">
        <v>39.057673999999999</v>
      </c>
      <c r="F1912" s="99">
        <f t="shared" ref="F1912:F1947" si="34">1/E1912</f>
        <v>2.5603163158154273E-2</v>
      </c>
      <c r="G1912" s="97">
        <v>98.139742999999996</v>
      </c>
      <c r="H1912" s="97">
        <v>0.20912</v>
      </c>
    </row>
    <row r="1913" spans="1:8" x14ac:dyDescent="0.25">
      <c r="B1913" s="97">
        <v>0.220024</v>
      </c>
      <c r="C1913" s="98">
        <v>55</v>
      </c>
      <c r="D1913" s="98">
        <v>275</v>
      </c>
      <c r="E1913" s="99">
        <v>38.809659000000003</v>
      </c>
      <c r="F1913" s="99">
        <f t="shared" si="34"/>
        <v>2.5766781408720955E-2</v>
      </c>
      <c r="G1913" s="97">
        <v>103.72433700000001</v>
      </c>
      <c r="H1913" s="97">
        <v>0.220024</v>
      </c>
    </row>
    <row r="1914" spans="1:8" x14ac:dyDescent="0.25">
      <c r="B1914" s="97">
        <v>0.23086499999999999</v>
      </c>
      <c r="C1914" s="98">
        <v>60</v>
      </c>
      <c r="D1914" s="98">
        <v>275</v>
      </c>
      <c r="E1914" s="99">
        <v>38.558774</v>
      </c>
      <c r="F1914" s="99">
        <f t="shared" si="34"/>
        <v>2.5934434533629102E-2</v>
      </c>
      <c r="G1914" s="97">
        <v>109.330832</v>
      </c>
      <c r="H1914" s="97">
        <v>0.23086499999999999</v>
      </c>
    </row>
    <row r="1915" spans="1:8" x14ac:dyDescent="0.25">
      <c r="B1915" s="97">
        <v>0.241646</v>
      </c>
      <c r="C1915" s="98">
        <v>65</v>
      </c>
      <c r="D1915" s="98">
        <v>275</v>
      </c>
      <c r="E1915" s="99">
        <v>38.304867999999999</v>
      </c>
      <c r="F1915" s="99">
        <f t="shared" si="34"/>
        <v>2.6106342410578208E-2</v>
      </c>
      <c r="G1915" s="97">
        <v>114.960365</v>
      </c>
      <c r="H1915" s="97">
        <v>0.241646</v>
      </c>
    </row>
    <row r="1916" spans="1:8" x14ac:dyDescent="0.25">
      <c r="B1916" s="97">
        <v>0.25237100000000001</v>
      </c>
      <c r="C1916" s="98">
        <v>70</v>
      </c>
      <c r="D1916" s="98">
        <v>275</v>
      </c>
      <c r="E1916" s="99">
        <v>38.047772000000002</v>
      </c>
      <c r="F1916" s="99">
        <f t="shared" si="34"/>
        <v>2.6282747909654208E-2</v>
      </c>
      <c r="G1916" s="97">
        <v>120.61420699999999</v>
      </c>
      <c r="H1916" s="97">
        <v>0.25237100000000001</v>
      </c>
    </row>
    <row r="1917" spans="1:8" x14ac:dyDescent="0.25">
      <c r="B1917" s="97">
        <v>0.26304300000000003</v>
      </c>
      <c r="C1917" s="98">
        <v>75</v>
      </c>
      <c r="D1917" s="98">
        <v>275</v>
      </c>
      <c r="E1917" s="99">
        <v>37.787303000000001</v>
      </c>
      <c r="F1917" s="99">
        <f t="shared" si="34"/>
        <v>2.6463915670298037E-2</v>
      </c>
      <c r="G1917" s="97">
        <v>126.29377700000001</v>
      </c>
      <c r="H1917" s="97">
        <v>0.26304300000000003</v>
      </c>
    </row>
    <row r="1918" spans="1:8" x14ac:dyDescent="0.25">
      <c r="B1918" s="97">
        <v>0.27366699999999999</v>
      </c>
      <c r="C1918" s="98">
        <v>80</v>
      </c>
      <c r="D1918" s="98">
        <v>275</v>
      </c>
      <c r="E1918" s="99">
        <v>37.523257999999998</v>
      </c>
      <c r="F1918" s="99">
        <f t="shared" si="34"/>
        <v>2.6650137895808515E-2</v>
      </c>
      <c r="G1918" s="97">
        <v>132.00065000000001</v>
      </c>
      <c r="H1918" s="97">
        <v>0.27366699999999999</v>
      </c>
    </row>
    <row r="1919" spans="1:8" x14ac:dyDescent="0.25">
      <c r="B1919" s="97">
        <v>0.28424700000000003</v>
      </c>
      <c r="C1919" s="98">
        <v>85</v>
      </c>
      <c r="D1919" s="98">
        <v>275</v>
      </c>
      <c r="E1919" s="99">
        <v>37.255414000000002</v>
      </c>
      <c r="F1919" s="99">
        <f t="shared" si="34"/>
        <v>2.684173634468268E-2</v>
      </c>
      <c r="G1919" s="97">
        <v>137.73658</v>
      </c>
      <c r="H1919" s="97">
        <v>0.28424700000000003</v>
      </c>
    </row>
    <row r="1920" spans="1:8" x14ac:dyDescent="0.25">
      <c r="B1920" s="97">
        <v>0.29478599999999999</v>
      </c>
      <c r="C1920" s="98">
        <v>90</v>
      </c>
      <c r="D1920" s="98">
        <v>275</v>
      </c>
      <c r="E1920" s="99">
        <v>36.983522000000001</v>
      </c>
      <c r="F1920" s="99">
        <f t="shared" si="34"/>
        <v>2.7039068912906673E-2</v>
      </c>
      <c r="G1920" s="97">
        <v>143.50351699999999</v>
      </c>
      <c r="H1920" s="97">
        <v>0.29478599999999999</v>
      </c>
    </row>
    <row r="1921" spans="2:8" x14ac:dyDescent="0.25">
      <c r="B1921" s="97">
        <v>0.30529099999999998</v>
      </c>
      <c r="C1921" s="98">
        <v>95</v>
      </c>
      <c r="D1921" s="98">
        <v>275</v>
      </c>
      <c r="E1921" s="99">
        <v>36.707310999999997</v>
      </c>
      <c r="F1921" s="99">
        <f t="shared" si="34"/>
        <v>2.724252942417929E-2</v>
      </c>
      <c r="G1921" s="97">
        <v>149.30362600000001</v>
      </c>
      <c r="H1921" s="97">
        <v>0.30529099999999998</v>
      </c>
    </row>
    <row r="1922" spans="2:8" x14ac:dyDescent="0.25">
      <c r="B1922" s="97">
        <v>0.31576500000000002</v>
      </c>
      <c r="C1922" s="98">
        <v>100</v>
      </c>
      <c r="D1922" s="98">
        <v>275</v>
      </c>
      <c r="E1922" s="99">
        <v>36.426476000000001</v>
      </c>
      <c r="F1922" s="99">
        <f t="shared" si="34"/>
        <v>2.7452559506442511E-2</v>
      </c>
      <c r="G1922" s="97">
        <v>155.13932</v>
      </c>
      <c r="H1922" s="97">
        <v>0.31576500000000002</v>
      </c>
    </row>
    <row r="1923" spans="2:8" x14ac:dyDescent="0.25">
      <c r="B1923" s="97">
        <v>0.32621299999999998</v>
      </c>
      <c r="C1923" s="98">
        <v>105</v>
      </c>
      <c r="D1923" s="98">
        <v>275</v>
      </c>
      <c r="E1923" s="99">
        <v>36.140680000000003</v>
      </c>
      <c r="F1923" s="99">
        <f t="shared" si="34"/>
        <v>2.7669650930751716E-2</v>
      </c>
      <c r="G1923" s="97">
        <v>161.01329000000001</v>
      </c>
      <c r="H1923" s="97">
        <v>0.32621299999999998</v>
      </c>
    </row>
    <row r="1924" spans="2:8" x14ac:dyDescent="0.25">
      <c r="B1924" s="97">
        <v>0.33664300000000003</v>
      </c>
      <c r="C1924" s="98">
        <v>110</v>
      </c>
      <c r="D1924" s="98">
        <v>275</v>
      </c>
      <c r="E1924" s="99">
        <v>35.849545999999997</v>
      </c>
      <c r="F1924" s="99">
        <f t="shared" si="34"/>
        <v>2.7894356040101598E-2</v>
      </c>
      <c r="G1924" s="97">
        <v>166.92854299999999</v>
      </c>
      <c r="H1924" s="97">
        <v>0.33664300000000003</v>
      </c>
    </row>
    <row r="1925" spans="2:8" x14ac:dyDescent="0.25">
      <c r="B1925" s="97">
        <v>0.34705900000000001</v>
      </c>
      <c r="C1925" s="98">
        <v>115</v>
      </c>
      <c r="D1925" s="98">
        <v>275</v>
      </c>
      <c r="E1925" s="99">
        <v>35.552652999999999</v>
      </c>
      <c r="F1925" s="99">
        <f t="shared" si="34"/>
        <v>2.812729615424199E-2</v>
      </c>
      <c r="G1925" s="97">
        <v>172.88845000000001</v>
      </c>
      <c r="H1925" s="97">
        <v>0.34705900000000001</v>
      </c>
    </row>
    <row r="1926" spans="2:8" x14ac:dyDescent="0.25">
      <c r="B1926" s="97">
        <v>1.1494040000000001</v>
      </c>
      <c r="C1926" s="98">
        <v>120</v>
      </c>
      <c r="D1926" s="98">
        <v>275</v>
      </c>
      <c r="E1926" s="99">
        <v>0.90809700000000004</v>
      </c>
      <c r="F1926" s="99">
        <f t="shared" si="34"/>
        <v>1.1012039462744618</v>
      </c>
      <c r="G1926" s="97">
        <v>635.71468000000004</v>
      </c>
      <c r="H1926" s="97">
        <v>1.1494040000000001</v>
      </c>
    </row>
    <row r="1927" spans="2:8" x14ac:dyDescent="0.25">
      <c r="B1927" s="97">
        <v>1.1568080000000001</v>
      </c>
      <c r="C1927" s="98">
        <v>125</v>
      </c>
      <c r="D1927" s="98">
        <v>275</v>
      </c>
      <c r="E1927" s="99">
        <v>0.89265499999999998</v>
      </c>
      <c r="F1927" s="99">
        <f t="shared" si="34"/>
        <v>1.1202536254207953</v>
      </c>
      <c r="G1927" s="97">
        <v>640.02497800000003</v>
      </c>
      <c r="H1927" s="97">
        <v>1.1568080000000001</v>
      </c>
    </row>
    <row r="1928" spans="2:8" x14ac:dyDescent="0.25">
      <c r="B1928" s="97">
        <v>1.163937</v>
      </c>
      <c r="C1928" s="98">
        <v>130</v>
      </c>
      <c r="D1928" s="98">
        <v>275</v>
      </c>
      <c r="E1928" s="99">
        <v>0.87811300000000003</v>
      </c>
      <c r="F1928" s="99">
        <f t="shared" si="34"/>
        <v>1.1388055979127971</v>
      </c>
      <c r="G1928" s="97">
        <v>644.21112700000003</v>
      </c>
      <c r="H1928" s="97">
        <v>1.163937</v>
      </c>
    </row>
    <row r="1929" spans="2:8" x14ac:dyDescent="0.25">
      <c r="B1929" s="97">
        <v>1.170822</v>
      </c>
      <c r="C1929" s="98">
        <v>135</v>
      </c>
      <c r="D1929" s="98">
        <v>275</v>
      </c>
      <c r="E1929" s="99">
        <v>0.86436900000000005</v>
      </c>
      <c r="F1929" s="99">
        <f t="shared" si="34"/>
        <v>1.1569133090150154</v>
      </c>
      <c r="G1929" s="97">
        <v>648.28791799999999</v>
      </c>
      <c r="H1929" s="97">
        <v>1.170822</v>
      </c>
    </row>
    <row r="1930" spans="2:8" x14ac:dyDescent="0.25">
      <c r="B1930" s="97">
        <v>1.177487</v>
      </c>
      <c r="C1930" s="98">
        <v>140</v>
      </c>
      <c r="D1930" s="98">
        <v>275</v>
      </c>
      <c r="E1930" s="99">
        <v>0.85133700000000001</v>
      </c>
      <c r="F1930" s="99">
        <f t="shared" si="34"/>
        <v>1.174622975390474</v>
      </c>
      <c r="G1930" s="97">
        <v>652.26782400000002</v>
      </c>
      <c r="H1930" s="97">
        <v>1.177487</v>
      </c>
    </row>
    <row r="1931" spans="2:8" x14ac:dyDescent="0.25">
      <c r="B1931" s="97">
        <v>1.183953</v>
      </c>
      <c r="C1931" s="98">
        <v>145</v>
      </c>
      <c r="D1931" s="98">
        <v>275</v>
      </c>
      <c r="E1931" s="99">
        <v>0.83894400000000002</v>
      </c>
      <c r="F1931" s="99">
        <f t="shared" si="34"/>
        <v>1.1919746729221496</v>
      </c>
      <c r="G1931" s="97">
        <v>656.16146700000002</v>
      </c>
      <c r="H1931" s="97">
        <v>1.183953</v>
      </c>
    </row>
    <row r="1932" spans="2:8" x14ac:dyDescent="0.25">
      <c r="B1932" s="97">
        <v>1.190239</v>
      </c>
      <c r="C1932" s="98">
        <v>150</v>
      </c>
      <c r="D1932" s="98">
        <v>275</v>
      </c>
      <c r="E1932" s="99">
        <v>0.82712799999999997</v>
      </c>
      <c r="F1932" s="99">
        <f t="shared" si="34"/>
        <v>1.2090027178381098</v>
      </c>
      <c r="G1932" s="97">
        <v>659.97797400000002</v>
      </c>
      <c r="H1932" s="97">
        <v>1.190239</v>
      </c>
    </row>
    <row r="1933" spans="2:8" x14ac:dyDescent="0.25">
      <c r="B1933" s="97">
        <v>1.1963600000000001</v>
      </c>
      <c r="C1933" s="98">
        <v>155</v>
      </c>
      <c r="D1933" s="98">
        <v>275</v>
      </c>
      <c r="E1933" s="99">
        <v>0.81583700000000003</v>
      </c>
      <c r="F1933" s="99">
        <f t="shared" si="34"/>
        <v>1.2257350426617082</v>
      </c>
      <c r="G1933" s="97">
        <v>663.72524599999997</v>
      </c>
      <c r="H1933" s="97">
        <v>1.1963600000000001</v>
      </c>
    </row>
    <row r="1934" spans="2:8" x14ac:dyDescent="0.25">
      <c r="B1934" s="97">
        <v>1.202331</v>
      </c>
      <c r="C1934" s="98">
        <v>160</v>
      </c>
      <c r="D1934" s="98">
        <v>275</v>
      </c>
      <c r="E1934" s="99">
        <v>0.80502399999999996</v>
      </c>
      <c r="F1934" s="99">
        <f t="shared" si="34"/>
        <v>1.2421989903406607</v>
      </c>
      <c r="G1934" s="97">
        <v>667.410169</v>
      </c>
      <c r="H1934" s="97">
        <v>1.202331</v>
      </c>
    </row>
    <row r="1935" spans="2:8" x14ac:dyDescent="0.25">
      <c r="B1935" s="97">
        <v>1.2081630000000001</v>
      </c>
      <c r="C1935" s="98">
        <v>165</v>
      </c>
      <c r="D1935" s="98">
        <v>275</v>
      </c>
      <c r="E1935" s="99">
        <v>0.79464999999999997</v>
      </c>
      <c r="F1935" s="99">
        <f t="shared" si="34"/>
        <v>1.2584156546907443</v>
      </c>
      <c r="G1935" s="97">
        <v>671.03878199999997</v>
      </c>
      <c r="H1935" s="97">
        <v>1.2081630000000001</v>
      </c>
    </row>
    <row r="1936" spans="2:8" x14ac:dyDescent="0.25">
      <c r="B1936" s="97">
        <v>1.2138679999999999</v>
      </c>
      <c r="C1936" s="98">
        <v>170</v>
      </c>
      <c r="D1936" s="98">
        <v>275</v>
      </c>
      <c r="E1936" s="99">
        <v>0.78468000000000004</v>
      </c>
      <c r="F1936" s="99">
        <f t="shared" si="34"/>
        <v>1.27440485293368</v>
      </c>
      <c r="G1936" s="97">
        <v>674.61641099999997</v>
      </c>
      <c r="H1936" s="97">
        <v>1.2138679999999999</v>
      </c>
    </row>
    <row r="1937" spans="1:8" x14ac:dyDescent="0.25">
      <c r="B1937" s="97">
        <v>1.219454</v>
      </c>
      <c r="C1937" s="98">
        <v>175</v>
      </c>
      <c r="D1937" s="98">
        <v>275</v>
      </c>
      <c r="E1937" s="99">
        <v>0.77508200000000005</v>
      </c>
      <c r="F1937" s="99">
        <f t="shared" si="34"/>
        <v>1.2901860706351069</v>
      </c>
      <c r="G1937" s="97">
        <v>678.14777400000003</v>
      </c>
      <c r="H1937" s="97">
        <v>1.219454</v>
      </c>
    </row>
    <row r="1938" spans="1:8" x14ac:dyDescent="0.25">
      <c r="B1938" s="97">
        <v>1.2249300000000001</v>
      </c>
      <c r="C1938" s="98">
        <v>180</v>
      </c>
      <c r="D1938" s="98">
        <v>275</v>
      </c>
      <c r="E1938" s="99">
        <v>0.76583000000000001</v>
      </c>
      <c r="F1938" s="99">
        <f t="shared" si="34"/>
        <v>1.3057728216444904</v>
      </c>
      <c r="G1938" s="97">
        <v>681.63706999999999</v>
      </c>
      <c r="H1938" s="97">
        <v>1.2249300000000001</v>
      </c>
    </row>
    <row r="1939" spans="1:8" x14ac:dyDescent="0.25">
      <c r="B1939" s="97">
        <v>1.2303040000000001</v>
      </c>
      <c r="C1939" s="98">
        <v>185</v>
      </c>
      <c r="D1939" s="98">
        <v>275</v>
      </c>
      <c r="E1939" s="99">
        <v>0.75689899999999999</v>
      </c>
      <c r="F1939" s="99">
        <f t="shared" si="34"/>
        <v>1.3211802367290748</v>
      </c>
      <c r="G1939" s="97">
        <v>685.08805299999995</v>
      </c>
      <c r="H1939" s="97">
        <v>1.2303040000000001</v>
      </c>
    </row>
    <row r="1940" spans="1:8" x14ac:dyDescent="0.25">
      <c r="B1940" s="97">
        <v>1.2355830000000001</v>
      </c>
      <c r="C1940" s="98">
        <v>190</v>
      </c>
      <c r="D1940" s="98">
        <v>275</v>
      </c>
      <c r="E1940" s="99">
        <v>0.74826700000000002</v>
      </c>
      <c r="F1940" s="99">
        <f t="shared" si="34"/>
        <v>1.3364213576170003</v>
      </c>
      <c r="G1940" s="97">
        <v>688.50408900000002</v>
      </c>
      <c r="H1940" s="97">
        <v>1.2355830000000001</v>
      </c>
    </row>
    <row r="1941" spans="1:8" x14ac:dyDescent="0.25">
      <c r="B1941" s="97">
        <v>1.240772</v>
      </c>
      <c r="C1941" s="98">
        <v>195</v>
      </c>
      <c r="D1941" s="98">
        <v>275</v>
      </c>
      <c r="E1941" s="99">
        <v>0.73991600000000002</v>
      </c>
      <c r="F1941" s="99">
        <f t="shared" si="34"/>
        <v>1.3515047654058028</v>
      </c>
      <c r="G1941" s="97">
        <v>691.88820999999996</v>
      </c>
      <c r="H1941" s="97">
        <v>1.240772</v>
      </c>
    </row>
    <row r="1942" spans="1:8" x14ac:dyDescent="0.25">
      <c r="B1942" s="97">
        <v>1.2458769999999999</v>
      </c>
      <c r="C1942" s="98">
        <v>200</v>
      </c>
      <c r="D1942" s="98">
        <v>275</v>
      </c>
      <c r="E1942" s="99">
        <v>0.73182599999999998</v>
      </c>
      <c r="F1942" s="99">
        <f t="shared" si="34"/>
        <v>1.3664450292829171</v>
      </c>
      <c r="G1942" s="97">
        <v>695.243155</v>
      </c>
      <c r="H1942" s="97">
        <v>1.2458769999999999</v>
      </c>
    </row>
    <row r="1943" spans="1:8" x14ac:dyDescent="0.25">
      <c r="B1943" s="97">
        <v>1.2509520000000001</v>
      </c>
      <c r="C1943" s="98">
        <v>205</v>
      </c>
      <c r="D1943" s="98">
        <v>275</v>
      </c>
      <c r="E1943" s="99">
        <v>0.72390699999999997</v>
      </c>
      <c r="F1943" s="99">
        <f t="shared" si="34"/>
        <v>1.3813929137306311</v>
      </c>
      <c r="G1943" s="97">
        <v>698.60389499999997</v>
      </c>
      <c r="H1943" s="97">
        <v>1.2509520000000001</v>
      </c>
    </row>
    <row r="1944" spans="1:8" x14ac:dyDescent="0.25">
      <c r="B1944" s="97">
        <v>1.2558549999999999</v>
      </c>
      <c r="C1944" s="98">
        <v>210</v>
      </c>
      <c r="D1944" s="98">
        <v>275</v>
      </c>
      <c r="E1944" s="99">
        <v>0.71637099999999998</v>
      </c>
      <c r="F1944" s="99">
        <f t="shared" si="34"/>
        <v>1.3959247373218626</v>
      </c>
      <c r="G1944" s="97">
        <v>701.87520700000005</v>
      </c>
      <c r="H1944" s="97">
        <v>1.2558549999999999</v>
      </c>
    </row>
    <row r="1945" spans="1:8" x14ac:dyDescent="0.25">
      <c r="B1945" s="97">
        <v>1.260737</v>
      </c>
      <c r="C1945" s="98">
        <v>215</v>
      </c>
      <c r="D1945" s="98">
        <v>275</v>
      </c>
      <c r="E1945" s="99">
        <v>0.70897900000000003</v>
      </c>
      <c r="F1945" s="99">
        <f t="shared" si="34"/>
        <v>1.4104790127775293</v>
      </c>
      <c r="G1945" s="97">
        <v>705.15662199999997</v>
      </c>
      <c r="H1945" s="97">
        <v>1.260737</v>
      </c>
    </row>
    <row r="1946" spans="1:8" x14ac:dyDescent="0.25">
      <c r="B1946" s="97">
        <v>1.2655529999999999</v>
      </c>
      <c r="C1946" s="98">
        <v>220</v>
      </c>
      <c r="D1946" s="98">
        <v>275</v>
      </c>
      <c r="E1946" s="99">
        <v>0.701793</v>
      </c>
      <c r="F1946" s="99">
        <f t="shared" si="34"/>
        <v>1.4249215936893072</v>
      </c>
      <c r="G1946" s="97">
        <v>708.41751999999997</v>
      </c>
      <c r="H1946" s="97">
        <v>1.2655529999999999</v>
      </c>
    </row>
    <row r="1947" spans="1:8" x14ac:dyDescent="0.25">
      <c r="B1947" s="97">
        <v>1.270305</v>
      </c>
      <c r="C1947" s="98">
        <v>225</v>
      </c>
      <c r="D1947" s="98">
        <v>275</v>
      </c>
      <c r="E1947" s="99">
        <v>0.69480200000000003</v>
      </c>
      <c r="F1947" s="99">
        <f t="shared" si="34"/>
        <v>1.4392589543495844</v>
      </c>
      <c r="G1947" s="97">
        <v>711.65961900000002</v>
      </c>
      <c r="H1947" s="97">
        <v>1.270305</v>
      </c>
    </row>
    <row r="1948" spans="1:8" x14ac:dyDescent="0.25">
      <c r="B1948" s="117">
        <v>1.296</v>
      </c>
      <c r="C1948" s="117">
        <v>250</v>
      </c>
      <c r="E1948" s="117">
        <v>651.95000000000005</v>
      </c>
      <c r="F1948" s="117">
        <v>1.5098</v>
      </c>
      <c r="G1948" s="117">
        <v>728.79</v>
      </c>
      <c r="H1948" s="117">
        <v>1.296</v>
      </c>
    </row>
    <row r="1949" spans="1:8" x14ac:dyDescent="0.25">
      <c r="B1949" s="117">
        <v>1.3177000000000001</v>
      </c>
      <c r="C1949" s="117">
        <v>275</v>
      </c>
      <c r="E1949" s="117">
        <v>664.1</v>
      </c>
      <c r="F1949" s="117">
        <v>1.5781000000000001</v>
      </c>
      <c r="G1949" s="117">
        <v>744.41</v>
      </c>
      <c r="H1949" s="117">
        <v>1.3177000000000001</v>
      </c>
    </row>
    <row r="1950" spans="1:8" x14ac:dyDescent="0.25">
      <c r="B1950" s="117">
        <v>1.3383</v>
      </c>
      <c r="C1950" s="117">
        <v>300</v>
      </c>
      <c r="E1950" s="117">
        <v>676.15</v>
      </c>
      <c r="F1950" s="117">
        <v>1.645</v>
      </c>
      <c r="G1950" s="117">
        <v>759.86</v>
      </c>
      <c r="H1950" s="117">
        <v>1.3383</v>
      </c>
    </row>
    <row r="1951" spans="1:8" x14ac:dyDescent="0.25">
      <c r="B1951" s="117">
        <v>1.35</v>
      </c>
      <c r="C1951" t="s">
        <v>374</v>
      </c>
      <c r="D1951" t="s">
        <v>374</v>
      </c>
      <c r="E1951" t="s">
        <v>374</v>
      </c>
      <c r="F1951" t="s">
        <v>374</v>
      </c>
      <c r="G1951" t="s">
        <v>374</v>
      </c>
      <c r="H1951" t="s">
        <v>374</v>
      </c>
    </row>
    <row r="1952" spans="1:8" x14ac:dyDescent="0.25">
      <c r="A1952" s="91">
        <v>280</v>
      </c>
      <c r="B1952" s="92" t="s">
        <v>374</v>
      </c>
      <c r="C1952" s="92" t="s">
        <v>374</v>
      </c>
      <c r="D1952" s="92" t="s">
        <v>374</v>
      </c>
      <c r="E1952" s="92" t="s">
        <v>374</v>
      </c>
      <c r="F1952" s="92" t="s">
        <v>374</v>
      </c>
      <c r="G1952" s="92" t="s">
        <v>374</v>
      </c>
      <c r="H1952" s="92" t="s">
        <v>374</v>
      </c>
    </row>
  </sheetData>
  <mergeCells count="9">
    <mergeCell ref="M41:O41"/>
    <mergeCell ref="M42:O42"/>
    <mergeCell ref="M43:O43"/>
    <mergeCell ref="M35:O35"/>
    <mergeCell ref="M36:O36"/>
    <mergeCell ref="M37:O37"/>
    <mergeCell ref="M38:O38"/>
    <mergeCell ref="M39:O39"/>
    <mergeCell ref="M40:O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904"/>
  <sheetViews>
    <sheetView workbookViewId="0">
      <selection activeCell="M20" sqref="M20"/>
    </sheetView>
  </sheetViews>
  <sheetFormatPr defaultRowHeight="15" x14ac:dyDescent="0.25"/>
  <cols>
    <col min="1" max="10" width="9.140625" customWidth="1"/>
    <col min="11" max="11" width="12.5703125" customWidth="1"/>
    <col min="12" max="12" width="9.140625" customWidth="1"/>
    <col min="257" max="266" width="9.140625" customWidth="1"/>
    <col min="267" max="267" width="12.5703125" customWidth="1"/>
    <col min="268" max="268" width="9.140625" customWidth="1"/>
    <col min="513" max="522" width="9.140625" customWidth="1"/>
    <col min="523" max="523" width="12.5703125" customWidth="1"/>
    <col min="524" max="524" width="9.140625" customWidth="1"/>
    <col min="769" max="778" width="9.140625" customWidth="1"/>
    <col min="779" max="779" width="12.5703125" customWidth="1"/>
    <col min="780" max="780" width="9.140625" customWidth="1"/>
    <col min="1025" max="1034" width="9.140625" customWidth="1"/>
    <col min="1035" max="1035" width="12.5703125" customWidth="1"/>
    <col min="1036" max="1036" width="9.140625" customWidth="1"/>
    <col min="1281" max="1290" width="9.140625" customWidth="1"/>
    <col min="1291" max="1291" width="12.5703125" customWidth="1"/>
    <col min="1292" max="1292" width="9.140625" customWidth="1"/>
    <col min="1537" max="1546" width="9.140625" customWidth="1"/>
    <col min="1547" max="1547" width="12.5703125" customWidth="1"/>
    <col min="1548" max="1548" width="9.140625" customWidth="1"/>
    <col min="1793" max="1802" width="9.140625" customWidth="1"/>
    <col min="1803" max="1803" width="12.5703125" customWidth="1"/>
    <col min="1804" max="1804" width="9.140625" customWidth="1"/>
    <col min="2049" max="2058" width="9.140625" customWidth="1"/>
    <col min="2059" max="2059" width="12.5703125" customWidth="1"/>
    <col min="2060" max="2060" width="9.140625" customWidth="1"/>
    <col min="2305" max="2314" width="9.140625" customWidth="1"/>
    <col min="2315" max="2315" width="12.5703125" customWidth="1"/>
    <col min="2316" max="2316" width="9.140625" customWidth="1"/>
    <col min="2561" max="2570" width="9.140625" customWidth="1"/>
    <col min="2571" max="2571" width="12.5703125" customWidth="1"/>
    <col min="2572" max="2572" width="9.140625" customWidth="1"/>
    <col min="2817" max="2826" width="9.140625" customWidth="1"/>
    <col min="2827" max="2827" width="12.5703125" customWidth="1"/>
    <col min="2828" max="2828" width="9.140625" customWidth="1"/>
    <col min="3073" max="3082" width="9.140625" customWidth="1"/>
    <col min="3083" max="3083" width="12.5703125" customWidth="1"/>
    <col min="3084" max="3084" width="9.140625" customWidth="1"/>
    <col min="3329" max="3338" width="9.140625" customWidth="1"/>
    <col min="3339" max="3339" width="12.5703125" customWidth="1"/>
    <col min="3340" max="3340" width="9.140625" customWidth="1"/>
    <col min="3585" max="3594" width="9.140625" customWidth="1"/>
    <col min="3595" max="3595" width="12.5703125" customWidth="1"/>
    <col min="3596" max="3596" width="9.140625" customWidth="1"/>
    <col min="3841" max="3850" width="9.140625" customWidth="1"/>
    <col min="3851" max="3851" width="12.5703125" customWidth="1"/>
    <col min="3852" max="3852" width="9.140625" customWidth="1"/>
    <col min="4097" max="4106" width="9.140625" customWidth="1"/>
    <col min="4107" max="4107" width="12.5703125" customWidth="1"/>
    <col min="4108" max="4108" width="9.140625" customWidth="1"/>
    <col min="4353" max="4362" width="9.140625" customWidth="1"/>
    <col min="4363" max="4363" width="12.5703125" customWidth="1"/>
    <col min="4364" max="4364" width="9.140625" customWidth="1"/>
    <col min="4609" max="4618" width="9.140625" customWidth="1"/>
    <col min="4619" max="4619" width="12.5703125" customWidth="1"/>
    <col min="4620" max="4620" width="9.140625" customWidth="1"/>
    <col min="4865" max="4874" width="9.140625" customWidth="1"/>
    <col min="4875" max="4875" width="12.5703125" customWidth="1"/>
    <col min="4876" max="4876" width="9.140625" customWidth="1"/>
    <col min="5121" max="5130" width="9.140625" customWidth="1"/>
    <col min="5131" max="5131" width="12.5703125" customWidth="1"/>
    <col min="5132" max="5132" width="9.140625" customWidth="1"/>
    <col min="5377" max="5386" width="9.140625" customWidth="1"/>
    <col min="5387" max="5387" width="12.5703125" customWidth="1"/>
    <col min="5388" max="5388" width="9.140625" customWidth="1"/>
    <col min="5633" max="5642" width="9.140625" customWidth="1"/>
    <col min="5643" max="5643" width="12.5703125" customWidth="1"/>
    <col min="5644" max="5644" width="9.140625" customWidth="1"/>
    <col min="5889" max="5898" width="9.140625" customWidth="1"/>
    <col min="5899" max="5899" width="12.5703125" customWidth="1"/>
    <col min="5900" max="5900" width="9.140625" customWidth="1"/>
    <col min="6145" max="6154" width="9.140625" customWidth="1"/>
    <col min="6155" max="6155" width="12.5703125" customWidth="1"/>
    <col min="6156" max="6156" width="9.140625" customWidth="1"/>
    <col min="6401" max="6410" width="9.140625" customWidth="1"/>
    <col min="6411" max="6411" width="12.5703125" customWidth="1"/>
    <col min="6412" max="6412" width="9.140625" customWidth="1"/>
    <col min="6657" max="6666" width="9.140625" customWidth="1"/>
    <col min="6667" max="6667" width="12.5703125" customWidth="1"/>
    <col min="6668" max="6668" width="9.140625" customWidth="1"/>
    <col min="6913" max="6922" width="9.140625" customWidth="1"/>
    <col min="6923" max="6923" width="12.5703125" customWidth="1"/>
    <col min="6924" max="6924" width="9.140625" customWidth="1"/>
    <col min="7169" max="7178" width="9.140625" customWidth="1"/>
    <col min="7179" max="7179" width="12.5703125" customWidth="1"/>
    <col min="7180" max="7180" width="9.140625" customWidth="1"/>
    <col min="7425" max="7434" width="9.140625" customWidth="1"/>
    <col min="7435" max="7435" width="12.5703125" customWidth="1"/>
    <col min="7436" max="7436" width="9.140625" customWidth="1"/>
    <col min="7681" max="7690" width="9.140625" customWidth="1"/>
    <col min="7691" max="7691" width="12.5703125" customWidth="1"/>
    <col min="7692" max="7692" width="9.140625" customWidth="1"/>
    <col min="7937" max="7946" width="9.140625" customWidth="1"/>
    <col min="7947" max="7947" width="12.5703125" customWidth="1"/>
    <col min="7948" max="7948" width="9.140625" customWidth="1"/>
    <col min="8193" max="8202" width="9.140625" customWidth="1"/>
    <col min="8203" max="8203" width="12.5703125" customWidth="1"/>
    <col min="8204" max="8204" width="9.140625" customWidth="1"/>
    <col min="8449" max="8458" width="9.140625" customWidth="1"/>
    <col min="8459" max="8459" width="12.5703125" customWidth="1"/>
    <col min="8460" max="8460" width="9.140625" customWidth="1"/>
    <col min="8705" max="8714" width="9.140625" customWidth="1"/>
    <col min="8715" max="8715" width="12.5703125" customWidth="1"/>
    <col min="8716" max="8716" width="9.140625" customWidth="1"/>
    <col min="8961" max="8970" width="9.140625" customWidth="1"/>
    <col min="8971" max="8971" width="12.5703125" customWidth="1"/>
    <col min="8972" max="8972" width="9.140625" customWidth="1"/>
    <col min="9217" max="9226" width="9.140625" customWidth="1"/>
    <col min="9227" max="9227" width="12.5703125" customWidth="1"/>
    <col min="9228" max="9228" width="9.140625" customWidth="1"/>
    <col min="9473" max="9482" width="9.140625" customWidth="1"/>
    <col min="9483" max="9483" width="12.5703125" customWidth="1"/>
    <col min="9484" max="9484" width="9.140625" customWidth="1"/>
    <col min="9729" max="9738" width="9.140625" customWidth="1"/>
    <col min="9739" max="9739" width="12.5703125" customWidth="1"/>
    <col min="9740" max="9740" width="9.140625" customWidth="1"/>
    <col min="9985" max="9994" width="9.140625" customWidth="1"/>
    <col min="9995" max="9995" width="12.5703125" customWidth="1"/>
    <col min="9996" max="9996" width="9.140625" customWidth="1"/>
    <col min="10241" max="10250" width="9.140625" customWidth="1"/>
    <col min="10251" max="10251" width="12.5703125" customWidth="1"/>
    <col min="10252" max="10252" width="9.140625" customWidth="1"/>
    <col min="10497" max="10506" width="9.140625" customWidth="1"/>
    <col min="10507" max="10507" width="12.5703125" customWidth="1"/>
    <col min="10508" max="10508" width="9.140625" customWidth="1"/>
    <col min="10753" max="10762" width="9.140625" customWidth="1"/>
    <col min="10763" max="10763" width="12.5703125" customWidth="1"/>
    <col min="10764" max="10764" width="9.140625" customWidth="1"/>
    <col min="11009" max="11018" width="9.140625" customWidth="1"/>
    <col min="11019" max="11019" width="12.5703125" customWidth="1"/>
    <col min="11020" max="11020" width="9.140625" customWidth="1"/>
    <col min="11265" max="11274" width="9.140625" customWidth="1"/>
    <col min="11275" max="11275" width="12.5703125" customWidth="1"/>
    <col min="11276" max="11276" width="9.140625" customWidth="1"/>
    <col min="11521" max="11530" width="9.140625" customWidth="1"/>
    <col min="11531" max="11531" width="12.5703125" customWidth="1"/>
    <col min="11532" max="11532" width="9.140625" customWidth="1"/>
    <col min="11777" max="11786" width="9.140625" customWidth="1"/>
    <col min="11787" max="11787" width="12.5703125" customWidth="1"/>
    <col min="11788" max="11788" width="9.140625" customWidth="1"/>
    <col min="12033" max="12042" width="9.140625" customWidth="1"/>
    <col min="12043" max="12043" width="12.5703125" customWidth="1"/>
    <col min="12044" max="12044" width="9.140625" customWidth="1"/>
    <col min="12289" max="12298" width="9.140625" customWidth="1"/>
    <col min="12299" max="12299" width="12.5703125" customWidth="1"/>
    <col min="12300" max="12300" width="9.140625" customWidth="1"/>
    <col min="12545" max="12554" width="9.140625" customWidth="1"/>
    <col min="12555" max="12555" width="12.5703125" customWidth="1"/>
    <col min="12556" max="12556" width="9.140625" customWidth="1"/>
    <col min="12801" max="12810" width="9.140625" customWidth="1"/>
    <col min="12811" max="12811" width="12.5703125" customWidth="1"/>
    <col min="12812" max="12812" width="9.140625" customWidth="1"/>
    <col min="13057" max="13066" width="9.140625" customWidth="1"/>
    <col min="13067" max="13067" width="12.5703125" customWidth="1"/>
    <col min="13068" max="13068" width="9.140625" customWidth="1"/>
    <col min="13313" max="13322" width="9.140625" customWidth="1"/>
    <col min="13323" max="13323" width="12.5703125" customWidth="1"/>
    <col min="13324" max="13324" width="9.140625" customWidth="1"/>
    <col min="13569" max="13578" width="9.140625" customWidth="1"/>
    <col min="13579" max="13579" width="12.5703125" customWidth="1"/>
    <col min="13580" max="13580" width="9.140625" customWidth="1"/>
    <col min="13825" max="13834" width="9.140625" customWidth="1"/>
    <col min="13835" max="13835" width="12.5703125" customWidth="1"/>
    <col min="13836" max="13836" width="9.140625" customWidth="1"/>
    <col min="14081" max="14090" width="9.140625" customWidth="1"/>
    <col min="14091" max="14091" width="12.5703125" customWidth="1"/>
    <col min="14092" max="14092" width="9.140625" customWidth="1"/>
    <col min="14337" max="14346" width="9.140625" customWidth="1"/>
    <col min="14347" max="14347" width="12.5703125" customWidth="1"/>
    <col min="14348" max="14348" width="9.140625" customWidth="1"/>
    <col min="14593" max="14602" width="9.140625" customWidth="1"/>
    <col min="14603" max="14603" width="12.5703125" customWidth="1"/>
    <col min="14604" max="14604" width="9.140625" customWidth="1"/>
    <col min="14849" max="14858" width="9.140625" customWidth="1"/>
    <col min="14859" max="14859" width="12.5703125" customWidth="1"/>
    <col min="14860" max="14860" width="9.140625" customWidth="1"/>
    <col min="15105" max="15114" width="9.140625" customWidth="1"/>
    <col min="15115" max="15115" width="12.5703125" customWidth="1"/>
    <col min="15116" max="15116" width="9.140625" customWidth="1"/>
    <col min="15361" max="15370" width="9.140625" customWidth="1"/>
    <col min="15371" max="15371" width="12.5703125" customWidth="1"/>
    <col min="15372" max="15372" width="9.140625" customWidth="1"/>
    <col min="15617" max="15626" width="9.140625" customWidth="1"/>
    <col min="15627" max="15627" width="12.5703125" customWidth="1"/>
    <col min="15628" max="15628" width="9.140625" customWidth="1"/>
    <col min="15873" max="15882" width="9.140625" customWidth="1"/>
    <col min="15883" max="15883" width="12.5703125" customWidth="1"/>
    <col min="15884" max="15884" width="9.140625" customWidth="1"/>
    <col min="16129" max="16138" width="9.140625" customWidth="1"/>
    <col min="16139" max="16139" width="12.5703125" customWidth="1"/>
    <col min="16140" max="16140" width="9.140625" customWidth="1"/>
  </cols>
  <sheetData>
    <row r="2" spans="1:12" x14ac:dyDescent="0.25">
      <c r="A2">
        <v>7.6</v>
      </c>
      <c r="B2">
        <v>1.45</v>
      </c>
      <c r="C2">
        <v>-50</v>
      </c>
      <c r="D2">
        <v>7.6</v>
      </c>
      <c r="E2">
        <v>2.9968999999999999E-2</v>
      </c>
      <c r="F2">
        <v>33.368000000000002</v>
      </c>
      <c r="G2">
        <v>593.51</v>
      </c>
      <c r="H2">
        <v>1.45</v>
      </c>
    </row>
    <row r="3" spans="1:12" x14ac:dyDescent="0.25">
      <c r="B3">
        <v>1.4562999999999999</v>
      </c>
      <c r="C3">
        <v>-45</v>
      </c>
      <c r="D3">
        <v>7.6</v>
      </c>
      <c r="E3">
        <v>2.9576999999999999E-2</v>
      </c>
      <c r="F3">
        <v>33.81</v>
      </c>
      <c r="G3">
        <v>596.13</v>
      </c>
      <c r="H3">
        <v>1.4562999999999999</v>
      </c>
    </row>
    <row r="4" spans="1:12" ht="15.75" thickBot="1" x14ac:dyDescent="0.3">
      <c r="B4">
        <v>1.4625999999999999</v>
      </c>
      <c r="C4">
        <v>-40</v>
      </c>
      <c r="D4">
        <v>7.6</v>
      </c>
      <c r="E4">
        <v>2.9197000000000001E-2</v>
      </c>
      <c r="F4">
        <v>34.25</v>
      </c>
      <c r="G4">
        <v>598.75</v>
      </c>
      <c r="H4">
        <v>1.4625999999999999</v>
      </c>
    </row>
    <row r="5" spans="1:12" x14ac:dyDescent="0.25">
      <c r="B5">
        <v>1.4688000000000001</v>
      </c>
      <c r="C5">
        <v>-35</v>
      </c>
      <c r="D5">
        <v>7.6</v>
      </c>
      <c r="E5">
        <v>2.8827999999999999E-2</v>
      </c>
      <c r="F5">
        <v>34.688000000000002</v>
      </c>
      <c r="G5">
        <v>601.35</v>
      </c>
      <c r="H5">
        <v>1.4688000000000001</v>
      </c>
      <c r="K5" s="1">
        <f ca="1">VLOOKUP([1]Sheet1!R30,INDIRECT(K7):INDIRECT(L7),2)</f>
        <v>240</v>
      </c>
      <c r="L5" s="2">
        <f ca="1">VLOOKUP([1]Sheet1!R30,INDIRECT(K7):INDIRECT(L7),6)</f>
        <v>728.23</v>
      </c>
    </row>
    <row r="6" spans="1:12" x14ac:dyDescent="0.25">
      <c r="B6">
        <v>1.4748000000000001</v>
      </c>
      <c r="C6">
        <v>-30</v>
      </c>
      <c r="D6">
        <v>7.6</v>
      </c>
      <c r="E6">
        <v>2.8469999999999999E-2</v>
      </c>
      <c r="F6">
        <v>35.125</v>
      </c>
      <c r="G6">
        <v>603.94000000000005</v>
      </c>
      <c r="H6">
        <v>1.4748000000000001</v>
      </c>
      <c r="K6" s="3"/>
      <c r="L6" s="4"/>
    </row>
    <row r="7" spans="1:12" ht="15.75" thickBot="1" x14ac:dyDescent="0.3">
      <c r="B7">
        <v>1.4807999999999999</v>
      </c>
      <c r="C7">
        <v>-25</v>
      </c>
      <c r="D7">
        <v>7.6</v>
      </c>
      <c r="E7">
        <v>2.8122000000000001E-2</v>
      </c>
      <c r="F7">
        <v>35.56</v>
      </c>
      <c r="G7">
        <v>606.52</v>
      </c>
      <c r="H7">
        <v>1.4807999999999999</v>
      </c>
      <c r="K7" s="5" t="str">
        <f>VLOOKUP([1]Sheet1!M54,[1]Sheet3!A1:D82,3)</f>
        <v>b4250</v>
      </c>
      <c r="L7" s="6" t="str">
        <f>VLOOKUP([1]Sheet1!M54,[1]Sheet3!A1:D82,4)</f>
        <v>h4320</v>
      </c>
    </row>
    <row r="8" spans="1:12" ht="15.75" thickBot="1" x14ac:dyDescent="0.3">
      <c r="B8">
        <v>1.4866999999999999</v>
      </c>
      <c r="C8">
        <v>-20</v>
      </c>
      <c r="D8">
        <v>7.6</v>
      </c>
      <c r="E8">
        <v>2.7782999999999999E-2</v>
      </c>
      <c r="F8">
        <v>35.994</v>
      </c>
      <c r="G8">
        <v>609.09</v>
      </c>
      <c r="H8">
        <v>1.4866999999999999</v>
      </c>
    </row>
    <row r="9" spans="1:12" x14ac:dyDescent="0.25">
      <c r="B9">
        <v>1.4924999999999999</v>
      </c>
      <c r="C9">
        <v>-15</v>
      </c>
      <c r="D9">
        <v>7.6</v>
      </c>
      <c r="E9">
        <v>2.7453000000000002E-2</v>
      </c>
      <c r="F9">
        <v>36.426000000000002</v>
      </c>
      <c r="G9">
        <v>611.65</v>
      </c>
      <c r="H9">
        <v>1.4924999999999999</v>
      </c>
      <c r="K9" s="1">
        <f ca="1">VLOOKUP([1]Sheet1!Q7,INDIRECT(K10):INDIRECT(L10),6)</f>
        <v>1.3339000000000001</v>
      </c>
      <c r="L9" s="2"/>
    </row>
    <row r="10" spans="1:12" ht="15.75" thickBot="1" x14ac:dyDescent="0.3">
      <c r="B10">
        <v>1.4982</v>
      </c>
      <c r="C10">
        <v>-10</v>
      </c>
      <c r="D10">
        <v>7.6</v>
      </c>
      <c r="E10">
        <v>2.7130999999999999E-2</v>
      </c>
      <c r="F10">
        <v>36.857999999999997</v>
      </c>
      <c r="G10">
        <v>614.21</v>
      </c>
      <c r="H10">
        <v>1.4982</v>
      </c>
      <c r="K10" s="5" t="str">
        <f>VLOOKUP([1]Sheet1!O29,[1]Sheet3!F1:I82,3)</f>
        <v>c1658</v>
      </c>
      <c r="L10" s="6" t="str">
        <f>VLOOKUP([1]Sheet1!O29,[1]Sheet3!F1:I82,4)</f>
        <v>h1728</v>
      </c>
    </row>
    <row r="11" spans="1:12" x14ac:dyDescent="0.25">
      <c r="B11">
        <v>1.5038</v>
      </c>
      <c r="C11">
        <v>-5</v>
      </c>
      <c r="D11">
        <v>7.6</v>
      </c>
      <c r="E11">
        <v>2.6818000000000002E-2</v>
      </c>
      <c r="F11">
        <v>37.287999999999997</v>
      </c>
      <c r="G11">
        <v>616.76</v>
      </c>
      <c r="H11">
        <v>1.5038</v>
      </c>
    </row>
    <row r="12" spans="1:12" x14ac:dyDescent="0.25">
      <c r="B12">
        <v>1.5094000000000001</v>
      </c>
      <c r="C12">
        <v>0</v>
      </c>
      <c r="D12">
        <v>7.6</v>
      </c>
      <c r="E12">
        <v>2.6512000000000001E-2</v>
      </c>
      <c r="F12">
        <v>37.718000000000004</v>
      </c>
      <c r="G12">
        <v>619.30999999999995</v>
      </c>
      <c r="H12">
        <v>1.5094000000000001</v>
      </c>
    </row>
    <row r="13" spans="1:12" x14ac:dyDescent="0.25">
      <c r="B13">
        <v>1.5148999999999999</v>
      </c>
      <c r="C13">
        <v>5</v>
      </c>
      <c r="D13">
        <v>7.6</v>
      </c>
      <c r="E13">
        <v>2.6214000000000001E-2</v>
      </c>
      <c r="F13">
        <v>38.146999999999998</v>
      </c>
      <c r="G13">
        <v>621.86</v>
      </c>
      <c r="H13">
        <v>1.5148999999999999</v>
      </c>
    </row>
    <row r="14" spans="1:12" x14ac:dyDescent="0.25">
      <c r="B14">
        <v>1.5204</v>
      </c>
      <c r="C14">
        <v>10</v>
      </c>
      <c r="D14">
        <v>7.6</v>
      </c>
      <c r="E14">
        <v>2.5923999999999999E-2</v>
      </c>
      <c r="F14">
        <v>38.575000000000003</v>
      </c>
      <c r="G14">
        <v>624.4</v>
      </c>
      <c r="H14">
        <v>1.5204</v>
      </c>
    </row>
    <row r="15" spans="1:12" x14ac:dyDescent="0.25">
      <c r="B15">
        <v>1.5257000000000001</v>
      </c>
      <c r="C15">
        <v>15</v>
      </c>
      <c r="D15">
        <v>7.6</v>
      </c>
      <c r="E15">
        <v>2.564E-2</v>
      </c>
      <c r="F15">
        <v>39.002000000000002</v>
      </c>
      <c r="G15">
        <v>626.94000000000005</v>
      </c>
      <c r="H15">
        <v>1.5257000000000001</v>
      </c>
    </row>
    <row r="16" spans="1:12" x14ac:dyDescent="0.25">
      <c r="B16">
        <v>1.5310999999999999</v>
      </c>
      <c r="C16">
        <v>20</v>
      </c>
      <c r="D16">
        <v>7.6</v>
      </c>
      <c r="E16">
        <v>2.5361999999999999E-2</v>
      </c>
      <c r="F16">
        <v>39.429000000000002</v>
      </c>
      <c r="G16">
        <v>629.47</v>
      </c>
      <c r="H16">
        <v>1.5310999999999999</v>
      </c>
    </row>
    <row r="17" spans="2:8" x14ac:dyDescent="0.25">
      <c r="B17">
        <v>1.5363</v>
      </c>
      <c r="C17">
        <v>25</v>
      </c>
      <c r="D17">
        <v>7.6</v>
      </c>
      <c r="E17">
        <v>2.5090999999999999E-2</v>
      </c>
      <c r="F17">
        <v>39.854999999999997</v>
      </c>
      <c r="G17">
        <v>632.01</v>
      </c>
      <c r="H17">
        <v>1.5363</v>
      </c>
    </row>
    <row r="18" spans="2:8" x14ac:dyDescent="0.25">
      <c r="B18">
        <v>1.5415000000000001</v>
      </c>
      <c r="C18">
        <v>30</v>
      </c>
      <c r="D18">
        <v>7.6</v>
      </c>
      <c r="E18">
        <v>2.4826000000000001E-2</v>
      </c>
      <c r="F18">
        <v>40.28</v>
      </c>
      <c r="G18">
        <v>634.54</v>
      </c>
      <c r="H18">
        <v>1.5415000000000001</v>
      </c>
    </row>
    <row r="19" spans="2:8" x14ac:dyDescent="0.25">
      <c r="B19">
        <v>1.5467</v>
      </c>
      <c r="C19">
        <v>35</v>
      </c>
      <c r="D19">
        <v>7.6</v>
      </c>
      <c r="E19">
        <v>2.4566999999999999E-2</v>
      </c>
      <c r="F19">
        <v>40.704999999999998</v>
      </c>
      <c r="G19">
        <v>637.08000000000004</v>
      </c>
      <c r="H19">
        <v>1.5467</v>
      </c>
    </row>
    <row r="20" spans="2:8" x14ac:dyDescent="0.25">
      <c r="B20">
        <v>1.5518000000000001</v>
      </c>
      <c r="C20">
        <v>40</v>
      </c>
      <c r="D20">
        <v>7.6</v>
      </c>
      <c r="E20">
        <v>2.4313999999999999E-2</v>
      </c>
      <c r="F20">
        <v>41.128999999999998</v>
      </c>
      <c r="G20">
        <v>639.61</v>
      </c>
      <c r="H20">
        <v>1.5518000000000001</v>
      </c>
    </row>
    <row r="21" spans="2:8" x14ac:dyDescent="0.25">
      <c r="B21">
        <v>1.5568</v>
      </c>
      <c r="C21">
        <v>45</v>
      </c>
      <c r="D21">
        <v>7.6</v>
      </c>
      <c r="E21">
        <v>2.4066000000000001E-2</v>
      </c>
      <c r="F21">
        <v>41.552999999999997</v>
      </c>
      <c r="G21">
        <v>642.15</v>
      </c>
      <c r="H21">
        <v>1.5568</v>
      </c>
    </row>
    <row r="22" spans="2:8" x14ac:dyDescent="0.25">
      <c r="B22">
        <v>1.5618000000000001</v>
      </c>
      <c r="C22">
        <v>50</v>
      </c>
      <c r="D22">
        <v>7.6</v>
      </c>
      <c r="E22">
        <v>2.3823E-2</v>
      </c>
      <c r="F22">
        <v>41.975999999999999</v>
      </c>
      <c r="G22">
        <v>644.67999999999995</v>
      </c>
      <c r="H22">
        <v>1.5618000000000001</v>
      </c>
    </row>
    <row r="23" spans="2:8" x14ac:dyDescent="0.25">
      <c r="B23">
        <v>1.5668</v>
      </c>
      <c r="C23">
        <v>55</v>
      </c>
      <c r="D23">
        <v>7.6</v>
      </c>
      <c r="E23">
        <v>2.3584999999999998E-2</v>
      </c>
      <c r="F23">
        <v>42.399000000000001</v>
      </c>
      <c r="G23">
        <v>647.22</v>
      </c>
      <c r="H23">
        <v>1.5668</v>
      </c>
    </row>
    <row r="24" spans="2:8" x14ac:dyDescent="0.25">
      <c r="B24">
        <v>1.5717000000000001</v>
      </c>
      <c r="C24">
        <v>60</v>
      </c>
      <c r="D24">
        <v>7.6</v>
      </c>
      <c r="E24">
        <v>2.3352000000000001E-2</v>
      </c>
      <c r="F24">
        <v>42.822000000000003</v>
      </c>
      <c r="G24">
        <v>649.75</v>
      </c>
      <c r="H24">
        <v>1.5717000000000001</v>
      </c>
    </row>
    <row r="25" spans="2:8" x14ac:dyDescent="0.25">
      <c r="B25">
        <v>1.5765</v>
      </c>
      <c r="C25">
        <v>65</v>
      </c>
      <c r="D25">
        <v>7.6</v>
      </c>
      <c r="E25">
        <v>2.3123999999999999E-2</v>
      </c>
      <c r="F25">
        <v>43.244</v>
      </c>
      <c r="G25">
        <v>652.29</v>
      </c>
      <c r="H25">
        <v>1.5765</v>
      </c>
    </row>
    <row r="26" spans="2:8" x14ac:dyDescent="0.25">
      <c r="B26">
        <v>1.5813999999999999</v>
      </c>
      <c r="C26">
        <v>70</v>
      </c>
      <c r="D26">
        <v>7.6</v>
      </c>
      <c r="E26">
        <v>2.2901000000000001E-2</v>
      </c>
      <c r="F26">
        <v>43.665999999999997</v>
      </c>
      <c r="G26">
        <v>654.83000000000004</v>
      </c>
      <c r="H26">
        <v>1.5813999999999999</v>
      </c>
    </row>
    <row r="27" spans="2:8" x14ac:dyDescent="0.25">
      <c r="B27">
        <v>1.5861000000000001</v>
      </c>
      <c r="C27">
        <v>75</v>
      </c>
      <c r="D27">
        <v>7.6</v>
      </c>
      <c r="E27">
        <v>2.2682000000000001E-2</v>
      </c>
      <c r="F27">
        <v>44.088000000000001</v>
      </c>
      <c r="G27">
        <v>657.38</v>
      </c>
      <c r="H27">
        <v>1.5861000000000001</v>
      </c>
    </row>
    <row r="28" spans="2:8" x14ac:dyDescent="0.25">
      <c r="B28">
        <v>1.5909</v>
      </c>
      <c r="C28">
        <v>80</v>
      </c>
      <c r="D28">
        <v>7.6</v>
      </c>
      <c r="E28">
        <v>2.2467000000000001E-2</v>
      </c>
      <c r="F28">
        <v>44.509</v>
      </c>
      <c r="G28">
        <v>659.92</v>
      </c>
      <c r="H28">
        <v>1.5909</v>
      </c>
    </row>
    <row r="29" spans="2:8" x14ac:dyDescent="0.25">
      <c r="B29">
        <v>1.5955999999999999</v>
      </c>
      <c r="C29">
        <v>85</v>
      </c>
      <c r="D29">
        <v>7.6</v>
      </c>
      <c r="E29">
        <v>2.2256999999999999E-2</v>
      </c>
      <c r="F29">
        <v>44.93</v>
      </c>
      <c r="G29">
        <v>662.47</v>
      </c>
      <c r="H29">
        <v>1.5955999999999999</v>
      </c>
    </row>
    <row r="30" spans="2:8" x14ac:dyDescent="0.25">
      <c r="B30">
        <v>1.6002000000000001</v>
      </c>
      <c r="C30">
        <v>90</v>
      </c>
      <c r="D30">
        <v>7.6</v>
      </c>
      <c r="E30">
        <v>2.205E-2</v>
      </c>
      <c r="F30">
        <v>45.350999999999999</v>
      </c>
      <c r="G30">
        <v>665.02</v>
      </c>
      <c r="H30">
        <v>1.6002000000000001</v>
      </c>
    </row>
    <row r="31" spans="2:8" x14ac:dyDescent="0.25">
      <c r="B31">
        <v>1.6048</v>
      </c>
      <c r="C31">
        <v>95</v>
      </c>
      <c r="D31">
        <v>7.6</v>
      </c>
      <c r="E31">
        <v>2.1847999999999999E-2</v>
      </c>
      <c r="F31">
        <v>45.771000000000001</v>
      </c>
      <c r="G31">
        <v>667.57</v>
      </c>
      <c r="H31">
        <v>1.6048</v>
      </c>
    </row>
    <row r="32" spans="2:8" x14ac:dyDescent="0.25">
      <c r="B32">
        <v>1.6093999999999999</v>
      </c>
      <c r="C32">
        <v>100</v>
      </c>
      <c r="D32">
        <v>7.6</v>
      </c>
      <c r="E32">
        <v>2.1649000000000002E-2</v>
      </c>
      <c r="F32">
        <v>46.191000000000003</v>
      </c>
      <c r="G32">
        <v>670.13</v>
      </c>
      <c r="H32">
        <v>1.6093999999999999</v>
      </c>
    </row>
    <row r="33" spans="2:8" x14ac:dyDescent="0.25">
      <c r="B33">
        <v>1.6140000000000001</v>
      </c>
      <c r="C33">
        <v>105</v>
      </c>
      <c r="D33">
        <v>7.6</v>
      </c>
      <c r="E33">
        <v>2.1454000000000001E-2</v>
      </c>
      <c r="F33">
        <v>46.610999999999997</v>
      </c>
      <c r="G33">
        <v>672.69</v>
      </c>
      <c r="H33">
        <v>1.6140000000000001</v>
      </c>
    </row>
    <row r="34" spans="2:8" x14ac:dyDescent="0.25">
      <c r="B34">
        <v>1.6185</v>
      </c>
      <c r="C34">
        <v>110</v>
      </c>
      <c r="D34">
        <v>7.6</v>
      </c>
      <c r="E34">
        <v>2.1263000000000001E-2</v>
      </c>
      <c r="F34">
        <v>47.030999999999999</v>
      </c>
      <c r="G34">
        <v>675.25</v>
      </c>
      <c r="H34">
        <v>1.6185</v>
      </c>
    </row>
    <row r="35" spans="2:8" x14ac:dyDescent="0.25">
      <c r="B35">
        <v>1.623</v>
      </c>
      <c r="C35">
        <v>115</v>
      </c>
      <c r="D35">
        <v>7.6</v>
      </c>
      <c r="E35">
        <v>2.1075E-2</v>
      </c>
      <c r="F35">
        <v>47.451000000000001</v>
      </c>
      <c r="G35">
        <v>677.81</v>
      </c>
      <c r="H35">
        <v>1.623</v>
      </c>
    </row>
    <row r="36" spans="2:8" x14ac:dyDescent="0.25">
      <c r="B36">
        <v>1.6274</v>
      </c>
      <c r="C36">
        <v>120</v>
      </c>
      <c r="D36">
        <v>7.6</v>
      </c>
      <c r="E36">
        <v>2.0889999999999999E-2</v>
      </c>
      <c r="F36">
        <v>47.87</v>
      </c>
      <c r="G36">
        <v>680.38</v>
      </c>
      <c r="H36">
        <v>1.6274</v>
      </c>
    </row>
    <row r="37" spans="2:8" x14ac:dyDescent="0.25">
      <c r="B37">
        <v>1.6318999999999999</v>
      </c>
      <c r="C37">
        <v>125</v>
      </c>
      <c r="D37">
        <v>7.6</v>
      </c>
      <c r="E37">
        <v>2.0709000000000002E-2</v>
      </c>
      <c r="F37">
        <v>48.289000000000001</v>
      </c>
      <c r="G37">
        <v>682.96</v>
      </c>
      <c r="H37">
        <v>1.6318999999999999</v>
      </c>
    </row>
    <row r="38" spans="2:8" x14ac:dyDescent="0.25">
      <c r="B38">
        <v>1.6363000000000001</v>
      </c>
      <c r="C38">
        <v>130</v>
      </c>
      <c r="D38">
        <v>7.6</v>
      </c>
      <c r="E38">
        <v>2.053E-2</v>
      </c>
      <c r="F38">
        <v>48.707999999999998</v>
      </c>
      <c r="G38">
        <v>685.54</v>
      </c>
      <c r="H38">
        <v>1.6363000000000001</v>
      </c>
    </row>
    <row r="39" spans="2:8" x14ac:dyDescent="0.25">
      <c r="B39">
        <v>1.6406000000000001</v>
      </c>
      <c r="C39">
        <v>135</v>
      </c>
      <c r="D39">
        <v>7.6</v>
      </c>
      <c r="E39">
        <v>2.0355000000000002E-2</v>
      </c>
      <c r="F39">
        <v>49.127000000000002</v>
      </c>
      <c r="G39">
        <v>688.12</v>
      </c>
      <c r="H39">
        <v>1.6406000000000001</v>
      </c>
    </row>
    <row r="40" spans="2:8" x14ac:dyDescent="0.25">
      <c r="B40">
        <v>1.6449</v>
      </c>
      <c r="C40">
        <v>140</v>
      </c>
      <c r="D40">
        <v>7.6</v>
      </c>
      <c r="E40">
        <v>2.0183E-2</v>
      </c>
      <c r="F40">
        <v>49.545999999999999</v>
      </c>
      <c r="G40">
        <v>690.71</v>
      </c>
      <c r="H40">
        <v>1.6449</v>
      </c>
    </row>
    <row r="41" spans="2:8" x14ac:dyDescent="0.25">
      <c r="B41">
        <v>1.6493</v>
      </c>
      <c r="C41">
        <v>145</v>
      </c>
      <c r="D41">
        <v>7.6</v>
      </c>
      <c r="E41">
        <v>2.0014000000000001E-2</v>
      </c>
      <c r="F41">
        <v>49.963999999999999</v>
      </c>
      <c r="G41">
        <v>693.3</v>
      </c>
      <c r="H41">
        <v>1.6493</v>
      </c>
    </row>
    <row r="42" spans="2:8" x14ac:dyDescent="0.25">
      <c r="B42">
        <v>1.6535</v>
      </c>
      <c r="C42">
        <v>150</v>
      </c>
      <c r="D42">
        <v>7.6</v>
      </c>
      <c r="E42">
        <v>1.9848000000000001E-2</v>
      </c>
      <c r="F42">
        <v>50.383000000000003</v>
      </c>
      <c r="G42">
        <v>695.89</v>
      </c>
      <c r="H42">
        <v>1.6535</v>
      </c>
    </row>
    <row r="43" spans="2:8" x14ac:dyDescent="0.25">
      <c r="B43">
        <v>1.6577999999999999</v>
      </c>
      <c r="C43">
        <v>155</v>
      </c>
      <c r="D43">
        <v>7.6</v>
      </c>
      <c r="E43">
        <v>1.9685000000000001E-2</v>
      </c>
      <c r="F43">
        <v>50.801000000000002</v>
      </c>
      <c r="G43">
        <v>698.49</v>
      </c>
      <c r="H43">
        <v>1.6577999999999999</v>
      </c>
    </row>
    <row r="44" spans="2:8" x14ac:dyDescent="0.25">
      <c r="B44">
        <v>1.6619999999999999</v>
      </c>
      <c r="C44">
        <v>160</v>
      </c>
      <c r="D44">
        <v>7.6</v>
      </c>
      <c r="E44">
        <v>1.9524E-2</v>
      </c>
      <c r="F44">
        <v>51.219000000000001</v>
      </c>
      <c r="G44">
        <v>701.1</v>
      </c>
      <c r="H44">
        <v>1.6619999999999999</v>
      </c>
    </row>
    <row r="45" spans="2:8" x14ac:dyDescent="0.25">
      <c r="B45">
        <v>1.6661999999999999</v>
      </c>
      <c r="C45">
        <v>165</v>
      </c>
      <c r="D45">
        <v>7.6</v>
      </c>
      <c r="E45">
        <v>1.9366000000000001E-2</v>
      </c>
      <c r="F45">
        <v>51.637</v>
      </c>
      <c r="G45">
        <v>703.71</v>
      </c>
      <c r="H45">
        <v>1.6661999999999999</v>
      </c>
    </row>
    <row r="46" spans="2:8" x14ac:dyDescent="0.25">
      <c r="B46">
        <v>1.6704000000000001</v>
      </c>
      <c r="C46">
        <v>170</v>
      </c>
      <c r="D46">
        <v>7.6</v>
      </c>
      <c r="E46">
        <v>1.9210000000000001E-2</v>
      </c>
      <c r="F46">
        <v>52.055</v>
      </c>
      <c r="G46">
        <v>706.32</v>
      </c>
      <c r="H46">
        <v>1.6704000000000001</v>
      </c>
    </row>
    <row r="47" spans="2:8" x14ac:dyDescent="0.25">
      <c r="B47">
        <v>1.6745000000000001</v>
      </c>
      <c r="C47">
        <v>175</v>
      </c>
      <c r="D47">
        <v>7.6</v>
      </c>
      <c r="E47">
        <v>1.9057000000000001E-2</v>
      </c>
      <c r="F47">
        <v>52.472999999999999</v>
      </c>
      <c r="G47">
        <v>708.94</v>
      </c>
      <c r="H47">
        <v>1.6745000000000001</v>
      </c>
    </row>
    <row r="48" spans="2:8" x14ac:dyDescent="0.25">
      <c r="B48">
        <v>1.6786000000000001</v>
      </c>
      <c r="C48">
        <v>180</v>
      </c>
      <c r="D48">
        <v>7.6</v>
      </c>
      <c r="E48">
        <v>1.8907E-2</v>
      </c>
      <c r="F48">
        <v>52.890999999999998</v>
      </c>
      <c r="G48">
        <v>711.57</v>
      </c>
      <c r="H48">
        <v>1.6786000000000001</v>
      </c>
    </row>
    <row r="49" spans="2:8" x14ac:dyDescent="0.25">
      <c r="B49">
        <v>1.6827000000000001</v>
      </c>
      <c r="C49">
        <v>185</v>
      </c>
      <c r="D49">
        <v>7.6</v>
      </c>
      <c r="E49">
        <v>1.8759000000000001E-2</v>
      </c>
      <c r="F49">
        <v>53.308999999999997</v>
      </c>
      <c r="G49">
        <v>714.2</v>
      </c>
      <c r="H49">
        <v>1.6827000000000001</v>
      </c>
    </row>
    <row r="50" spans="2:8" x14ac:dyDescent="0.25">
      <c r="B50">
        <v>1.6868000000000001</v>
      </c>
      <c r="C50">
        <v>190</v>
      </c>
      <c r="D50">
        <v>7.6</v>
      </c>
      <c r="E50">
        <v>1.8613000000000001E-2</v>
      </c>
      <c r="F50">
        <v>53.725999999999999</v>
      </c>
      <c r="G50">
        <v>716.83</v>
      </c>
      <c r="H50">
        <v>1.6868000000000001</v>
      </c>
    </row>
    <row r="51" spans="2:8" x14ac:dyDescent="0.25">
      <c r="B51">
        <v>1.6908000000000001</v>
      </c>
      <c r="C51">
        <v>195</v>
      </c>
      <c r="D51">
        <v>7.6</v>
      </c>
      <c r="E51">
        <v>1.8468999999999999E-2</v>
      </c>
      <c r="F51">
        <v>54.143999999999998</v>
      </c>
      <c r="G51">
        <v>719.47</v>
      </c>
      <c r="H51">
        <v>1.6908000000000001</v>
      </c>
    </row>
    <row r="52" spans="2:8" x14ac:dyDescent="0.25">
      <c r="B52">
        <v>1.6949000000000001</v>
      </c>
      <c r="C52">
        <v>200</v>
      </c>
      <c r="D52">
        <v>7.6</v>
      </c>
      <c r="E52">
        <v>1.8328000000000001E-2</v>
      </c>
      <c r="F52">
        <v>54.561</v>
      </c>
      <c r="G52">
        <v>722.12</v>
      </c>
      <c r="H52">
        <v>1.6949000000000001</v>
      </c>
    </row>
    <row r="53" spans="2:8" x14ac:dyDescent="0.25">
      <c r="B53">
        <v>1.6989000000000001</v>
      </c>
      <c r="C53">
        <v>205</v>
      </c>
      <c r="D53">
        <v>7.6</v>
      </c>
      <c r="E53">
        <v>1.8189E-2</v>
      </c>
      <c r="F53">
        <v>54.978000000000002</v>
      </c>
      <c r="G53">
        <v>724.77</v>
      </c>
      <c r="H53">
        <v>1.6989000000000001</v>
      </c>
    </row>
    <row r="54" spans="2:8" x14ac:dyDescent="0.25">
      <c r="B54">
        <v>1.7029000000000001</v>
      </c>
      <c r="C54">
        <v>210</v>
      </c>
      <c r="D54">
        <v>7.6</v>
      </c>
      <c r="E54">
        <v>1.8051999999999999E-2</v>
      </c>
      <c r="F54">
        <v>55.396000000000001</v>
      </c>
      <c r="G54">
        <v>727.43</v>
      </c>
      <c r="H54">
        <v>1.7029000000000001</v>
      </c>
    </row>
    <row r="55" spans="2:8" x14ac:dyDescent="0.25">
      <c r="B55">
        <v>1.7068000000000001</v>
      </c>
      <c r="C55">
        <v>215</v>
      </c>
      <c r="D55">
        <v>7.6</v>
      </c>
      <c r="E55">
        <v>1.7916999999999999E-2</v>
      </c>
      <c r="F55">
        <v>55.813000000000002</v>
      </c>
      <c r="G55">
        <v>730.09</v>
      </c>
      <c r="H55">
        <v>1.7068000000000001</v>
      </c>
    </row>
    <row r="56" spans="2:8" x14ac:dyDescent="0.25">
      <c r="B56">
        <v>1.7108000000000001</v>
      </c>
      <c r="C56">
        <v>220</v>
      </c>
      <c r="D56">
        <v>7.6</v>
      </c>
      <c r="E56">
        <v>1.7784000000000001E-2</v>
      </c>
      <c r="F56">
        <v>56.23</v>
      </c>
      <c r="G56">
        <v>732.76</v>
      </c>
      <c r="H56">
        <v>1.7108000000000001</v>
      </c>
    </row>
    <row r="57" spans="2:8" x14ac:dyDescent="0.25">
      <c r="B57">
        <v>1.7146999999999999</v>
      </c>
      <c r="C57">
        <v>225</v>
      </c>
      <c r="D57">
        <v>7.6</v>
      </c>
      <c r="E57">
        <v>1.7652999999999999E-2</v>
      </c>
      <c r="F57">
        <v>56.646999999999998</v>
      </c>
      <c r="G57">
        <v>735.43</v>
      </c>
      <c r="H57">
        <v>1.7146999999999999</v>
      </c>
    </row>
    <row r="58" spans="2:8" x14ac:dyDescent="0.25">
      <c r="B58">
        <v>1.7185999999999999</v>
      </c>
      <c r="C58">
        <v>230</v>
      </c>
      <c r="D58">
        <v>7.6</v>
      </c>
      <c r="E58">
        <v>1.7524000000000001E-2</v>
      </c>
      <c r="F58">
        <v>57.064</v>
      </c>
      <c r="G58">
        <v>738.11</v>
      </c>
      <c r="H58">
        <v>1.7185999999999999</v>
      </c>
    </row>
    <row r="59" spans="2:8" x14ac:dyDescent="0.25">
      <c r="B59">
        <v>1.7224999999999999</v>
      </c>
      <c r="C59">
        <v>235</v>
      </c>
      <c r="D59">
        <v>7.6</v>
      </c>
      <c r="E59">
        <v>1.7396999999999999E-2</v>
      </c>
      <c r="F59">
        <v>57.48</v>
      </c>
      <c r="G59">
        <v>740.79</v>
      </c>
      <c r="H59">
        <v>1.7224999999999999</v>
      </c>
    </row>
    <row r="60" spans="2:8" x14ac:dyDescent="0.25">
      <c r="B60">
        <v>1.7262999999999999</v>
      </c>
      <c r="C60">
        <v>240</v>
      </c>
      <c r="D60">
        <v>7.6</v>
      </c>
      <c r="E60">
        <v>1.7271999999999999E-2</v>
      </c>
      <c r="F60">
        <v>57.896999999999998</v>
      </c>
      <c r="G60">
        <v>743.49</v>
      </c>
      <c r="H60">
        <v>1.7262999999999999</v>
      </c>
    </row>
    <row r="61" spans="2:8" x14ac:dyDescent="0.25">
      <c r="B61">
        <v>1.7302</v>
      </c>
      <c r="C61">
        <v>245</v>
      </c>
      <c r="D61">
        <v>7.6</v>
      </c>
      <c r="E61">
        <v>1.7149000000000001E-2</v>
      </c>
      <c r="F61">
        <v>58.314</v>
      </c>
      <c r="G61">
        <v>746.18</v>
      </c>
      <c r="H61">
        <v>1.7302</v>
      </c>
    </row>
    <row r="62" spans="2:8" x14ac:dyDescent="0.25">
      <c r="B62">
        <v>1.734</v>
      </c>
      <c r="C62">
        <v>250</v>
      </c>
      <c r="D62">
        <v>7.6</v>
      </c>
      <c r="E62">
        <v>1.7027E-2</v>
      </c>
      <c r="F62">
        <v>58.731000000000002</v>
      </c>
      <c r="G62">
        <v>748.89</v>
      </c>
      <c r="H62">
        <v>1.734</v>
      </c>
    </row>
    <row r="63" spans="2:8" x14ac:dyDescent="0.25">
      <c r="B63">
        <v>1.7378</v>
      </c>
      <c r="C63">
        <v>255</v>
      </c>
      <c r="D63">
        <v>7.6</v>
      </c>
      <c r="E63">
        <v>1.6906999999999998E-2</v>
      </c>
      <c r="F63">
        <v>59.146999999999998</v>
      </c>
      <c r="G63">
        <v>751.6</v>
      </c>
      <c r="H63">
        <v>1.7378</v>
      </c>
    </row>
    <row r="64" spans="2:8" x14ac:dyDescent="0.25">
      <c r="B64">
        <v>1.7416</v>
      </c>
      <c r="C64">
        <v>260</v>
      </c>
      <c r="D64">
        <v>7.6</v>
      </c>
      <c r="E64">
        <v>1.6788999999999998E-2</v>
      </c>
      <c r="F64">
        <v>59.564</v>
      </c>
      <c r="G64">
        <v>754.31</v>
      </c>
      <c r="H64">
        <v>1.7416</v>
      </c>
    </row>
    <row r="65" spans="1:8" x14ac:dyDescent="0.25">
      <c r="B65">
        <v>1.7453000000000001</v>
      </c>
      <c r="C65">
        <v>265</v>
      </c>
      <c r="D65">
        <v>7.6</v>
      </c>
      <c r="E65">
        <v>1.6671999999999999E-2</v>
      </c>
      <c r="F65">
        <v>59.98</v>
      </c>
      <c r="G65">
        <v>757.03</v>
      </c>
      <c r="H65">
        <v>1.7453000000000001</v>
      </c>
    </row>
    <row r="66" spans="1:8" x14ac:dyDescent="0.25">
      <c r="B66">
        <v>1.7491000000000001</v>
      </c>
      <c r="C66">
        <v>270</v>
      </c>
      <c r="D66">
        <v>7.6</v>
      </c>
      <c r="E66">
        <v>1.6556999999999999E-2</v>
      </c>
      <c r="F66">
        <v>60.396999999999998</v>
      </c>
      <c r="G66">
        <v>759.76</v>
      </c>
      <c r="H66">
        <v>1.7491000000000001</v>
      </c>
    </row>
    <row r="67" spans="1:8" x14ac:dyDescent="0.25">
      <c r="B67">
        <v>1.7527999999999999</v>
      </c>
      <c r="C67">
        <v>275</v>
      </c>
      <c r="D67">
        <v>7.6</v>
      </c>
      <c r="E67">
        <v>1.6444E-2</v>
      </c>
      <c r="F67">
        <v>60.813000000000002</v>
      </c>
      <c r="G67">
        <v>762.5</v>
      </c>
      <c r="H67">
        <v>1.7527999999999999</v>
      </c>
    </row>
    <row r="68" spans="1:8" x14ac:dyDescent="0.25">
      <c r="B68">
        <v>1.7565</v>
      </c>
      <c r="C68">
        <v>280</v>
      </c>
      <c r="D68">
        <v>7.6</v>
      </c>
      <c r="E68">
        <v>1.6331999999999999E-2</v>
      </c>
      <c r="F68">
        <v>61.23</v>
      </c>
      <c r="G68">
        <v>765.24</v>
      </c>
      <c r="H68">
        <v>1.7565</v>
      </c>
    </row>
    <row r="69" spans="1:8" x14ac:dyDescent="0.25">
      <c r="B69">
        <v>1.7602</v>
      </c>
      <c r="C69">
        <v>285</v>
      </c>
      <c r="D69">
        <v>7.6</v>
      </c>
      <c r="E69">
        <v>1.6222E-2</v>
      </c>
      <c r="F69">
        <v>61.646000000000001</v>
      </c>
      <c r="G69">
        <v>767.98</v>
      </c>
      <c r="H69">
        <v>1.7602</v>
      </c>
    </row>
    <row r="70" spans="1:8" x14ac:dyDescent="0.25">
      <c r="B70">
        <v>1.7639</v>
      </c>
      <c r="C70">
        <v>290</v>
      </c>
      <c r="D70">
        <v>7.6</v>
      </c>
      <c r="E70">
        <v>1.6112999999999999E-2</v>
      </c>
      <c r="F70">
        <v>62.061999999999998</v>
      </c>
      <c r="G70">
        <v>770.74</v>
      </c>
      <c r="H70">
        <v>1.7639</v>
      </c>
    </row>
    <row r="71" spans="1:8" x14ac:dyDescent="0.25">
      <c r="B71">
        <v>1.7676000000000001</v>
      </c>
      <c r="C71">
        <v>295</v>
      </c>
      <c r="D71">
        <v>7.6</v>
      </c>
      <c r="E71">
        <v>1.6005999999999999E-2</v>
      </c>
      <c r="F71">
        <v>62.478000000000002</v>
      </c>
      <c r="G71">
        <v>773.5</v>
      </c>
      <c r="H71">
        <v>1.7676000000000001</v>
      </c>
    </row>
    <row r="72" spans="1:8" x14ac:dyDescent="0.25">
      <c r="B72">
        <v>1.7712000000000001</v>
      </c>
      <c r="C72">
        <v>300</v>
      </c>
      <c r="D72">
        <v>7.6</v>
      </c>
      <c r="E72">
        <v>1.5900000000000001E-2</v>
      </c>
      <c r="F72">
        <v>62.895000000000003</v>
      </c>
      <c r="G72">
        <v>776.26</v>
      </c>
      <c r="H72">
        <v>1.7712000000000001</v>
      </c>
    </row>
    <row r="74" spans="1:8" x14ac:dyDescent="0.25">
      <c r="A74">
        <v>8.9</v>
      </c>
      <c r="B74">
        <v>-2.5349E-2</v>
      </c>
      <c r="C74">
        <v>-50</v>
      </c>
      <c r="D74">
        <v>8.9</v>
      </c>
      <c r="E74">
        <v>43.502000000000002</v>
      </c>
      <c r="F74">
        <v>2.2988000000000001E-2</v>
      </c>
      <c r="G74">
        <v>-10.518000000000001</v>
      </c>
      <c r="H74">
        <v>-2.5349E-2</v>
      </c>
    </row>
    <row r="75" spans="1:8" x14ac:dyDescent="0.25">
      <c r="B75">
        <v>1.4367000000000001</v>
      </c>
      <c r="C75">
        <v>-45</v>
      </c>
      <c r="D75">
        <v>8.9</v>
      </c>
      <c r="E75">
        <v>3.474E-2</v>
      </c>
      <c r="F75">
        <v>28.785</v>
      </c>
      <c r="G75">
        <v>595.47</v>
      </c>
      <c r="H75">
        <v>1.4367000000000001</v>
      </c>
    </row>
    <row r="76" spans="1:8" x14ac:dyDescent="0.25">
      <c r="B76">
        <v>1.4430000000000001</v>
      </c>
      <c r="C76">
        <v>-40</v>
      </c>
      <c r="D76">
        <v>8.9</v>
      </c>
      <c r="E76">
        <v>3.4287999999999999E-2</v>
      </c>
      <c r="F76">
        <v>29.164999999999999</v>
      </c>
      <c r="G76">
        <v>598.12</v>
      </c>
      <c r="H76">
        <v>1.4430000000000001</v>
      </c>
    </row>
    <row r="77" spans="1:8" x14ac:dyDescent="0.25">
      <c r="B77">
        <v>1.4492</v>
      </c>
      <c r="C77">
        <v>-35</v>
      </c>
      <c r="D77">
        <v>8.9</v>
      </c>
      <c r="E77">
        <v>3.3848999999999997E-2</v>
      </c>
      <c r="F77">
        <v>29.542999999999999</v>
      </c>
      <c r="G77">
        <v>600.75</v>
      </c>
      <c r="H77">
        <v>1.4492</v>
      </c>
    </row>
    <row r="78" spans="1:8" x14ac:dyDescent="0.25">
      <c r="B78">
        <v>1.4554</v>
      </c>
      <c r="C78">
        <v>-30</v>
      </c>
      <c r="D78">
        <v>8.9</v>
      </c>
      <c r="E78">
        <v>3.3424000000000002E-2</v>
      </c>
      <c r="F78">
        <v>29.919</v>
      </c>
      <c r="G78">
        <v>603.37</v>
      </c>
      <c r="H78">
        <v>1.4554</v>
      </c>
    </row>
    <row r="79" spans="1:8" x14ac:dyDescent="0.25">
      <c r="B79">
        <v>1.4614</v>
      </c>
      <c r="C79">
        <v>-25</v>
      </c>
      <c r="D79">
        <v>8.9</v>
      </c>
      <c r="E79">
        <v>3.3009999999999998E-2</v>
      </c>
      <c r="F79">
        <v>30.294</v>
      </c>
      <c r="G79">
        <v>605.98</v>
      </c>
      <c r="H79">
        <v>1.4614</v>
      </c>
    </row>
    <row r="80" spans="1:8" x14ac:dyDescent="0.25">
      <c r="B80">
        <v>1.4674</v>
      </c>
      <c r="C80">
        <v>-20</v>
      </c>
      <c r="D80">
        <v>8.9</v>
      </c>
      <c r="E80">
        <v>3.2607999999999998E-2</v>
      </c>
      <c r="F80">
        <v>30.667000000000002</v>
      </c>
      <c r="G80">
        <v>608.58000000000004</v>
      </c>
      <c r="H80">
        <v>1.4674</v>
      </c>
    </row>
    <row r="81" spans="2:8" x14ac:dyDescent="0.25">
      <c r="B81">
        <v>1.4732000000000001</v>
      </c>
      <c r="C81">
        <v>-15</v>
      </c>
      <c r="D81">
        <v>8.9</v>
      </c>
      <c r="E81">
        <v>3.2217000000000003E-2</v>
      </c>
      <c r="F81">
        <v>31.04</v>
      </c>
      <c r="G81">
        <v>611.16999999999996</v>
      </c>
      <c r="H81">
        <v>1.4732000000000001</v>
      </c>
    </row>
    <row r="82" spans="2:8" x14ac:dyDescent="0.25">
      <c r="B82">
        <v>1.4790000000000001</v>
      </c>
      <c r="C82">
        <v>-10</v>
      </c>
      <c r="D82">
        <v>8.9</v>
      </c>
      <c r="E82">
        <v>3.1836000000000003E-2</v>
      </c>
      <c r="F82">
        <v>31.411000000000001</v>
      </c>
      <c r="G82">
        <v>613.75</v>
      </c>
      <c r="H82">
        <v>1.4790000000000001</v>
      </c>
    </row>
    <row r="83" spans="2:8" x14ac:dyDescent="0.25">
      <c r="B83">
        <v>1.4846999999999999</v>
      </c>
      <c r="C83">
        <v>-5</v>
      </c>
      <c r="D83">
        <v>8.9</v>
      </c>
      <c r="E83">
        <v>3.1465E-2</v>
      </c>
      <c r="F83">
        <v>31.780999999999999</v>
      </c>
      <c r="G83">
        <v>616.32000000000005</v>
      </c>
      <c r="H83">
        <v>1.4846999999999999</v>
      </c>
    </row>
    <row r="84" spans="2:8" x14ac:dyDescent="0.25">
      <c r="B84">
        <v>1.4903</v>
      </c>
      <c r="C84">
        <v>0</v>
      </c>
      <c r="D84">
        <v>8.9</v>
      </c>
      <c r="E84">
        <v>3.1104E-2</v>
      </c>
      <c r="F84">
        <v>32.15</v>
      </c>
      <c r="G84">
        <v>618.89</v>
      </c>
      <c r="H84">
        <v>1.4903</v>
      </c>
    </row>
    <row r="85" spans="2:8" x14ac:dyDescent="0.25">
      <c r="B85">
        <v>1.4958</v>
      </c>
      <c r="C85">
        <v>5</v>
      </c>
      <c r="D85">
        <v>8.9</v>
      </c>
      <c r="E85">
        <v>3.0752000000000002E-2</v>
      </c>
      <c r="F85">
        <v>32.518000000000001</v>
      </c>
      <c r="G85">
        <v>621.46</v>
      </c>
      <c r="H85">
        <v>1.4958</v>
      </c>
    </row>
    <row r="86" spans="2:8" x14ac:dyDescent="0.25">
      <c r="B86">
        <v>1.5013000000000001</v>
      </c>
      <c r="C86">
        <v>10</v>
      </c>
      <c r="D86">
        <v>8.9</v>
      </c>
      <c r="E86">
        <v>3.0408000000000001E-2</v>
      </c>
      <c r="F86">
        <v>32.886000000000003</v>
      </c>
      <c r="G86">
        <v>624.01</v>
      </c>
      <c r="H86">
        <v>1.5013000000000001</v>
      </c>
    </row>
    <row r="87" spans="2:8" x14ac:dyDescent="0.25">
      <c r="B87">
        <v>1.5066999999999999</v>
      </c>
      <c r="C87">
        <v>15</v>
      </c>
      <c r="D87">
        <v>8.9</v>
      </c>
      <c r="E87">
        <v>3.0072999999999999E-2</v>
      </c>
      <c r="F87">
        <v>33.253</v>
      </c>
      <c r="G87">
        <v>626.57000000000005</v>
      </c>
      <c r="H87">
        <v>1.5066999999999999</v>
      </c>
    </row>
    <row r="88" spans="2:8" x14ac:dyDescent="0.25">
      <c r="B88">
        <v>1.5121</v>
      </c>
      <c r="C88">
        <v>20</v>
      </c>
      <c r="D88">
        <v>8.9</v>
      </c>
      <c r="E88">
        <v>2.9745000000000001E-2</v>
      </c>
      <c r="F88">
        <v>33.619</v>
      </c>
      <c r="G88">
        <v>629.12</v>
      </c>
      <c r="H88">
        <v>1.5121</v>
      </c>
    </row>
    <row r="89" spans="2:8" x14ac:dyDescent="0.25">
      <c r="B89">
        <v>1.5174000000000001</v>
      </c>
      <c r="C89">
        <v>25</v>
      </c>
      <c r="D89">
        <v>8.9</v>
      </c>
      <c r="E89">
        <v>2.9425E-2</v>
      </c>
      <c r="F89">
        <v>33.984000000000002</v>
      </c>
      <c r="G89">
        <v>631.66999999999996</v>
      </c>
      <c r="H89">
        <v>1.5174000000000001</v>
      </c>
    </row>
    <row r="90" spans="2:8" x14ac:dyDescent="0.25">
      <c r="B90">
        <v>1.5226</v>
      </c>
      <c r="C90">
        <v>30</v>
      </c>
      <c r="D90">
        <v>8.9</v>
      </c>
      <c r="E90">
        <v>2.9113E-2</v>
      </c>
      <c r="F90">
        <v>34.348999999999997</v>
      </c>
      <c r="G90">
        <v>634.22</v>
      </c>
      <c r="H90">
        <v>1.5226</v>
      </c>
    </row>
    <row r="91" spans="2:8" x14ac:dyDescent="0.25">
      <c r="B91">
        <v>1.5278</v>
      </c>
      <c r="C91">
        <v>35</v>
      </c>
      <c r="D91">
        <v>8.9</v>
      </c>
      <c r="E91">
        <v>2.8806999999999999E-2</v>
      </c>
      <c r="F91">
        <v>34.713000000000001</v>
      </c>
      <c r="G91">
        <v>636.77</v>
      </c>
      <c r="H91">
        <v>1.5278</v>
      </c>
    </row>
    <row r="92" spans="2:8" x14ac:dyDescent="0.25">
      <c r="B92">
        <v>1.5328999999999999</v>
      </c>
      <c r="C92">
        <v>40</v>
      </c>
      <c r="D92">
        <v>8.9</v>
      </c>
      <c r="E92">
        <v>2.8509E-2</v>
      </c>
      <c r="F92">
        <v>35.076999999999998</v>
      </c>
      <c r="G92">
        <v>639.30999999999995</v>
      </c>
      <c r="H92">
        <v>1.5328999999999999</v>
      </c>
    </row>
    <row r="93" spans="2:8" x14ac:dyDescent="0.25">
      <c r="B93">
        <v>1.538</v>
      </c>
      <c r="C93">
        <v>45</v>
      </c>
      <c r="D93">
        <v>8.9</v>
      </c>
      <c r="E93">
        <v>2.8216000000000001E-2</v>
      </c>
      <c r="F93">
        <v>35.441000000000003</v>
      </c>
      <c r="G93">
        <v>641.86</v>
      </c>
      <c r="H93">
        <v>1.538</v>
      </c>
    </row>
    <row r="94" spans="2:8" x14ac:dyDescent="0.25">
      <c r="B94">
        <v>1.5429999999999999</v>
      </c>
      <c r="C94">
        <v>50</v>
      </c>
      <c r="D94">
        <v>8.9</v>
      </c>
      <c r="E94">
        <v>2.793E-2</v>
      </c>
      <c r="F94">
        <v>35.802999999999997</v>
      </c>
      <c r="G94">
        <v>644.4</v>
      </c>
      <c r="H94">
        <v>1.5429999999999999</v>
      </c>
    </row>
    <row r="95" spans="2:8" x14ac:dyDescent="0.25">
      <c r="B95">
        <v>1.5479000000000001</v>
      </c>
      <c r="C95">
        <v>55</v>
      </c>
      <c r="D95">
        <v>8.9</v>
      </c>
      <c r="E95">
        <v>2.7650000000000001E-2</v>
      </c>
      <c r="F95">
        <v>36.165999999999997</v>
      </c>
      <c r="G95">
        <v>646.95000000000005</v>
      </c>
      <c r="H95">
        <v>1.5479000000000001</v>
      </c>
    </row>
    <row r="96" spans="2:8" x14ac:dyDescent="0.25">
      <c r="B96">
        <v>1.5528999999999999</v>
      </c>
      <c r="C96">
        <v>60</v>
      </c>
      <c r="D96">
        <v>8.9</v>
      </c>
      <c r="E96">
        <v>2.7376000000000001E-2</v>
      </c>
      <c r="F96">
        <v>36.527999999999999</v>
      </c>
      <c r="G96">
        <v>649.49</v>
      </c>
      <c r="H96">
        <v>1.5528999999999999</v>
      </c>
    </row>
    <row r="97" spans="2:8" x14ac:dyDescent="0.25">
      <c r="B97">
        <v>1.5577000000000001</v>
      </c>
      <c r="C97">
        <v>65</v>
      </c>
      <c r="D97">
        <v>8.9</v>
      </c>
      <c r="E97">
        <v>2.7108E-2</v>
      </c>
      <c r="F97">
        <v>36.89</v>
      </c>
      <c r="G97">
        <v>652.04</v>
      </c>
      <c r="H97">
        <v>1.5577000000000001</v>
      </c>
    </row>
    <row r="98" spans="2:8" x14ac:dyDescent="0.25">
      <c r="B98">
        <v>1.5626</v>
      </c>
      <c r="C98">
        <v>70</v>
      </c>
      <c r="D98">
        <v>8.9</v>
      </c>
      <c r="E98">
        <v>2.6845000000000001E-2</v>
      </c>
      <c r="F98">
        <v>37.250999999999998</v>
      </c>
      <c r="G98">
        <v>654.59</v>
      </c>
      <c r="H98">
        <v>1.5626</v>
      </c>
    </row>
    <row r="99" spans="2:8" x14ac:dyDescent="0.25">
      <c r="B99">
        <v>1.5673999999999999</v>
      </c>
      <c r="C99">
        <v>75</v>
      </c>
      <c r="D99">
        <v>8.9</v>
      </c>
      <c r="E99">
        <v>2.6587E-2</v>
      </c>
      <c r="F99">
        <v>37.612000000000002</v>
      </c>
      <c r="G99">
        <v>657.14</v>
      </c>
      <c r="H99">
        <v>1.5673999999999999</v>
      </c>
    </row>
    <row r="100" spans="2:8" x14ac:dyDescent="0.25">
      <c r="B100">
        <v>1.5721000000000001</v>
      </c>
      <c r="C100">
        <v>80</v>
      </c>
      <c r="D100">
        <v>8.9</v>
      </c>
      <c r="E100">
        <v>2.6335000000000001E-2</v>
      </c>
      <c r="F100">
        <v>37.972999999999999</v>
      </c>
      <c r="G100">
        <v>659.69</v>
      </c>
      <c r="H100">
        <v>1.5721000000000001</v>
      </c>
    </row>
    <row r="101" spans="2:8" x14ac:dyDescent="0.25">
      <c r="B101">
        <v>1.5768</v>
      </c>
      <c r="C101">
        <v>85</v>
      </c>
      <c r="D101">
        <v>8.9</v>
      </c>
      <c r="E101">
        <v>2.6086999999999999E-2</v>
      </c>
      <c r="F101">
        <v>38.332999999999998</v>
      </c>
      <c r="G101">
        <v>662.25</v>
      </c>
      <c r="H101">
        <v>1.5768</v>
      </c>
    </row>
    <row r="102" spans="2:8" x14ac:dyDescent="0.25">
      <c r="B102">
        <v>1.5814999999999999</v>
      </c>
      <c r="C102">
        <v>90</v>
      </c>
      <c r="D102">
        <v>8.9</v>
      </c>
      <c r="E102">
        <v>2.5843999999999999E-2</v>
      </c>
      <c r="F102">
        <v>38.692999999999998</v>
      </c>
      <c r="G102">
        <v>664.8</v>
      </c>
      <c r="H102">
        <v>1.5814999999999999</v>
      </c>
    </row>
    <row r="103" spans="2:8" x14ac:dyDescent="0.25">
      <c r="B103">
        <v>1.5861000000000001</v>
      </c>
      <c r="C103">
        <v>95</v>
      </c>
      <c r="D103">
        <v>8.9</v>
      </c>
      <c r="E103">
        <v>2.5606E-2</v>
      </c>
      <c r="F103">
        <v>39.052999999999997</v>
      </c>
      <c r="G103">
        <v>667.36</v>
      </c>
      <c r="H103">
        <v>1.5861000000000001</v>
      </c>
    </row>
    <row r="104" spans="2:8" x14ac:dyDescent="0.25">
      <c r="B104">
        <v>1.5907</v>
      </c>
      <c r="C104">
        <v>100</v>
      </c>
      <c r="D104">
        <v>8.9</v>
      </c>
      <c r="E104">
        <v>2.5371999999999999E-2</v>
      </c>
      <c r="F104">
        <v>39.412999999999997</v>
      </c>
      <c r="G104">
        <v>669.93</v>
      </c>
      <c r="H104">
        <v>1.5907</v>
      </c>
    </row>
    <row r="105" spans="2:8" x14ac:dyDescent="0.25">
      <c r="B105">
        <v>1.5952999999999999</v>
      </c>
      <c r="C105">
        <v>105</v>
      </c>
      <c r="D105">
        <v>8.9</v>
      </c>
      <c r="E105">
        <v>2.5142999999999999E-2</v>
      </c>
      <c r="F105">
        <v>39.771999999999998</v>
      </c>
      <c r="G105">
        <v>672.49</v>
      </c>
      <c r="H105">
        <v>1.5952999999999999</v>
      </c>
    </row>
    <row r="106" spans="2:8" x14ac:dyDescent="0.25">
      <c r="B106">
        <v>1.5998000000000001</v>
      </c>
      <c r="C106">
        <v>110</v>
      </c>
      <c r="D106">
        <v>8.9</v>
      </c>
      <c r="E106">
        <v>2.4917999999999999E-2</v>
      </c>
      <c r="F106">
        <v>40.131999999999998</v>
      </c>
      <c r="G106">
        <v>675.06</v>
      </c>
      <c r="H106">
        <v>1.5998000000000001</v>
      </c>
    </row>
    <row r="107" spans="2:8" x14ac:dyDescent="0.25">
      <c r="B107">
        <v>1.6043000000000001</v>
      </c>
      <c r="C107">
        <v>115</v>
      </c>
      <c r="D107">
        <v>8.9</v>
      </c>
      <c r="E107">
        <v>2.4697E-2</v>
      </c>
      <c r="F107">
        <v>40.491</v>
      </c>
      <c r="G107">
        <v>677.63</v>
      </c>
      <c r="H107">
        <v>1.6043000000000001</v>
      </c>
    </row>
    <row r="108" spans="2:8" x14ac:dyDescent="0.25">
      <c r="B108">
        <v>1.6088</v>
      </c>
      <c r="C108">
        <v>120</v>
      </c>
      <c r="D108">
        <v>8.9</v>
      </c>
      <c r="E108">
        <v>2.4479999999999998E-2</v>
      </c>
      <c r="F108">
        <v>40.848999999999997</v>
      </c>
      <c r="G108">
        <v>680.21</v>
      </c>
      <c r="H108">
        <v>1.6088</v>
      </c>
    </row>
    <row r="109" spans="2:8" x14ac:dyDescent="0.25">
      <c r="B109">
        <v>1.6132</v>
      </c>
      <c r="C109">
        <v>125</v>
      </c>
      <c r="D109">
        <v>8.9</v>
      </c>
      <c r="E109">
        <v>2.4267E-2</v>
      </c>
      <c r="F109">
        <v>41.207999999999998</v>
      </c>
      <c r="G109">
        <v>682.79</v>
      </c>
      <c r="H109">
        <v>1.6132</v>
      </c>
    </row>
    <row r="110" spans="2:8" x14ac:dyDescent="0.25">
      <c r="B110">
        <v>1.6175999999999999</v>
      </c>
      <c r="C110">
        <v>130</v>
      </c>
      <c r="D110">
        <v>8.9</v>
      </c>
      <c r="E110">
        <v>2.4058E-2</v>
      </c>
      <c r="F110">
        <v>41.567</v>
      </c>
      <c r="G110">
        <v>685.37</v>
      </c>
      <c r="H110">
        <v>1.6175999999999999</v>
      </c>
    </row>
    <row r="111" spans="2:8" x14ac:dyDescent="0.25">
      <c r="B111">
        <v>1.6220000000000001</v>
      </c>
      <c r="C111">
        <v>135</v>
      </c>
      <c r="D111">
        <v>8.9</v>
      </c>
      <c r="E111">
        <v>2.3852000000000002E-2</v>
      </c>
      <c r="F111">
        <v>41.924999999999997</v>
      </c>
      <c r="G111">
        <v>687.95</v>
      </c>
      <c r="H111">
        <v>1.6220000000000001</v>
      </c>
    </row>
    <row r="112" spans="2:8" x14ac:dyDescent="0.25">
      <c r="B112">
        <v>1.6263000000000001</v>
      </c>
      <c r="C112">
        <v>140</v>
      </c>
      <c r="D112">
        <v>8.9</v>
      </c>
      <c r="E112">
        <v>2.3650000000000001E-2</v>
      </c>
      <c r="F112">
        <v>42.283000000000001</v>
      </c>
      <c r="G112">
        <v>690.55</v>
      </c>
      <c r="H112">
        <v>1.6263000000000001</v>
      </c>
    </row>
    <row r="113" spans="2:8" x14ac:dyDescent="0.25">
      <c r="B113">
        <v>1.6306</v>
      </c>
      <c r="C113">
        <v>145</v>
      </c>
      <c r="D113">
        <v>8.9</v>
      </c>
      <c r="E113">
        <v>2.3452000000000001E-2</v>
      </c>
      <c r="F113">
        <v>42.640999999999998</v>
      </c>
      <c r="G113">
        <v>693.14</v>
      </c>
      <c r="H113">
        <v>1.6306</v>
      </c>
    </row>
    <row r="114" spans="2:8" x14ac:dyDescent="0.25">
      <c r="B114">
        <v>1.6349</v>
      </c>
      <c r="C114">
        <v>150</v>
      </c>
      <c r="D114">
        <v>8.9</v>
      </c>
      <c r="E114">
        <v>2.3255999999999999E-2</v>
      </c>
      <c r="F114">
        <v>42.999000000000002</v>
      </c>
      <c r="G114">
        <v>695.74</v>
      </c>
      <c r="H114">
        <v>1.6349</v>
      </c>
    </row>
    <row r="115" spans="2:8" x14ac:dyDescent="0.25">
      <c r="B115">
        <v>1.6392</v>
      </c>
      <c r="C115">
        <v>155</v>
      </c>
      <c r="D115">
        <v>8.9</v>
      </c>
      <c r="E115">
        <v>2.3064000000000001E-2</v>
      </c>
      <c r="F115">
        <v>43.356999999999999</v>
      </c>
      <c r="G115">
        <v>698.34</v>
      </c>
      <c r="H115">
        <v>1.6392</v>
      </c>
    </row>
    <row r="116" spans="2:8" x14ac:dyDescent="0.25">
      <c r="B116">
        <v>1.6434</v>
      </c>
      <c r="C116">
        <v>160</v>
      </c>
      <c r="D116">
        <v>8.9</v>
      </c>
      <c r="E116">
        <v>2.2876000000000001E-2</v>
      </c>
      <c r="F116">
        <v>43.713999999999999</v>
      </c>
      <c r="G116">
        <v>700.95</v>
      </c>
      <c r="H116">
        <v>1.6434</v>
      </c>
    </row>
    <row r="117" spans="2:8" x14ac:dyDescent="0.25">
      <c r="B117">
        <v>1.6476</v>
      </c>
      <c r="C117">
        <v>165</v>
      </c>
      <c r="D117">
        <v>8.9</v>
      </c>
      <c r="E117">
        <v>2.2689999999999998E-2</v>
      </c>
      <c r="F117">
        <v>44.072000000000003</v>
      </c>
      <c r="G117">
        <v>703.57</v>
      </c>
      <c r="H117">
        <v>1.6476</v>
      </c>
    </row>
    <row r="118" spans="2:8" x14ac:dyDescent="0.25">
      <c r="B118">
        <v>1.6517999999999999</v>
      </c>
      <c r="C118">
        <v>170</v>
      </c>
      <c r="D118">
        <v>8.9</v>
      </c>
      <c r="E118">
        <v>2.2508E-2</v>
      </c>
      <c r="F118">
        <v>44.429000000000002</v>
      </c>
      <c r="G118">
        <v>706.18</v>
      </c>
      <c r="H118">
        <v>1.6517999999999999</v>
      </c>
    </row>
    <row r="119" spans="2:8" x14ac:dyDescent="0.25">
      <c r="B119">
        <v>1.6558999999999999</v>
      </c>
      <c r="C119">
        <v>175</v>
      </c>
      <c r="D119">
        <v>8.9</v>
      </c>
      <c r="E119">
        <v>2.2328000000000001E-2</v>
      </c>
      <c r="F119">
        <v>44.786999999999999</v>
      </c>
      <c r="G119">
        <v>708.81</v>
      </c>
      <c r="H119">
        <v>1.6558999999999999</v>
      </c>
    </row>
    <row r="120" spans="2:8" x14ac:dyDescent="0.25">
      <c r="B120">
        <v>1.66</v>
      </c>
      <c r="C120">
        <v>180</v>
      </c>
      <c r="D120">
        <v>8.9</v>
      </c>
      <c r="E120">
        <v>2.2151000000000001E-2</v>
      </c>
      <c r="F120">
        <v>45.143999999999998</v>
      </c>
      <c r="G120">
        <v>711.43</v>
      </c>
      <c r="H120">
        <v>1.66</v>
      </c>
    </row>
    <row r="121" spans="2:8" x14ac:dyDescent="0.25">
      <c r="B121">
        <v>1.6640999999999999</v>
      </c>
      <c r="C121">
        <v>185</v>
      </c>
      <c r="D121">
        <v>8.9</v>
      </c>
      <c r="E121">
        <v>2.1978000000000001E-2</v>
      </c>
      <c r="F121">
        <v>45.500999999999998</v>
      </c>
      <c r="G121">
        <v>714.07</v>
      </c>
      <c r="H121">
        <v>1.6640999999999999</v>
      </c>
    </row>
    <row r="122" spans="2:8" x14ac:dyDescent="0.25">
      <c r="B122">
        <v>1.6681999999999999</v>
      </c>
      <c r="C122">
        <v>190</v>
      </c>
      <c r="D122">
        <v>8.9</v>
      </c>
      <c r="E122">
        <v>2.1805999999999999E-2</v>
      </c>
      <c r="F122">
        <v>45.857999999999997</v>
      </c>
      <c r="G122">
        <v>716.71</v>
      </c>
      <c r="H122">
        <v>1.6681999999999999</v>
      </c>
    </row>
    <row r="123" spans="2:8" x14ac:dyDescent="0.25">
      <c r="B123">
        <v>1.6722999999999999</v>
      </c>
      <c r="C123">
        <v>195</v>
      </c>
      <c r="D123">
        <v>8.9</v>
      </c>
      <c r="E123">
        <v>2.1638000000000001E-2</v>
      </c>
      <c r="F123">
        <v>46.215000000000003</v>
      </c>
      <c r="G123">
        <v>719.35</v>
      </c>
      <c r="H123">
        <v>1.6722999999999999</v>
      </c>
    </row>
    <row r="124" spans="2:8" x14ac:dyDescent="0.25">
      <c r="B124">
        <v>1.6762999999999999</v>
      </c>
      <c r="C124">
        <v>200</v>
      </c>
      <c r="D124">
        <v>8.9</v>
      </c>
      <c r="E124">
        <v>2.1472000000000002E-2</v>
      </c>
      <c r="F124">
        <v>46.572000000000003</v>
      </c>
      <c r="G124">
        <v>722</v>
      </c>
      <c r="H124">
        <v>1.6762999999999999</v>
      </c>
    </row>
    <row r="125" spans="2:8" x14ac:dyDescent="0.25">
      <c r="B125">
        <v>1.6802999999999999</v>
      </c>
      <c r="C125">
        <v>205</v>
      </c>
      <c r="D125">
        <v>8.9</v>
      </c>
      <c r="E125">
        <v>2.1309000000000002E-2</v>
      </c>
      <c r="F125">
        <v>46.927999999999997</v>
      </c>
      <c r="G125">
        <v>724.65</v>
      </c>
      <c r="H125">
        <v>1.6802999999999999</v>
      </c>
    </row>
    <row r="126" spans="2:8" x14ac:dyDescent="0.25">
      <c r="B126">
        <v>1.6842999999999999</v>
      </c>
      <c r="C126">
        <v>210</v>
      </c>
      <c r="D126">
        <v>8.9</v>
      </c>
      <c r="E126">
        <v>2.1148E-2</v>
      </c>
      <c r="F126">
        <v>47.284999999999997</v>
      </c>
      <c r="G126">
        <v>727.31</v>
      </c>
      <c r="H126">
        <v>1.6842999999999999</v>
      </c>
    </row>
    <row r="127" spans="2:8" x14ac:dyDescent="0.25">
      <c r="B127">
        <v>1.6882999999999999</v>
      </c>
      <c r="C127">
        <v>215</v>
      </c>
      <c r="D127">
        <v>8.9</v>
      </c>
      <c r="E127">
        <v>2.0990000000000002E-2</v>
      </c>
      <c r="F127">
        <v>47.642000000000003</v>
      </c>
      <c r="G127">
        <v>729.98</v>
      </c>
      <c r="H127">
        <v>1.6882999999999999</v>
      </c>
    </row>
    <row r="128" spans="2:8" x14ac:dyDescent="0.25">
      <c r="B128">
        <v>1.6921999999999999</v>
      </c>
      <c r="C128">
        <v>220</v>
      </c>
      <c r="D128">
        <v>8.9</v>
      </c>
      <c r="E128">
        <v>2.0833999999999998E-2</v>
      </c>
      <c r="F128">
        <v>47.997999999999998</v>
      </c>
      <c r="G128">
        <v>732.65</v>
      </c>
      <c r="H128">
        <v>1.6921999999999999</v>
      </c>
    </row>
    <row r="129" spans="2:8" x14ac:dyDescent="0.25">
      <c r="B129">
        <v>1.6960999999999999</v>
      </c>
      <c r="C129">
        <v>225</v>
      </c>
      <c r="D129">
        <v>8.9</v>
      </c>
      <c r="E129">
        <v>2.0681000000000001E-2</v>
      </c>
      <c r="F129">
        <v>48.354999999999997</v>
      </c>
      <c r="G129">
        <v>735.32</v>
      </c>
      <c r="H129">
        <v>1.6960999999999999</v>
      </c>
    </row>
    <row r="130" spans="2:8" x14ac:dyDescent="0.25">
      <c r="B130">
        <v>1.7</v>
      </c>
      <c r="C130">
        <v>230</v>
      </c>
      <c r="D130">
        <v>8.9</v>
      </c>
      <c r="E130">
        <v>2.0528999999999999E-2</v>
      </c>
      <c r="F130">
        <v>48.710999999999999</v>
      </c>
      <c r="G130">
        <v>738</v>
      </c>
      <c r="H130">
        <v>1.7</v>
      </c>
    </row>
    <row r="131" spans="2:8" x14ac:dyDescent="0.25">
      <c r="B131">
        <v>1.7039</v>
      </c>
      <c r="C131">
        <v>235</v>
      </c>
      <c r="D131">
        <v>8.9</v>
      </c>
      <c r="E131">
        <v>2.0379999999999999E-2</v>
      </c>
      <c r="F131">
        <v>49.067</v>
      </c>
      <c r="G131">
        <v>740.69</v>
      </c>
      <c r="H131">
        <v>1.7039</v>
      </c>
    </row>
    <row r="132" spans="2:8" x14ac:dyDescent="0.25">
      <c r="B132">
        <v>1.7078</v>
      </c>
      <c r="C132">
        <v>240</v>
      </c>
      <c r="D132">
        <v>8.9</v>
      </c>
      <c r="E132">
        <v>2.0233000000000001E-2</v>
      </c>
      <c r="F132">
        <v>49.423000000000002</v>
      </c>
      <c r="G132">
        <v>743.38</v>
      </c>
      <c r="H132">
        <v>1.7078</v>
      </c>
    </row>
    <row r="133" spans="2:8" x14ac:dyDescent="0.25">
      <c r="B133">
        <v>1.7116</v>
      </c>
      <c r="C133">
        <v>245</v>
      </c>
      <c r="D133">
        <v>8.9</v>
      </c>
      <c r="E133">
        <v>2.0088999999999999E-2</v>
      </c>
      <c r="F133">
        <v>49.78</v>
      </c>
      <c r="G133">
        <v>746.08</v>
      </c>
      <c r="H133">
        <v>1.7116</v>
      </c>
    </row>
    <row r="134" spans="2:8" x14ac:dyDescent="0.25">
      <c r="B134">
        <v>1.7154</v>
      </c>
      <c r="C134">
        <v>250</v>
      </c>
      <c r="D134">
        <v>8.9</v>
      </c>
      <c r="E134">
        <v>1.9945999999999998E-2</v>
      </c>
      <c r="F134">
        <v>50.136000000000003</v>
      </c>
      <c r="G134">
        <v>748.79</v>
      </c>
      <c r="H134">
        <v>1.7154</v>
      </c>
    </row>
    <row r="135" spans="2:8" x14ac:dyDescent="0.25">
      <c r="B135">
        <v>1.7193000000000001</v>
      </c>
      <c r="C135">
        <v>255</v>
      </c>
      <c r="D135">
        <v>8.9</v>
      </c>
      <c r="E135">
        <v>1.9805E-2</v>
      </c>
      <c r="F135">
        <v>50.491999999999997</v>
      </c>
      <c r="G135">
        <v>751.5</v>
      </c>
      <c r="H135">
        <v>1.7193000000000001</v>
      </c>
    </row>
    <row r="136" spans="2:8" x14ac:dyDescent="0.25">
      <c r="B136">
        <v>1.7230000000000001</v>
      </c>
      <c r="C136">
        <v>260</v>
      </c>
      <c r="D136">
        <v>8.9</v>
      </c>
      <c r="E136">
        <v>1.9667E-2</v>
      </c>
      <c r="F136">
        <v>50.847999999999999</v>
      </c>
      <c r="G136">
        <v>754.22</v>
      </c>
      <c r="H136">
        <v>1.7230000000000001</v>
      </c>
    </row>
    <row r="137" spans="2:8" x14ac:dyDescent="0.25">
      <c r="B137">
        <v>1.7267999999999999</v>
      </c>
      <c r="C137">
        <v>265</v>
      </c>
      <c r="D137">
        <v>8.9</v>
      </c>
      <c r="E137">
        <v>1.9529999999999999E-2</v>
      </c>
      <c r="F137">
        <v>51.204000000000001</v>
      </c>
      <c r="G137">
        <v>756.94</v>
      </c>
      <c r="H137">
        <v>1.7267999999999999</v>
      </c>
    </row>
    <row r="138" spans="2:8" x14ac:dyDescent="0.25">
      <c r="B138">
        <v>1.7305999999999999</v>
      </c>
      <c r="C138">
        <v>270</v>
      </c>
      <c r="D138">
        <v>8.9</v>
      </c>
      <c r="E138">
        <v>1.9394999999999999E-2</v>
      </c>
      <c r="F138">
        <v>51.56</v>
      </c>
      <c r="G138">
        <v>759.67</v>
      </c>
      <c r="H138">
        <v>1.7305999999999999</v>
      </c>
    </row>
    <row r="139" spans="2:8" x14ac:dyDescent="0.25">
      <c r="B139">
        <v>1.7343</v>
      </c>
      <c r="C139">
        <v>275</v>
      </c>
      <c r="D139">
        <v>8.9</v>
      </c>
      <c r="E139">
        <v>1.9262000000000001E-2</v>
      </c>
      <c r="F139">
        <v>51.915999999999997</v>
      </c>
      <c r="G139">
        <v>762.41</v>
      </c>
      <c r="H139">
        <v>1.7343</v>
      </c>
    </row>
    <row r="140" spans="2:8" x14ac:dyDescent="0.25">
      <c r="B140">
        <v>1.738</v>
      </c>
      <c r="C140">
        <v>280</v>
      </c>
      <c r="D140">
        <v>8.9</v>
      </c>
      <c r="E140">
        <v>1.9130999999999999E-2</v>
      </c>
      <c r="F140">
        <v>52.271000000000001</v>
      </c>
      <c r="G140">
        <v>765.15</v>
      </c>
      <c r="H140">
        <v>1.738</v>
      </c>
    </row>
    <row r="141" spans="2:8" x14ac:dyDescent="0.25">
      <c r="B141">
        <v>1.7417</v>
      </c>
      <c r="C141">
        <v>285</v>
      </c>
      <c r="D141">
        <v>8.9</v>
      </c>
      <c r="E141">
        <v>1.9002000000000002E-2</v>
      </c>
      <c r="F141">
        <v>52.627000000000002</v>
      </c>
      <c r="G141">
        <v>767.9</v>
      </c>
      <c r="H141">
        <v>1.7417</v>
      </c>
    </row>
    <row r="142" spans="2:8" x14ac:dyDescent="0.25">
      <c r="B142">
        <v>1.7454000000000001</v>
      </c>
      <c r="C142">
        <v>290</v>
      </c>
      <c r="D142">
        <v>8.9</v>
      </c>
      <c r="E142">
        <v>1.8873999999999998E-2</v>
      </c>
      <c r="F142">
        <v>52.982999999999997</v>
      </c>
      <c r="G142">
        <v>770.65</v>
      </c>
      <c r="H142">
        <v>1.7454000000000001</v>
      </c>
    </row>
    <row r="143" spans="2:8" x14ac:dyDescent="0.25">
      <c r="B143">
        <v>1.7491000000000001</v>
      </c>
      <c r="C143">
        <v>295</v>
      </c>
      <c r="D143">
        <v>8.9</v>
      </c>
      <c r="E143">
        <v>1.8748000000000001E-2</v>
      </c>
      <c r="F143">
        <v>53.338999999999999</v>
      </c>
      <c r="G143">
        <v>773.41</v>
      </c>
      <c r="H143">
        <v>1.7491000000000001</v>
      </c>
    </row>
    <row r="144" spans="2:8" x14ac:dyDescent="0.25">
      <c r="B144">
        <v>1.7526999999999999</v>
      </c>
      <c r="C144">
        <v>300</v>
      </c>
      <c r="D144">
        <v>8.9</v>
      </c>
      <c r="E144">
        <v>1.8624000000000002E-2</v>
      </c>
      <c r="F144">
        <v>53.694000000000003</v>
      </c>
      <c r="G144">
        <v>776.18</v>
      </c>
      <c r="H144">
        <v>1.7526999999999999</v>
      </c>
    </row>
    <row r="146" spans="1:8" x14ac:dyDescent="0.25">
      <c r="A146">
        <v>10.4</v>
      </c>
      <c r="B146">
        <v>-2.5356E-2</v>
      </c>
      <c r="C146">
        <v>-50</v>
      </c>
      <c r="D146">
        <v>10.4</v>
      </c>
      <c r="E146">
        <v>43.502000000000002</v>
      </c>
      <c r="F146">
        <v>2.2987E-2</v>
      </c>
      <c r="G146">
        <v>-10.513999999999999</v>
      </c>
      <c r="H146">
        <v>-2.5356E-2</v>
      </c>
    </row>
    <row r="147" spans="1:8" x14ac:dyDescent="0.25">
      <c r="B147">
        <v>-1.2623000000000001E-2</v>
      </c>
      <c r="C147">
        <v>-45</v>
      </c>
      <c r="D147">
        <v>10.4</v>
      </c>
      <c r="E147">
        <v>43.293999999999997</v>
      </c>
      <c r="F147">
        <v>2.3098E-2</v>
      </c>
      <c r="G147">
        <v>-5.2656999999999998</v>
      </c>
      <c r="H147">
        <v>-1.2623000000000001E-2</v>
      </c>
    </row>
    <row r="148" spans="1:8" x14ac:dyDescent="0.25">
      <c r="B148">
        <v>0</v>
      </c>
      <c r="C148">
        <v>-40</v>
      </c>
      <c r="D148">
        <v>10.4</v>
      </c>
      <c r="E148">
        <v>43.085000000000001</v>
      </c>
      <c r="F148">
        <v>2.3210000000000001E-2</v>
      </c>
      <c r="G148">
        <v>5.0034999999999996E-6</v>
      </c>
      <c r="H148">
        <v>0</v>
      </c>
    </row>
    <row r="149" spans="1:8" x14ac:dyDescent="0.25">
      <c r="B149">
        <v>1.4298</v>
      </c>
      <c r="C149">
        <v>-35</v>
      </c>
      <c r="D149">
        <v>10.4</v>
      </c>
      <c r="E149">
        <v>3.9676999999999997E-2</v>
      </c>
      <c r="F149">
        <v>25.202999999999999</v>
      </c>
      <c r="G149">
        <v>600.05999999999995</v>
      </c>
      <c r="H149">
        <v>1.4298</v>
      </c>
    </row>
    <row r="150" spans="1:8" x14ac:dyDescent="0.25">
      <c r="B150">
        <v>1.4359999999999999</v>
      </c>
      <c r="C150">
        <v>-30</v>
      </c>
      <c r="D150">
        <v>10.4</v>
      </c>
      <c r="E150">
        <v>3.9170999999999997E-2</v>
      </c>
      <c r="F150">
        <v>25.529</v>
      </c>
      <c r="G150">
        <v>602.72</v>
      </c>
      <c r="H150">
        <v>1.4359999999999999</v>
      </c>
    </row>
    <row r="151" spans="1:8" x14ac:dyDescent="0.25">
      <c r="B151">
        <v>1.4420999999999999</v>
      </c>
      <c r="C151">
        <v>-25</v>
      </c>
      <c r="D151">
        <v>10.4</v>
      </c>
      <c r="E151">
        <v>3.8679999999999999E-2</v>
      </c>
      <c r="F151">
        <v>25.853000000000002</v>
      </c>
      <c r="G151">
        <v>605.36</v>
      </c>
      <c r="H151">
        <v>1.4420999999999999</v>
      </c>
    </row>
    <row r="152" spans="1:8" x14ac:dyDescent="0.25">
      <c r="B152">
        <v>1.4480999999999999</v>
      </c>
      <c r="C152">
        <v>-20</v>
      </c>
      <c r="D152">
        <v>10.4</v>
      </c>
      <c r="E152">
        <v>3.8203000000000001E-2</v>
      </c>
      <c r="F152">
        <v>26.175999999999998</v>
      </c>
      <c r="G152">
        <v>607.99</v>
      </c>
      <c r="H152">
        <v>1.4480999999999999</v>
      </c>
    </row>
    <row r="153" spans="1:8" x14ac:dyDescent="0.25">
      <c r="B153">
        <v>1.454</v>
      </c>
      <c r="C153">
        <v>-15</v>
      </c>
      <c r="D153">
        <v>10.4</v>
      </c>
      <c r="E153">
        <v>3.7740000000000003E-2</v>
      </c>
      <c r="F153">
        <v>26.497</v>
      </c>
      <c r="G153">
        <v>610.61</v>
      </c>
      <c r="H153">
        <v>1.454</v>
      </c>
    </row>
    <row r="154" spans="1:8" x14ac:dyDescent="0.25">
      <c r="B154">
        <v>1.4599</v>
      </c>
      <c r="C154">
        <v>-10</v>
      </c>
      <c r="D154">
        <v>10.4</v>
      </c>
      <c r="E154">
        <v>3.7289000000000003E-2</v>
      </c>
      <c r="F154">
        <v>26.817</v>
      </c>
      <c r="G154">
        <v>613.21</v>
      </c>
      <c r="H154">
        <v>1.4599</v>
      </c>
    </row>
    <row r="155" spans="1:8" x14ac:dyDescent="0.25">
      <c r="B155">
        <v>1.4656</v>
      </c>
      <c r="C155">
        <v>-5</v>
      </c>
      <c r="D155">
        <v>10.4</v>
      </c>
      <c r="E155">
        <v>3.6851000000000002E-2</v>
      </c>
      <c r="F155">
        <v>27.137</v>
      </c>
      <c r="G155">
        <v>615.80999999999995</v>
      </c>
      <c r="H155">
        <v>1.4656</v>
      </c>
    </row>
    <row r="156" spans="1:8" x14ac:dyDescent="0.25">
      <c r="B156">
        <v>1.4713000000000001</v>
      </c>
      <c r="C156">
        <v>0</v>
      </c>
      <c r="D156">
        <v>10.4</v>
      </c>
      <c r="E156">
        <v>3.6422999999999997E-2</v>
      </c>
      <c r="F156">
        <v>27.454999999999998</v>
      </c>
      <c r="G156">
        <v>618.4</v>
      </c>
      <c r="H156">
        <v>1.4713000000000001</v>
      </c>
    </row>
    <row r="157" spans="1:8" x14ac:dyDescent="0.25">
      <c r="B157">
        <v>1.4769000000000001</v>
      </c>
      <c r="C157">
        <v>5</v>
      </c>
      <c r="D157">
        <v>10.4</v>
      </c>
      <c r="E157">
        <v>3.6006999999999997E-2</v>
      </c>
      <c r="F157">
        <v>27.771999999999998</v>
      </c>
      <c r="G157">
        <v>620.99</v>
      </c>
      <c r="H157">
        <v>1.4769000000000001</v>
      </c>
    </row>
    <row r="158" spans="1:8" x14ac:dyDescent="0.25">
      <c r="B158">
        <v>1.4823999999999999</v>
      </c>
      <c r="C158">
        <v>10</v>
      </c>
      <c r="D158">
        <v>10.4</v>
      </c>
      <c r="E158">
        <v>3.5601000000000001E-2</v>
      </c>
      <c r="F158">
        <v>28.088999999999999</v>
      </c>
      <c r="G158">
        <v>623.57000000000005</v>
      </c>
      <c r="H158">
        <v>1.4823999999999999</v>
      </c>
    </row>
    <row r="159" spans="1:8" x14ac:dyDescent="0.25">
      <c r="B159">
        <v>1.4879</v>
      </c>
      <c r="C159">
        <v>15</v>
      </c>
      <c r="D159">
        <v>10.4</v>
      </c>
      <c r="E159">
        <v>3.5206000000000001E-2</v>
      </c>
      <c r="F159">
        <v>28.405000000000001</v>
      </c>
      <c r="G159">
        <v>626.14</v>
      </c>
      <c r="H159">
        <v>1.4879</v>
      </c>
    </row>
    <row r="160" spans="1:8" x14ac:dyDescent="0.25">
      <c r="B160">
        <v>1.4932000000000001</v>
      </c>
      <c r="C160">
        <v>20</v>
      </c>
      <c r="D160">
        <v>10.4</v>
      </c>
      <c r="E160">
        <v>3.4819000000000003E-2</v>
      </c>
      <c r="F160">
        <v>28.72</v>
      </c>
      <c r="G160">
        <v>628.71</v>
      </c>
      <c r="H160">
        <v>1.4932000000000001</v>
      </c>
    </row>
    <row r="161" spans="2:8" x14ac:dyDescent="0.25">
      <c r="B161">
        <v>1.4985999999999999</v>
      </c>
      <c r="C161">
        <v>25</v>
      </c>
      <c r="D161">
        <v>10.4</v>
      </c>
      <c r="E161">
        <v>3.4442E-2</v>
      </c>
      <c r="F161">
        <v>29.033999999999999</v>
      </c>
      <c r="G161">
        <v>631.28</v>
      </c>
      <c r="H161">
        <v>1.4985999999999999</v>
      </c>
    </row>
    <row r="162" spans="2:8" x14ac:dyDescent="0.25">
      <c r="B162">
        <v>1.5038</v>
      </c>
      <c r="C162">
        <v>30</v>
      </c>
      <c r="D162">
        <v>10.4</v>
      </c>
      <c r="E162">
        <v>3.4074E-2</v>
      </c>
      <c r="F162">
        <v>29.347999999999999</v>
      </c>
      <c r="G162">
        <v>633.84</v>
      </c>
      <c r="H162">
        <v>1.5038</v>
      </c>
    </row>
    <row r="163" spans="2:8" x14ac:dyDescent="0.25">
      <c r="B163">
        <v>1.5089999999999999</v>
      </c>
      <c r="C163">
        <v>35</v>
      </c>
      <c r="D163">
        <v>10.4</v>
      </c>
      <c r="E163">
        <v>3.3714000000000001E-2</v>
      </c>
      <c r="F163">
        <v>29.661000000000001</v>
      </c>
      <c r="G163">
        <v>636.4</v>
      </c>
      <c r="H163">
        <v>1.5089999999999999</v>
      </c>
    </row>
    <row r="164" spans="2:8" x14ac:dyDescent="0.25">
      <c r="B164">
        <v>1.5142</v>
      </c>
      <c r="C164">
        <v>40</v>
      </c>
      <c r="D164">
        <v>10.4</v>
      </c>
      <c r="E164">
        <v>3.3362000000000003E-2</v>
      </c>
      <c r="F164">
        <v>29.974</v>
      </c>
      <c r="G164">
        <v>638.96</v>
      </c>
      <c r="H164">
        <v>1.5142</v>
      </c>
    </row>
    <row r="165" spans="2:8" x14ac:dyDescent="0.25">
      <c r="B165">
        <v>1.5193000000000001</v>
      </c>
      <c r="C165">
        <v>45</v>
      </c>
      <c r="D165">
        <v>10.4</v>
      </c>
      <c r="E165">
        <v>3.3017999999999999E-2</v>
      </c>
      <c r="F165">
        <v>30.286000000000001</v>
      </c>
      <c r="G165">
        <v>641.52</v>
      </c>
      <c r="H165">
        <v>1.5193000000000001</v>
      </c>
    </row>
    <row r="166" spans="2:8" x14ac:dyDescent="0.25">
      <c r="B166">
        <v>1.5243</v>
      </c>
      <c r="C166">
        <v>50</v>
      </c>
      <c r="D166">
        <v>10.4</v>
      </c>
      <c r="E166">
        <v>3.2682000000000003E-2</v>
      </c>
      <c r="F166">
        <v>30.597999999999999</v>
      </c>
      <c r="G166">
        <v>644.08000000000004</v>
      </c>
      <c r="H166">
        <v>1.5243</v>
      </c>
    </row>
    <row r="167" spans="2:8" x14ac:dyDescent="0.25">
      <c r="B167">
        <v>1.5293000000000001</v>
      </c>
      <c r="C167">
        <v>55</v>
      </c>
      <c r="D167">
        <v>10.4</v>
      </c>
      <c r="E167">
        <v>3.2351999999999999E-2</v>
      </c>
      <c r="F167">
        <v>30.91</v>
      </c>
      <c r="G167">
        <v>646.64</v>
      </c>
      <c r="H167">
        <v>1.5293000000000001</v>
      </c>
    </row>
    <row r="168" spans="2:8" x14ac:dyDescent="0.25">
      <c r="B168">
        <v>1.5343</v>
      </c>
      <c r="C168">
        <v>60</v>
      </c>
      <c r="D168">
        <v>10.4</v>
      </c>
      <c r="E168">
        <v>3.2030000000000003E-2</v>
      </c>
      <c r="F168">
        <v>31.221</v>
      </c>
      <c r="G168">
        <v>649.19000000000005</v>
      </c>
      <c r="H168">
        <v>1.5343</v>
      </c>
    </row>
    <row r="169" spans="2:8" x14ac:dyDescent="0.25">
      <c r="B169">
        <v>1.5391999999999999</v>
      </c>
      <c r="C169">
        <v>65</v>
      </c>
      <c r="D169">
        <v>10.4</v>
      </c>
      <c r="E169">
        <v>3.1713999999999999E-2</v>
      </c>
      <c r="F169">
        <v>31.530999999999999</v>
      </c>
      <c r="G169">
        <v>651.75</v>
      </c>
      <c r="H169">
        <v>1.5391999999999999</v>
      </c>
    </row>
    <row r="170" spans="2:8" x14ac:dyDescent="0.25">
      <c r="B170">
        <v>1.544</v>
      </c>
      <c r="C170">
        <v>70</v>
      </c>
      <c r="D170">
        <v>10.4</v>
      </c>
      <c r="E170">
        <v>3.1405000000000002E-2</v>
      </c>
      <c r="F170">
        <v>31.841999999999999</v>
      </c>
      <c r="G170">
        <v>654.30999999999995</v>
      </c>
      <c r="H170">
        <v>1.544</v>
      </c>
    </row>
    <row r="171" spans="2:8" x14ac:dyDescent="0.25">
      <c r="B171">
        <v>1.5488</v>
      </c>
      <c r="C171">
        <v>75</v>
      </c>
      <c r="D171">
        <v>10.4</v>
      </c>
      <c r="E171">
        <v>3.1102999999999999E-2</v>
      </c>
      <c r="F171">
        <v>32.152000000000001</v>
      </c>
      <c r="G171">
        <v>656.87</v>
      </c>
      <c r="H171">
        <v>1.5488</v>
      </c>
    </row>
    <row r="172" spans="2:8" x14ac:dyDescent="0.25">
      <c r="B172">
        <v>1.5536000000000001</v>
      </c>
      <c r="C172">
        <v>80</v>
      </c>
      <c r="D172">
        <v>10.4</v>
      </c>
      <c r="E172">
        <v>3.0806E-2</v>
      </c>
      <c r="F172">
        <v>32.460999999999999</v>
      </c>
      <c r="G172">
        <v>659.43</v>
      </c>
      <c r="H172">
        <v>1.5536000000000001</v>
      </c>
    </row>
    <row r="173" spans="2:8" x14ac:dyDescent="0.25">
      <c r="B173">
        <v>1.5583</v>
      </c>
      <c r="C173">
        <v>85</v>
      </c>
      <c r="D173">
        <v>10.4</v>
      </c>
      <c r="E173">
        <v>3.0515E-2</v>
      </c>
      <c r="F173">
        <v>32.771000000000001</v>
      </c>
      <c r="G173">
        <v>661.99</v>
      </c>
      <c r="H173">
        <v>1.5583</v>
      </c>
    </row>
    <row r="174" spans="2:8" x14ac:dyDescent="0.25">
      <c r="B174">
        <v>1.5629999999999999</v>
      </c>
      <c r="C174">
        <v>90</v>
      </c>
      <c r="D174">
        <v>10.4</v>
      </c>
      <c r="E174">
        <v>3.023E-2</v>
      </c>
      <c r="F174">
        <v>33.08</v>
      </c>
      <c r="G174">
        <v>664.56</v>
      </c>
      <c r="H174">
        <v>1.5629999999999999</v>
      </c>
    </row>
    <row r="175" spans="2:8" x14ac:dyDescent="0.25">
      <c r="B175">
        <v>1.5676000000000001</v>
      </c>
      <c r="C175">
        <v>95</v>
      </c>
      <c r="D175">
        <v>10.4</v>
      </c>
      <c r="E175">
        <v>2.9950000000000001E-2</v>
      </c>
      <c r="F175">
        <v>33.389000000000003</v>
      </c>
      <c r="G175">
        <v>667.12</v>
      </c>
      <c r="H175">
        <v>1.5676000000000001</v>
      </c>
    </row>
    <row r="176" spans="2:8" x14ac:dyDescent="0.25">
      <c r="B176">
        <v>1.5723</v>
      </c>
      <c r="C176">
        <v>100</v>
      </c>
      <c r="D176">
        <v>10.4</v>
      </c>
      <c r="E176">
        <v>2.9676000000000001E-2</v>
      </c>
      <c r="F176">
        <v>33.697000000000003</v>
      </c>
      <c r="G176">
        <v>669.69</v>
      </c>
      <c r="H176">
        <v>1.5723</v>
      </c>
    </row>
    <row r="177" spans="2:8" x14ac:dyDescent="0.25">
      <c r="B177">
        <v>1.5768</v>
      </c>
      <c r="C177">
        <v>105</v>
      </c>
      <c r="D177">
        <v>10.4</v>
      </c>
      <c r="E177">
        <v>2.9406999999999999E-2</v>
      </c>
      <c r="F177">
        <v>34.006</v>
      </c>
      <c r="G177">
        <v>672.27</v>
      </c>
      <c r="H177">
        <v>1.5768</v>
      </c>
    </row>
    <row r="178" spans="2:8" x14ac:dyDescent="0.25">
      <c r="B178">
        <v>1.5813999999999999</v>
      </c>
      <c r="C178">
        <v>110</v>
      </c>
      <c r="D178">
        <v>10.4</v>
      </c>
      <c r="E178">
        <v>2.9142999999999999E-2</v>
      </c>
      <c r="F178">
        <v>34.314</v>
      </c>
      <c r="G178">
        <v>674.84</v>
      </c>
      <c r="H178">
        <v>1.5813999999999999</v>
      </c>
    </row>
    <row r="179" spans="2:8" x14ac:dyDescent="0.25">
      <c r="B179">
        <v>1.5859000000000001</v>
      </c>
      <c r="C179">
        <v>115</v>
      </c>
      <c r="D179">
        <v>10.4</v>
      </c>
      <c r="E179">
        <v>2.8882999999999999E-2</v>
      </c>
      <c r="F179">
        <v>34.622</v>
      </c>
      <c r="G179">
        <v>677.42</v>
      </c>
      <c r="H179">
        <v>1.5859000000000001</v>
      </c>
    </row>
    <row r="180" spans="2:8" x14ac:dyDescent="0.25">
      <c r="B180">
        <v>1.5904</v>
      </c>
      <c r="C180">
        <v>120</v>
      </c>
      <c r="D180">
        <v>10.4</v>
      </c>
      <c r="E180">
        <v>2.8629000000000002E-2</v>
      </c>
      <c r="F180">
        <v>34.93</v>
      </c>
      <c r="G180">
        <v>680</v>
      </c>
      <c r="H180">
        <v>1.5904</v>
      </c>
    </row>
    <row r="181" spans="2:8" x14ac:dyDescent="0.25">
      <c r="B181">
        <v>1.5948</v>
      </c>
      <c r="C181">
        <v>125</v>
      </c>
      <c r="D181">
        <v>10.4</v>
      </c>
      <c r="E181">
        <v>2.8379000000000001E-2</v>
      </c>
      <c r="F181">
        <v>35.237000000000002</v>
      </c>
      <c r="G181">
        <v>682.58</v>
      </c>
      <c r="H181">
        <v>1.5948</v>
      </c>
    </row>
    <row r="182" spans="2:8" x14ac:dyDescent="0.25">
      <c r="B182">
        <v>1.5992</v>
      </c>
      <c r="C182">
        <v>130</v>
      </c>
      <c r="D182">
        <v>10.4</v>
      </c>
      <c r="E182">
        <v>2.8132999999999998E-2</v>
      </c>
      <c r="F182">
        <v>35.545000000000002</v>
      </c>
      <c r="G182">
        <v>685.17</v>
      </c>
      <c r="H182">
        <v>1.5992</v>
      </c>
    </row>
    <row r="183" spans="2:8" x14ac:dyDescent="0.25">
      <c r="B183">
        <v>1.6035999999999999</v>
      </c>
      <c r="C183">
        <v>135</v>
      </c>
      <c r="D183">
        <v>10.4</v>
      </c>
      <c r="E183">
        <v>2.7892E-2</v>
      </c>
      <c r="F183">
        <v>35.851999999999997</v>
      </c>
      <c r="G183">
        <v>687.76</v>
      </c>
      <c r="H183">
        <v>1.6035999999999999</v>
      </c>
    </row>
    <row r="184" spans="2:8" x14ac:dyDescent="0.25">
      <c r="B184">
        <v>1.6079000000000001</v>
      </c>
      <c r="C184">
        <v>140</v>
      </c>
      <c r="D184">
        <v>10.4</v>
      </c>
      <c r="E184">
        <v>2.7654999999999999E-2</v>
      </c>
      <c r="F184">
        <v>36.158999999999999</v>
      </c>
      <c r="G184">
        <v>690.36</v>
      </c>
      <c r="H184">
        <v>1.6079000000000001</v>
      </c>
    </row>
    <row r="185" spans="2:8" x14ac:dyDescent="0.25">
      <c r="B185">
        <v>1.6122000000000001</v>
      </c>
      <c r="C185">
        <v>145</v>
      </c>
      <c r="D185">
        <v>10.4</v>
      </c>
      <c r="E185">
        <v>2.7422999999999999E-2</v>
      </c>
      <c r="F185">
        <v>36.466000000000001</v>
      </c>
      <c r="G185">
        <v>692.96</v>
      </c>
      <c r="H185">
        <v>1.6122000000000001</v>
      </c>
    </row>
    <row r="186" spans="2:8" x14ac:dyDescent="0.25">
      <c r="B186">
        <v>1.6165</v>
      </c>
      <c r="C186">
        <v>150</v>
      </c>
      <c r="D186">
        <v>10.4</v>
      </c>
      <c r="E186">
        <v>2.7193999999999999E-2</v>
      </c>
      <c r="F186">
        <v>36.773000000000003</v>
      </c>
      <c r="G186">
        <v>695.56</v>
      </c>
      <c r="H186">
        <v>1.6165</v>
      </c>
    </row>
    <row r="187" spans="2:8" x14ac:dyDescent="0.25">
      <c r="B187">
        <v>1.6208</v>
      </c>
      <c r="C187">
        <v>155</v>
      </c>
      <c r="D187">
        <v>10.4</v>
      </c>
      <c r="E187">
        <v>2.6969E-2</v>
      </c>
      <c r="F187">
        <v>37.08</v>
      </c>
      <c r="G187">
        <v>698.17</v>
      </c>
      <c r="H187">
        <v>1.6208</v>
      </c>
    </row>
    <row r="188" spans="2:8" x14ac:dyDescent="0.25">
      <c r="B188">
        <v>1.625</v>
      </c>
      <c r="C188">
        <v>160</v>
      </c>
      <c r="D188">
        <v>10.4</v>
      </c>
      <c r="E188">
        <v>2.6748000000000001E-2</v>
      </c>
      <c r="F188">
        <v>37.386000000000003</v>
      </c>
      <c r="G188">
        <v>700.79</v>
      </c>
      <c r="H188">
        <v>1.625</v>
      </c>
    </row>
    <row r="189" spans="2:8" x14ac:dyDescent="0.25">
      <c r="B189">
        <v>1.6292</v>
      </c>
      <c r="C189">
        <v>165</v>
      </c>
      <c r="D189">
        <v>10.4</v>
      </c>
      <c r="E189">
        <v>2.6530000000000001E-2</v>
      </c>
      <c r="F189">
        <v>37.692999999999998</v>
      </c>
      <c r="G189">
        <v>703.4</v>
      </c>
      <c r="H189">
        <v>1.6292</v>
      </c>
    </row>
    <row r="190" spans="2:8" x14ac:dyDescent="0.25">
      <c r="B190">
        <v>1.6334</v>
      </c>
      <c r="C190">
        <v>170</v>
      </c>
      <c r="D190">
        <v>10.4</v>
      </c>
      <c r="E190">
        <v>2.6315999999999999E-2</v>
      </c>
      <c r="F190">
        <v>37.999000000000002</v>
      </c>
      <c r="G190">
        <v>706.02</v>
      </c>
      <c r="H190">
        <v>1.6334</v>
      </c>
    </row>
    <row r="191" spans="2:8" x14ac:dyDescent="0.25">
      <c r="B191">
        <v>1.6375999999999999</v>
      </c>
      <c r="C191">
        <v>175</v>
      </c>
      <c r="D191">
        <v>10.4</v>
      </c>
      <c r="E191">
        <v>2.6106000000000001E-2</v>
      </c>
      <c r="F191">
        <v>38.305</v>
      </c>
      <c r="G191">
        <v>708.65</v>
      </c>
      <c r="H191">
        <v>1.6375999999999999</v>
      </c>
    </row>
    <row r="192" spans="2:8" x14ac:dyDescent="0.25">
      <c r="B192">
        <v>1.6416999999999999</v>
      </c>
      <c r="C192">
        <v>180</v>
      </c>
      <c r="D192">
        <v>10.4</v>
      </c>
      <c r="E192">
        <v>2.5898999999999998E-2</v>
      </c>
      <c r="F192">
        <v>38.612000000000002</v>
      </c>
      <c r="G192">
        <v>711.28</v>
      </c>
      <c r="H192">
        <v>1.6416999999999999</v>
      </c>
    </row>
    <row r="193" spans="2:8" x14ac:dyDescent="0.25">
      <c r="B193">
        <v>1.6457999999999999</v>
      </c>
      <c r="C193">
        <v>185</v>
      </c>
      <c r="D193">
        <v>10.4</v>
      </c>
      <c r="E193">
        <v>2.5694999999999999E-2</v>
      </c>
      <c r="F193">
        <v>38.917999999999999</v>
      </c>
      <c r="G193">
        <v>713.92</v>
      </c>
      <c r="H193">
        <v>1.6457999999999999</v>
      </c>
    </row>
    <row r="194" spans="2:8" x14ac:dyDescent="0.25">
      <c r="B194">
        <v>1.6498999999999999</v>
      </c>
      <c r="C194">
        <v>190</v>
      </c>
      <c r="D194">
        <v>10.4</v>
      </c>
      <c r="E194">
        <v>2.5495E-2</v>
      </c>
      <c r="F194">
        <v>39.222999999999999</v>
      </c>
      <c r="G194">
        <v>716.56</v>
      </c>
      <c r="H194">
        <v>1.6498999999999999</v>
      </c>
    </row>
    <row r="195" spans="2:8" x14ac:dyDescent="0.25">
      <c r="B195">
        <v>1.6538999999999999</v>
      </c>
      <c r="C195">
        <v>195</v>
      </c>
      <c r="D195">
        <v>10.4</v>
      </c>
      <c r="E195">
        <v>2.5298000000000001E-2</v>
      </c>
      <c r="F195">
        <v>39.529000000000003</v>
      </c>
      <c r="G195">
        <v>719.21</v>
      </c>
      <c r="H195">
        <v>1.6538999999999999</v>
      </c>
    </row>
    <row r="196" spans="2:8" x14ac:dyDescent="0.25">
      <c r="B196">
        <v>1.6579999999999999</v>
      </c>
      <c r="C196">
        <v>200</v>
      </c>
      <c r="D196">
        <v>10.4</v>
      </c>
      <c r="E196">
        <v>2.5103E-2</v>
      </c>
      <c r="F196">
        <v>39.835000000000001</v>
      </c>
      <c r="G196">
        <v>721.86</v>
      </c>
      <c r="H196">
        <v>1.6579999999999999</v>
      </c>
    </row>
    <row r="197" spans="2:8" x14ac:dyDescent="0.25">
      <c r="B197">
        <v>1.6619999999999999</v>
      </c>
      <c r="C197">
        <v>205</v>
      </c>
      <c r="D197">
        <v>10.4</v>
      </c>
      <c r="E197">
        <v>2.4912E-2</v>
      </c>
      <c r="F197">
        <v>40.140999999999998</v>
      </c>
      <c r="G197">
        <v>724.52</v>
      </c>
      <c r="H197">
        <v>1.6619999999999999</v>
      </c>
    </row>
    <row r="198" spans="2:8" x14ac:dyDescent="0.25">
      <c r="B198">
        <v>1.6659999999999999</v>
      </c>
      <c r="C198">
        <v>210</v>
      </c>
      <c r="D198">
        <v>10.4</v>
      </c>
      <c r="E198">
        <v>2.4723999999999999E-2</v>
      </c>
      <c r="F198">
        <v>40.445999999999998</v>
      </c>
      <c r="G198">
        <v>727.18</v>
      </c>
      <c r="H198">
        <v>1.6659999999999999</v>
      </c>
    </row>
    <row r="199" spans="2:8" x14ac:dyDescent="0.25">
      <c r="B199">
        <v>1.6698999999999999</v>
      </c>
      <c r="C199">
        <v>215</v>
      </c>
      <c r="D199">
        <v>10.4</v>
      </c>
      <c r="E199">
        <v>2.4538999999999998E-2</v>
      </c>
      <c r="F199">
        <v>40.752000000000002</v>
      </c>
      <c r="G199">
        <v>729.85</v>
      </c>
      <c r="H199">
        <v>1.6698999999999999</v>
      </c>
    </row>
    <row r="200" spans="2:8" x14ac:dyDescent="0.25">
      <c r="B200">
        <v>1.6738999999999999</v>
      </c>
      <c r="C200">
        <v>220</v>
      </c>
      <c r="D200">
        <v>10.4</v>
      </c>
      <c r="E200">
        <v>2.4355999999999999E-2</v>
      </c>
      <c r="F200">
        <v>41.057000000000002</v>
      </c>
      <c r="G200">
        <v>732.52</v>
      </c>
      <c r="H200">
        <v>1.6738999999999999</v>
      </c>
    </row>
    <row r="201" spans="2:8" x14ac:dyDescent="0.25">
      <c r="B201">
        <v>1.6778</v>
      </c>
      <c r="C201">
        <v>225</v>
      </c>
      <c r="D201">
        <v>10.4</v>
      </c>
      <c r="E201">
        <v>2.4176E-2</v>
      </c>
      <c r="F201">
        <v>41.363</v>
      </c>
      <c r="G201">
        <v>735.2</v>
      </c>
      <c r="H201">
        <v>1.6778</v>
      </c>
    </row>
    <row r="202" spans="2:8" x14ac:dyDescent="0.25">
      <c r="B202">
        <v>1.6817</v>
      </c>
      <c r="C202">
        <v>230</v>
      </c>
      <c r="D202">
        <v>10.4</v>
      </c>
      <c r="E202">
        <v>2.3998999999999999E-2</v>
      </c>
      <c r="F202">
        <v>41.667999999999999</v>
      </c>
      <c r="G202">
        <v>737.88</v>
      </c>
      <c r="H202">
        <v>1.6817</v>
      </c>
    </row>
    <row r="203" spans="2:8" x14ac:dyDescent="0.25">
      <c r="B203">
        <v>1.6856</v>
      </c>
      <c r="C203">
        <v>235</v>
      </c>
      <c r="D203">
        <v>10.4</v>
      </c>
      <c r="E203">
        <v>2.3824999999999999E-2</v>
      </c>
      <c r="F203">
        <v>41.972999999999999</v>
      </c>
      <c r="G203">
        <v>740.57</v>
      </c>
      <c r="H203">
        <v>1.6856</v>
      </c>
    </row>
    <row r="204" spans="2:8" x14ac:dyDescent="0.25">
      <c r="B204">
        <v>1.6895</v>
      </c>
      <c r="C204">
        <v>240</v>
      </c>
      <c r="D204">
        <v>10.4</v>
      </c>
      <c r="E204">
        <v>2.3653E-2</v>
      </c>
      <c r="F204">
        <v>42.277999999999999</v>
      </c>
      <c r="G204">
        <v>743.27</v>
      </c>
      <c r="H204">
        <v>1.6895</v>
      </c>
    </row>
    <row r="205" spans="2:8" x14ac:dyDescent="0.25">
      <c r="B205">
        <v>1.6933</v>
      </c>
      <c r="C205">
        <v>245</v>
      </c>
      <c r="D205">
        <v>10.4</v>
      </c>
      <c r="E205">
        <v>2.3483E-2</v>
      </c>
      <c r="F205">
        <v>42.584000000000003</v>
      </c>
      <c r="G205">
        <v>745.97</v>
      </c>
      <c r="H205">
        <v>1.6933</v>
      </c>
    </row>
    <row r="206" spans="2:8" x14ac:dyDescent="0.25">
      <c r="B206">
        <v>1.6972</v>
      </c>
      <c r="C206">
        <v>250</v>
      </c>
      <c r="D206">
        <v>10.4</v>
      </c>
      <c r="E206">
        <v>2.3316E-2</v>
      </c>
      <c r="F206">
        <v>42.889000000000003</v>
      </c>
      <c r="G206">
        <v>748.68</v>
      </c>
      <c r="H206">
        <v>1.6972</v>
      </c>
    </row>
    <row r="207" spans="2:8" x14ac:dyDescent="0.25">
      <c r="B207">
        <v>1.7010000000000001</v>
      </c>
      <c r="C207">
        <v>255</v>
      </c>
      <c r="D207">
        <v>10.4</v>
      </c>
      <c r="E207">
        <v>2.3151999999999999E-2</v>
      </c>
      <c r="F207">
        <v>43.194000000000003</v>
      </c>
      <c r="G207">
        <v>751.39</v>
      </c>
      <c r="H207">
        <v>1.7010000000000001</v>
      </c>
    </row>
    <row r="208" spans="2:8" x14ac:dyDescent="0.25">
      <c r="B208">
        <v>1.7048000000000001</v>
      </c>
      <c r="C208">
        <v>260</v>
      </c>
      <c r="D208">
        <v>10.4</v>
      </c>
      <c r="E208">
        <v>2.2988999999999999E-2</v>
      </c>
      <c r="F208">
        <v>43.499000000000002</v>
      </c>
      <c r="G208">
        <v>754.11</v>
      </c>
      <c r="H208">
        <v>1.7048000000000001</v>
      </c>
    </row>
    <row r="209" spans="1:8" x14ac:dyDescent="0.25">
      <c r="B209">
        <v>1.7084999999999999</v>
      </c>
      <c r="C209">
        <v>265</v>
      </c>
      <c r="D209">
        <v>10.4</v>
      </c>
      <c r="E209">
        <v>2.2828999999999999E-2</v>
      </c>
      <c r="F209">
        <v>43.802999999999997</v>
      </c>
      <c r="G209">
        <v>756.83</v>
      </c>
      <c r="H209">
        <v>1.7084999999999999</v>
      </c>
    </row>
    <row r="210" spans="1:8" x14ac:dyDescent="0.25">
      <c r="B210">
        <v>1.7122999999999999</v>
      </c>
      <c r="C210">
        <v>270</v>
      </c>
      <c r="D210">
        <v>10.4</v>
      </c>
      <c r="E210">
        <v>2.2671E-2</v>
      </c>
      <c r="F210">
        <v>44.107999999999997</v>
      </c>
      <c r="G210">
        <v>759.57</v>
      </c>
      <c r="H210">
        <v>1.7122999999999999</v>
      </c>
    </row>
    <row r="211" spans="1:8" x14ac:dyDescent="0.25">
      <c r="B211">
        <v>1.716</v>
      </c>
      <c r="C211">
        <v>275</v>
      </c>
      <c r="D211">
        <v>10.4</v>
      </c>
      <c r="E211">
        <v>2.2516000000000001E-2</v>
      </c>
      <c r="F211">
        <v>44.412999999999997</v>
      </c>
      <c r="G211">
        <v>762.3</v>
      </c>
      <c r="H211">
        <v>1.716</v>
      </c>
    </row>
    <row r="212" spans="1:8" x14ac:dyDescent="0.25">
      <c r="B212">
        <v>1.7198</v>
      </c>
      <c r="C212">
        <v>280</v>
      </c>
      <c r="D212">
        <v>10.4</v>
      </c>
      <c r="E212">
        <v>2.2362E-2</v>
      </c>
      <c r="F212">
        <v>44.718000000000004</v>
      </c>
      <c r="G212">
        <v>765.05</v>
      </c>
      <c r="H212">
        <v>1.7198</v>
      </c>
    </row>
    <row r="213" spans="1:8" x14ac:dyDescent="0.25">
      <c r="B213">
        <v>1.7235</v>
      </c>
      <c r="C213">
        <v>285</v>
      </c>
      <c r="D213">
        <v>10.4</v>
      </c>
      <c r="E213">
        <v>2.2211000000000002E-2</v>
      </c>
      <c r="F213">
        <v>45.023000000000003</v>
      </c>
      <c r="G213">
        <v>767.8</v>
      </c>
      <c r="H213">
        <v>1.7235</v>
      </c>
    </row>
    <row r="214" spans="1:8" x14ac:dyDescent="0.25">
      <c r="B214">
        <v>1.7271000000000001</v>
      </c>
      <c r="C214">
        <v>290</v>
      </c>
      <c r="D214">
        <v>10.4</v>
      </c>
      <c r="E214">
        <v>2.2061999999999998E-2</v>
      </c>
      <c r="F214">
        <v>45.326999999999998</v>
      </c>
      <c r="G214">
        <v>770.55</v>
      </c>
      <c r="H214">
        <v>1.7271000000000001</v>
      </c>
    </row>
    <row r="215" spans="1:8" x14ac:dyDescent="0.25">
      <c r="B215">
        <v>1.7307999999999999</v>
      </c>
      <c r="C215">
        <v>295</v>
      </c>
      <c r="D215">
        <v>10.4</v>
      </c>
      <c r="E215">
        <v>2.1915E-2</v>
      </c>
      <c r="F215">
        <v>45.631999999999998</v>
      </c>
      <c r="G215">
        <v>773.32</v>
      </c>
      <c r="H215">
        <v>1.7307999999999999</v>
      </c>
    </row>
    <row r="216" spans="1:8" x14ac:dyDescent="0.25">
      <c r="B216">
        <v>1.7344999999999999</v>
      </c>
      <c r="C216">
        <v>300</v>
      </c>
      <c r="D216">
        <v>10.4</v>
      </c>
      <c r="E216">
        <v>2.1769E-2</v>
      </c>
      <c r="F216">
        <v>45.936</v>
      </c>
      <c r="G216">
        <v>776.09</v>
      </c>
      <c r="H216">
        <v>1.7344999999999999</v>
      </c>
    </row>
    <row r="218" spans="1:8" x14ac:dyDescent="0.25">
      <c r="A218">
        <v>12</v>
      </c>
      <c r="B218">
        <v>-2.5361999999999999E-2</v>
      </c>
      <c r="C218">
        <v>-50</v>
      </c>
      <c r="D218">
        <v>12</v>
      </c>
      <c r="E218">
        <v>43.502000000000002</v>
      </c>
      <c r="F218">
        <v>2.2987E-2</v>
      </c>
      <c r="G218">
        <v>-10.51</v>
      </c>
      <c r="H218">
        <v>-2.5361999999999999E-2</v>
      </c>
    </row>
    <row r="219" spans="1:8" x14ac:dyDescent="0.25">
      <c r="B219">
        <v>-1.2629E-2</v>
      </c>
      <c r="C219">
        <v>-45</v>
      </c>
      <c r="D219">
        <v>12</v>
      </c>
      <c r="E219">
        <v>43.295000000000002</v>
      </c>
      <c r="F219">
        <v>2.3098E-2</v>
      </c>
      <c r="G219">
        <v>-5.2615999999999996</v>
      </c>
      <c r="H219">
        <v>-1.2629E-2</v>
      </c>
    </row>
    <row r="220" spans="1:8" x14ac:dyDescent="0.25">
      <c r="B220">
        <v>-6.7326999999999999E-6</v>
      </c>
      <c r="C220">
        <v>-40</v>
      </c>
      <c r="D220">
        <v>12</v>
      </c>
      <c r="E220">
        <v>43.085000000000001</v>
      </c>
      <c r="F220">
        <v>2.3210000000000001E-2</v>
      </c>
      <c r="G220">
        <v>4.0596E-3</v>
      </c>
      <c r="H220">
        <v>-6.7326999999999999E-6</v>
      </c>
    </row>
    <row r="221" spans="1:8" x14ac:dyDescent="0.25">
      <c r="B221">
        <v>1.4117</v>
      </c>
      <c r="C221">
        <v>-35</v>
      </c>
      <c r="D221">
        <v>12</v>
      </c>
      <c r="E221">
        <v>4.5934999999999997E-2</v>
      </c>
      <c r="F221">
        <v>21.77</v>
      </c>
      <c r="G221">
        <v>599.30999999999995</v>
      </c>
      <c r="H221">
        <v>1.4117</v>
      </c>
    </row>
    <row r="222" spans="1:8" x14ac:dyDescent="0.25">
      <c r="B222">
        <v>1.4179999999999999</v>
      </c>
      <c r="C222">
        <v>-30</v>
      </c>
      <c r="D222">
        <v>12</v>
      </c>
      <c r="E222">
        <v>4.5339999999999998E-2</v>
      </c>
      <c r="F222">
        <v>22.055</v>
      </c>
      <c r="G222">
        <v>602.01</v>
      </c>
      <c r="H222">
        <v>1.4179999999999999</v>
      </c>
    </row>
    <row r="223" spans="1:8" x14ac:dyDescent="0.25">
      <c r="B223">
        <v>1.4241999999999999</v>
      </c>
      <c r="C223">
        <v>-25</v>
      </c>
      <c r="D223">
        <v>12</v>
      </c>
      <c r="E223">
        <v>4.4763999999999998E-2</v>
      </c>
      <c r="F223">
        <v>22.338999999999999</v>
      </c>
      <c r="G223">
        <v>604.69000000000005</v>
      </c>
      <c r="H223">
        <v>1.4241999999999999</v>
      </c>
    </row>
    <row r="224" spans="1:8" x14ac:dyDescent="0.25">
      <c r="B224">
        <v>1.4302999999999999</v>
      </c>
      <c r="C224">
        <v>-20</v>
      </c>
      <c r="D224">
        <v>12</v>
      </c>
      <c r="E224">
        <v>4.4205000000000001E-2</v>
      </c>
      <c r="F224">
        <v>22.622</v>
      </c>
      <c r="G224">
        <v>607.35</v>
      </c>
      <c r="H224">
        <v>1.4302999999999999</v>
      </c>
    </row>
    <row r="225" spans="2:8" x14ac:dyDescent="0.25">
      <c r="B225">
        <v>1.4362999999999999</v>
      </c>
      <c r="C225">
        <v>-15</v>
      </c>
      <c r="D225">
        <v>12</v>
      </c>
      <c r="E225">
        <v>4.3661999999999999E-2</v>
      </c>
      <c r="F225">
        <v>22.902999999999999</v>
      </c>
      <c r="G225">
        <v>610</v>
      </c>
      <c r="H225">
        <v>1.4362999999999999</v>
      </c>
    </row>
    <row r="226" spans="2:8" x14ac:dyDescent="0.25">
      <c r="B226">
        <v>1.4421999999999999</v>
      </c>
      <c r="C226">
        <v>-10</v>
      </c>
      <c r="D226">
        <v>12</v>
      </c>
      <c r="E226">
        <v>4.3135E-2</v>
      </c>
      <c r="F226">
        <v>23.183</v>
      </c>
      <c r="G226">
        <v>612.64</v>
      </c>
      <c r="H226">
        <v>1.4421999999999999</v>
      </c>
    </row>
    <row r="227" spans="2:8" x14ac:dyDescent="0.25">
      <c r="B227">
        <v>1.448</v>
      </c>
      <c r="C227">
        <v>-5</v>
      </c>
      <c r="D227">
        <v>12</v>
      </c>
      <c r="E227">
        <v>4.2622E-2</v>
      </c>
      <c r="F227">
        <v>23.462</v>
      </c>
      <c r="G227">
        <v>615.26</v>
      </c>
      <c r="H227">
        <v>1.448</v>
      </c>
    </row>
    <row r="228" spans="2:8" x14ac:dyDescent="0.25">
      <c r="B228">
        <v>1.4537</v>
      </c>
      <c r="C228">
        <v>0</v>
      </c>
      <c r="D228">
        <v>12</v>
      </c>
      <c r="E228">
        <v>4.2123000000000001E-2</v>
      </c>
      <c r="F228">
        <v>23.74</v>
      </c>
      <c r="G228">
        <v>617.88</v>
      </c>
      <c r="H228">
        <v>1.4537</v>
      </c>
    </row>
    <row r="229" spans="2:8" x14ac:dyDescent="0.25">
      <c r="B229">
        <v>1.4594</v>
      </c>
      <c r="C229">
        <v>5</v>
      </c>
      <c r="D229">
        <v>12</v>
      </c>
      <c r="E229">
        <v>4.1637E-2</v>
      </c>
      <c r="F229">
        <v>24.016999999999999</v>
      </c>
      <c r="G229">
        <v>620.49</v>
      </c>
      <c r="H229">
        <v>1.4594</v>
      </c>
    </row>
    <row r="230" spans="2:8" x14ac:dyDescent="0.25">
      <c r="B230">
        <v>1.4649000000000001</v>
      </c>
      <c r="C230">
        <v>10</v>
      </c>
      <c r="D230">
        <v>12</v>
      </c>
      <c r="E230">
        <v>4.1162999999999998E-2</v>
      </c>
      <c r="F230">
        <v>24.292999999999999</v>
      </c>
      <c r="G230">
        <v>623.09</v>
      </c>
      <c r="H230">
        <v>1.4649000000000001</v>
      </c>
    </row>
    <row r="231" spans="2:8" x14ac:dyDescent="0.25">
      <c r="B231">
        <v>1.4703999999999999</v>
      </c>
      <c r="C231">
        <v>15</v>
      </c>
      <c r="D231">
        <v>12</v>
      </c>
      <c r="E231">
        <v>4.0702000000000002E-2</v>
      </c>
      <c r="F231">
        <v>24.568999999999999</v>
      </c>
      <c r="G231">
        <v>625.67999999999995</v>
      </c>
      <c r="H231">
        <v>1.4703999999999999</v>
      </c>
    </row>
    <row r="232" spans="2:8" x14ac:dyDescent="0.25">
      <c r="B232">
        <v>1.4758</v>
      </c>
      <c r="C232">
        <v>20</v>
      </c>
      <c r="D232">
        <v>12</v>
      </c>
      <c r="E232">
        <v>4.0252000000000003E-2</v>
      </c>
      <c r="F232">
        <v>24.844000000000001</v>
      </c>
      <c r="G232">
        <v>628.27</v>
      </c>
      <c r="H232">
        <v>1.4758</v>
      </c>
    </row>
    <row r="233" spans="2:8" x14ac:dyDescent="0.25">
      <c r="B233">
        <v>1.4812000000000001</v>
      </c>
      <c r="C233">
        <v>25</v>
      </c>
      <c r="D233">
        <v>12</v>
      </c>
      <c r="E233">
        <v>3.9812E-2</v>
      </c>
      <c r="F233">
        <v>25.117999999999999</v>
      </c>
      <c r="G233">
        <v>630.86</v>
      </c>
      <c r="H233">
        <v>1.4812000000000001</v>
      </c>
    </row>
    <row r="234" spans="2:8" x14ac:dyDescent="0.25">
      <c r="B234">
        <v>1.4864999999999999</v>
      </c>
      <c r="C234">
        <v>30</v>
      </c>
      <c r="D234">
        <v>12</v>
      </c>
      <c r="E234">
        <v>3.9383000000000001E-2</v>
      </c>
      <c r="F234">
        <v>25.390999999999998</v>
      </c>
      <c r="G234">
        <v>633.44000000000005</v>
      </c>
      <c r="H234">
        <v>1.4864999999999999</v>
      </c>
    </row>
    <row r="235" spans="2:8" x14ac:dyDescent="0.25">
      <c r="B235">
        <v>1.4917</v>
      </c>
      <c r="C235">
        <v>35</v>
      </c>
      <c r="D235">
        <v>12</v>
      </c>
      <c r="E235">
        <v>3.8965E-2</v>
      </c>
      <c r="F235">
        <v>25.664000000000001</v>
      </c>
      <c r="G235">
        <v>636.01</v>
      </c>
      <c r="H235">
        <v>1.4917</v>
      </c>
    </row>
    <row r="236" spans="2:8" x14ac:dyDescent="0.25">
      <c r="B236">
        <v>1.4968999999999999</v>
      </c>
      <c r="C236">
        <v>40</v>
      </c>
      <c r="D236">
        <v>12</v>
      </c>
      <c r="E236">
        <v>3.8554999999999999E-2</v>
      </c>
      <c r="F236">
        <v>25.937000000000001</v>
      </c>
      <c r="G236">
        <v>638.59</v>
      </c>
      <c r="H236">
        <v>1.4968999999999999</v>
      </c>
    </row>
    <row r="237" spans="2:8" x14ac:dyDescent="0.25">
      <c r="B237">
        <v>1.502</v>
      </c>
      <c r="C237">
        <v>45</v>
      </c>
      <c r="D237">
        <v>12</v>
      </c>
      <c r="E237">
        <v>3.8155000000000001E-2</v>
      </c>
      <c r="F237">
        <v>26.209</v>
      </c>
      <c r="G237">
        <v>641.16</v>
      </c>
      <c r="H237">
        <v>1.502</v>
      </c>
    </row>
    <row r="238" spans="2:8" x14ac:dyDescent="0.25">
      <c r="B238">
        <v>1.5071000000000001</v>
      </c>
      <c r="C238">
        <v>50</v>
      </c>
      <c r="D238">
        <v>12</v>
      </c>
      <c r="E238">
        <v>3.7763999999999999E-2</v>
      </c>
      <c r="F238">
        <v>26.48</v>
      </c>
      <c r="G238">
        <v>643.73</v>
      </c>
      <c r="H238">
        <v>1.5071000000000001</v>
      </c>
    </row>
    <row r="239" spans="2:8" x14ac:dyDescent="0.25">
      <c r="B239">
        <v>1.5121</v>
      </c>
      <c r="C239">
        <v>55</v>
      </c>
      <c r="D239">
        <v>12</v>
      </c>
      <c r="E239">
        <v>3.7380999999999998E-2</v>
      </c>
      <c r="F239">
        <v>26.751000000000001</v>
      </c>
      <c r="G239">
        <v>646.29999999999995</v>
      </c>
      <c r="H239">
        <v>1.5121</v>
      </c>
    </row>
    <row r="240" spans="2:8" x14ac:dyDescent="0.25">
      <c r="B240">
        <v>1.5170999999999999</v>
      </c>
      <c r="C240">
        <v>60</v>
      </c>
      <c r="D240">
        <v>12</v>
      </c>
      <c r="E240">
        <v>3.7006999999999998E-2</v>
      </c>
      <c r="F240">
        <v>27.021999999999998</v>
      </c>
      <c r="G240">
        <v>648.87</v>
      </c>
      <c r="H240">
        <v>1.5170999999999999</v>
      </c>
    </row>
    <row r="241" spans="2:8" x14ac:dyDescent="0.25">
      <c r="B241">
        <v>1.522</v>
      </c>
      <c r="C241">
        <v>65</v>
      </c>
      <c r="D241">
        <v>12</v>
      </c>
      <c r="E241">
        <v>3.6639999999999999E-2</v>
      </c>
      <c r="F241">
        <v>27.292000000000002</v>
      </c>
      <c r="G241">
        <v>651.44000000000005</v>
      </c>
      <c r="H241">
        <v>1.522</v>
      </c>
    </row>
    <row r="242" spans="2:8" x14ac:dyDescent="0.25">
      <c r="B242">
        <v>1.5268999999999999</v>
      </c>
      <c r="C242">
        <v>70</v>
      </c>
      <c r="D242">
        <v>12</v>
      </c>
      <c r="E242">
        <v>3.6281000000000001E-2</v>
      </c>
      <c r="F242">
        <v>27.562000000000001</v>
      </c>
      <c r="G242">
        <v>654.01</v>
      </c>
      <c r="H242">
        <v>1.5268999999999999</v>
      </c>
    </row>
    <row r="243" spans="2:8" x14ac:dyDescent="0.25">
      <c r="B243">
        <v>1.5317000000000001</v>
      </c>
      <c r="C243">
        <v>75</v>
      </c>
      <c r="D243">
        <v>12</v>
      </c>
      <c r="E243">
        <v>3.5929999999999997E-2</v>
      </c>
      <c r="F243">
        <v>27.832000000000001</v>
      </c>
      <c r="G243">
        <v>656.58</v>
      </c>
      <c r="H243">
        <v>1.5317000000000001</v>
      </c>
    </row>
    <row r="244" spans="2:8" x14ac:dyDescent="0.25">
      <c r="B244">
        <v>1.5365</v>
      </c>
      <c r="C244">
        <v>80</v>
      </c>
      <c r="D244">
        <v>12</v>
      </c>
      <c r="E244">
        <v>3.5586E-2</v>
      </c>
      <c r="F244">
        <v>28.100999999999999</v>
      </c>
      <c r="G244">
        <v>659.15</v>
      </c>
      <c r="H244">
        <v>1.5365</v>
      </c>
    </row>
    <row r="245" spans="2:8" x14ac:dyDescent="0.25">
      <c r="B245">
        <v>1.5411999999999999</v>
      </c>
      <c r="C245">
        <v>85</v>
      </c>
      <c r="D245">
        <v>12</v>
      </c>
      <c r="E245">
        <v>3.5248000000000002E-2</v>
      </c>
      <c r="F245">
        <v>28.37</v>
      </c>
      <c r="G245">
        <v>661.72</v>
      </c>
      <c r="H245">
        <v>1.5411999999999999</v>
      </c>
    </row>
    <row r="246" spans="2:8" x14ac:dyDescent="0.25">
      <c r="B246">
        <v>1.5459000000000001</v>
      </c>
      <c r="C246">
        <v>90</v>
      </c>
      <c r="D246">
        <v>12</v>
      </c>
      <c r="E246">
        <v>3.4916999999999997E-2</v>
      </c>
      <c r="F246">
        <v>28.638999999999999</v>
      </c>
      <c r="G246">
        <v>664.29</v>
      </c>
      <c r="H246">
        <v>1.5459000000000001</v>
      </c>
    </row>
    <row r="247" spans="2:8" x14ac:dyDescent="0.25">
      <c r="B247">
        <v>1.5506</v>
      </c>
      <c r="C247">
        <v>95</v>
      </c>
      <c r="D247">
        <v>12</v>
      </c>
      <c r="E247">
        <v>3.4592999999999999E-2</v>
      </c>
      <c r="F247">
        <v>28.907</v>
      </c>
      <c r="G247">
        <v>666.87</v>
      </c>
      <c r="H247">
        <v>1.5506</v>
      </c>
    </row>
    <row r="248" spans="2:8" x14ac:dyDescent="0.25">
      <c r="B248">
        <v>1.5551999999999999</v>
      </c>
      <c r="C248">
        <v>100</v>
      </c>
      <c r="D248">
        <v>12</v>
      </c>
      <c r="E248">
        <v>3.4275E-2</v>
      </c>
      <c r="F248">
        <v>29.175999999999998</v>
      </c>
      <c r="G248">
        <v>669.45</v>
      </c>
      <c r="H248">
        <v>1.5551999999999999</v>
      </c>
    </row>
    <row r="249" spans="2:8" x14ac:dyDescent="0.25">
      <c r="B249">
        <v>1.5598000000000001</v>
      </c>
      <c r="C249">
        <v>105</v>
      </c>
      <c r="D249">
        <v>12</v>
      </c>
      <c r="E249">
        <v>3.3963E-2</v>
      </c>
      <c r="F249">
        <v>29.443999999999999</v>
      </c>
      <c r="G249">
        <v>672.02</v>
      </c>
      <c r="H249">
        <v>1.5598000000000001</v>
      </c>
    </row>
    <row r="250" spans="2:8" x14ac:dyDescent="0.25">
      <c r="B250">
        <v>1.5644</v>
      </c>
      <c r="C250">
        <v>110</v>
      </c>
      <c r="D250">
        <v>12</v>
      </c>
      <c r="E250">
        <v>3.3656999999999999E-2</v>
      </c>
      <c r="F250">
        <v>29.712</v>
      </c>
      <c r="G250">
        <v>674.61</v>
      </c>
      <c r="H250">
        <v>1.5644</v>
      </c>
    </row>
    <row r="251" spans="2:8" x14ac:dyDescent="0.25">
      <c r="B251">
        <v>1.5689</v>
      </c>
      <c r="C251">
        <v>115</v>
      </c>
      <c r="D251">
        <v>12</v>
      </c>
      <c r="E251">
        <v>3.3356999999999998E-2</v>
      </c>
      <c r="F251">
        <v>29.978999999999999</v>
      </c>
      <c r="G251">
        <v>677.19</v>
      </c>
      <c r="H251">
        <v>1.5689</v>
      </c>
    </row>
    <row r="252" spans="2:8" x14ac:dyDescent="0.25">
      <c r="B252">
        <v>1.5733999999999999</v>
      </c>
      <c r="C252">
        <v>120</v>
      </c>
      <c r="D252">
        <v>12</v>
      </c>
      <c r="E252">
        <v>3.3062000000000001E-2</v>
      </c>
      <c r="F252">
        <v>30.247</v>
      </c>
      <c r="G252">
        <v>679.78</v>
      </c>
      <c r="H252">
        <v>1.5733999999999999</v>
      </c>
    </row>
    <row r="253" spans="2:8" x14ac:dyDescent="0.25">
      <c r="B253">
        <v>1.5778000000000001</v>
      </c>
      <c r="C253">
        <v>125</v>
      </c>
      <c r="D253">
        <v>12</v>
      </c>
      <c r="E253">
        <v>3.2772000000000003E-2</v>
      </c>
      <c r="F253">
        <v>30.513999999999999</v>
      </c>
      <c r="G253">
        <v>682.37</v>
      </c>
      <c r="H253">
        <v>1.5778000000000001</v>
      </c>
    </row>
    <row r="254" spans="2:8" x14ac:dyDescent="0.25">
      <c r="B254">
        <v>1.5822000000000001</v>
      </c>
      <c r="C254">
        <v>130</v>
      </c>
      <c r="D254">
        <v>12</v>
      </c>
      <c r="E254">
        <v>3.2488000000000003E-2</v>
      </c>
      <c r="F254">
        <v>30.780999999999999</v>
      </c>
      <c r="G254">
        <v>684.96</v>
      </c>
      <c r="H254">
        <v>1.5822000000000001</v>
      </c>
    </row>
    <row r="255" spans="2:8" x14ac:dyDescent="0.25">
      <c r="B255">
        <v>1.5866</v>
      </c>
      <c r="C255">
        <v>135</v>
      </c>
      <c r="D255">
        <v>12</v>
      </c>
      <c r="E255">
        <v>3.2208000000000001E-2</v>
      </c>
      <c r="F255">
        <v>31.047999999999998</v>
      </c>
      <c r="G255">
        <v>687.56</v>
      </c>
      <c r="H255">
        <v>1.5866</v>
      </c>
    </row>
    <row r="256" spans="2:8" x14ac:dyDescent="0.25">
      <c r="B256">
        <v>1.591</v>
      </c>
      <c r="C256">
        <v>140</v>
      </c>
      <c r="D256">
        <v>12</v>
      </c>
      <c r="E256">
        <v>3.1933999999999997E-2</v>
      </c>
      <c r="F256">
        <v>31.314</v>
      </c>
      <c r="G256">
        <v>690.16</v>
      </c>
      <c r="H256">
        <v>1.591</v>
      </c>
    </row>
    <row r="257" spans="2:8" x14ac:dyDescent="0.25">
      <c r="B257">
        <v>1.5952999999999999</v>
      </c>
      <c r="C257">
        <v>145</v>
      </c>
      <c r="D257">
        <v>12</v>
      </c>
      <c r="E257">
        <v>3.1664999999999999E-2</v>
      </c>
      <c r="F257">
        <v>31.581</v>
      </c>
      <c r="G257">
        <v>692.77</v>
      </c>
      <c r="H257">
        <v>1.5952999999999999</v>
      </c>
    </row>
    <row r="258" spans="2:8" x14ac:dyDescent="0.25">
      <c r="B258">
        <v>1.5995999999999999</v>
      </c>
      <c r="C258">
        <v>150</v>
      </c>
      <c r="D258">
        <v>12</v>
      </c>
      <c r="E258">
        <v>3.1399999999999997E-2</v>
      </c>
      <c r="F258">
        <v>31.847999999999999</v>
      </c>
      <c r="G258">
        <v>695.38</v>
      </c>
      <c r="H258">
        <v>1.5995999999999999</v>
      </c>
    </row>
    <row r="259" spans="2:8" x14ac:dyDescent="0.25">
      <c r="B259">
        <v>1.6039000000000001</v>
      </c>
      <c r="C259">
        <v>155</v>
      </c>
      <c r="D259">
        <v>12</v>
      </c>
      <c r="E259">
        <v>3.1139E-2</v>
      </c>
      <c r="F259">
        <v>32.113999999999997</v>
      </c>
      <c r="G259">
        <v>697.99</v>
      </c>
      <c r="H259">
        <v>1.6039000000000001</v>
      </c>
    </row>
    <row r="260" spans="2:8" x14ac:dyDescent="0.25">
      <c r="B260">
        <v>1.6081000000000001</v>
      </c>
      <c r="C260">
        <v>160</v>
      </c>
      <c r="D260">
        <v>12</v>
      </c>
      <c r="E260">
        <v>3.0883000000000001E-2</v>
      </c>
      <c r="F260">
        <v>32.380000000000003</v>
      </c>
      <c r="G260">
        <v>700.61</v>
      </c>
      <c r="H260">
        <v>1.6081000000000001</v>
      </c>
    </row>
    <row r="261" spans="2:8" x14ac:dyDescent="0.25">
      <c r="B261">
        <v>1.6123000000000001</v>
      </c>
      <c r="C261">
        <v>165</v>
      </c>
      <c r="D261">
        <v>12</v>
      </c>
      <c r="E261">
        <v>3.0632E-2</v>
      </c>
      <c r="F261">
        <v>32.646000000000001</v>
      </c>
      <c r="G261">
        <v>703.23</v>
      </c>
      <c r="H261">
        <v>1.6123000000000001</v>
      </c>
    </row>
    <row r="262" spans="2:8" x14ac:dyDescent="0.25">
      <c r="B262">
        <v>1.6165</v>
      </c>
      <c r="C262">
        <v>170</v>
      </c>
      <c r="D262">
        <v>12</v>
      </c>
      <c r="E262">
        <v>3.0384000000000001E-2</v>
      </c>
      <c r="F262">
        <v>32.911999999999999</v>
      </c>
      <c r="G262">
        <v>705.85</v>
      </c>
      <c r="H262">
        <v>1.6165</v>
      </c>
    </row>
    <row r="263" spans="2:8" x14ac:dyDescent="0.25">
      <c r="B263">
        <v>1.6207</v>
      </c>
      <c r="C263">
        <v>175</v>
      </c>
      <c r="D263">
        <v>12</v>
      </c>
      <c r="E263">
        <v>3.0141000000000001E-2</v>
      </c>
      <c r="F263">
        <v>33.177999999999997</v>
      </c>
      <c r="G263">
        <v>708.49</v>
      </c>
      <c r="H263">
        <v>1.6207</v>
      </c>
    </row>
    <row r="264" spans="2:8" x14ac:dyDescent="0.25">
      <c r="B264">
        <v>1.6248</v>
      </c>
      <c r="C264">
        <v>180</v>
      </c>
      <c r="D264">
        <v>12</v>
      </c>
      <c r="E264">
        <v>2.9901E-2</v>
      </c>
      <c r="F264">
        <v>33.444000000000003</v>
      </c>
      <c r="G264">
        <v>711.12</v>
      </c>
      <c r="H264">
        <v>1.6248</v>
      </c>
    </row>
    <row r="265" spans="2:8" x14ac:dyDescent="0.25">
      <c r="B265">
        <v>1.6289</v>
      </c>
      <c r="C265">
        <v>185</v>
      </c>
      <c r="D265">
        <v>12</v>
      </c>
      <c r="E265">
        <v>2.9665E-2</v>
      </c>
      <c r="F265">
        <v>33.709000000000003</v>
      </c>
      <c r="G265">
        <v>713.76</v>
      </c>
      <c r="H265">
        <v>1.6289</v>
      </c>
    </row>
    <row r="266" spans="2:8" x14ac:dyDescent="0.25">
      <c r="B266">
        <v>1.633</v>
      </c>
      <c r="C266">
        <v>190</v>
      </c>
      <c r="D266">
        <v>12</v>
      </c>
      <c r="E266">
        <v>2.9433999999999998E-2</v>
      </c>
      <c r="F266">
        <v>33.975000000000001</v>
      </c>
      <c r="G266">
        <v>716.41</v>
      </c>
      <c r="H266">
        <v>1.633</v>
      </c>
    </row>
    <row r="267" spans="2:8" x14ac:dyDescent="0.25">
      <c r="B267">
        <v>1.6371</v>
      </c>
      <c r="C267">
        <v>195</v>
      </c>
      <c r="D267">
        <v>12</v>
      </c>
      <c r="E267">
        <v>2.9204999999999998E-2</v>
      </c>
      <c r="F267">
        <v>34.24</v>
      </c>
      <c r="G267">
        <v>719.06</v>
      </c>
      <c r="H267">
        <v>1.6371</v>
      </c>
    </row>
    <row r="268" spans="2:8" x14ac:dyDescent="0.25">
      <c r="B268">
        <v>1.6411</v>
      </c>
      <c r="C268">
        <v>200</v>
      </c>
      <c r="D268">
        <v>12</v>
      </c>
      <c r="E268">
        <v>2.8981E-2</v>
      </c>
      <c r="F268">
        <v>34.506</v>
      </c>
      <c r="G268">
        <v>721.71</v>
      </c>
      <c r="H268">
        <v>1.6411</v>
      </c>
    </row>
    <row r="269" spans="2:8" x14ac:dyDescent="0.25">
      <c r="B269">
        <v>1.6451</v>
      </c>
      <c r="C269">
        <v>205</v>
      </c>
      <c r="D269">
        <v>12</v>
      </c>
      <c r="E269">
        <v>2.8760000000000001E-2</v>
      </c>
      <c r="F269">
        <v>34.771000000000001</v>
      </c>
      <c r="G269">
        <v>724.37</v>
      </c>
      <c r="H269">
        <v>1.6451</v>
      </c>
    </row>
    <row r="270" spans="2:8" x14ac:dyDescent="0.25">
      <c r="B270">
        <v>1.6491</v>
      </c>
      <c r="C270">
        <v>210</v>
      </c>
      <c r="D270">
        <v>12</v>
      </c>
      <c r="E270">
        <v>2.8542000000000001E-2</v>
      </c>
      <c r="F270">
        <v>35.036000000000001</v>
      </c>
      <c r="G270">
        <v>727.04</v>
      </c>
      <c r="H270">
        <v>1.6491</v>
      </c>
    </row>
    <row r="271" spans="2:8" x14ac:dyDescent="0.25">
      <c r="B271">
        <v>1.6531</v>
      </c>
      <c r="C271">
        <v>215</v>
      </c>
      <c r="D271">
        <v>12</v>
      </c>
      <c r="E271">
        <v>2.8327999999999999E-2</v>
      </c>
      <c r="F271">
        <v>35.301000000000002</v>
      </c>
      <c r="G271">
        <v>729.71</v>
      </c>
      <c r="H271">
        <v>1.6531</v>
      </c>
    </row>
    <row r="272" spans="2:8" x14ac:dyDescent="0.25">
      <c r="B272">
        <v>1.6571</v>
      </c>
      <c r="C272">
        <v>220</v>
      </c>
      <c r="D272">
        <v>12</v>
      </c>
      <c r="E272">
        <v>2.8115999999999999E-2</v>
      </c>
      <c r="F272">
        <v>35.566000000000003</v>
      </c>
      <c r="G272">
        <v>732.38</v>
      </c>
      <c r="H272">
        <v>1.6571</v>
      </c>
    </row>
    <row r="273" spans="2:8" x14ac:dyDescent="0.25">
      <c r="B273">
        <v>1.661</v>
      </c>
      <c r="C273">
        <v>225</v>
      </c>
      <c r="D273">
        <v>12</v>
      </c>
      <c r="E273">
        <v>2.7909E-2</v>
      </c>
      <c r="F273">
        <v>35.831000000000003</v>
      </c>
      <c r="G273">
        <v>735.06</v>
      </c>
      <c r="H273">
        <v>1.661</v>
      </c>
    </row>
    <row r="274" spans="2:8" x14ac:dyDescent="0.25">
      <c r="B274">
        <v>1.6649</v>
      </c>
      <c r="C274">
        <v>230</v>
      </c>
      <c r="D274">
        <v>12</v>
      </c>
      <c r="E274">
        <v>2.7703999999999999E-2</v>
      </c>
      <c r="F274">
        <v>36.095999999999997</v>
      </c>
      <c r="G274">
        <v>737.75</v>
      </c>
      <c r="H274">
        <v>1.6649</v>
      </c>
    </row>
    <row r="275" spans="2:8" x14ac:dyDescent="0.25">
      <c r="B275">
        <v>1.6688000000000001</v>
      </c>
      <c r="C275">
        <v>235</v>
      </c>
      <c r="D275">
        <v>12</v>
      </c>
      <c r="E275">
        <v>2.7501999999999999E-2</v>
      </c>
      <c r="F275">
        <v>36.360999999999997</v>
      </c>
      <c r="G275">
        <v>740.44</v>
      </c>
      <c r="H275">
        <v>1.6688000000000001</v>
      </c>
    </row>
    <row r="276" spans="2:8" x14ac:dyDescent="0.25">
      <c r="B276">
        <v>1.6727000000000001</v>
      </c>
      <c r="C276">
        <v>240</v>
      </c>
      <c r="D276">
        <v>12</v>
      </c>
      <c r="E276">
        <v>2.7303000000000001E-2</v>
      </c>
      <c r="F276">
        <v>36.625999999999998</v>
      </c>
      <c r="G276">
        <v>743.14</v>
      </c>
      <c r="H276">
        <v>1.6727000000000001</v>
      </c>
    </row>
    <row r="277" spans="2:8" x14ac:dyDescent="0.25">
      <c r="B277">
        <v>1.6765000000000001</v>
      </c>
      <c r="C277">
        <v>245</v>
      </c>
      <c r="D277">
        <v>12</v>
      </c>
      <c r="E277">
        <v>2.7106999999999999E-2</v>
      </c>
      <c r="F277">
        <v>36.890999999999998</v>
      </c>
      <c r="G277">
        <v>745.85</v>
      </c>
      <c r="H277">
        <v>1.6765000000000001</v>
      </c>
    </row>
    <row r="278" spans="2:8" x14ac:dyDescent="0.25">
      <c r="B278">
        <v>1.6802999999999999</v>
      </c>
      <c r="C278">
        <v>250</v>
      </c>
      <c r="D278">
        <v>12</v>
      </c>
      <c r="E278">
        <v>2.6914E-2</v>
      </c>
      <c r="F278">
        <v>37.155000000000001</v>
      </c>
      <c r="G278">
        <v>748.56</v>
      </c>
      <c r="H278">
        <v>1.6802999999999999</v>
      </c>
    </row>
    <row r="279" spans="2:8" x14ac:dyDescent="0.25">
      <c r="B279">
        <v>1.6841999999999999</v>
      </c>
      <c r="C279">
        <v>255</v>
      </c>
      <c r="D279">
        <v>12</v>
      </c>
      <c r="E279">
        <v>2.6724000000000001E-2</v>
      </c>
      <c r="F279">
        <v>37.42</v>
      </c>
      <c r="G279">
        <v>751.27</v>
      </c>
      <c r="H279">
        <v>1.6841999999999999</v>
      </c>
    </row>
    <row r="280" spans="2:8" x14ac:dyDescent="0.25">
      <c r="B280">
        <v>1.6879</v>
      </c>
      <c r="C280">
        <v>260</v>
      </c>
      <c r="D280">
        <v>12</v>
      </c>
      <c r="E280">
        <v>2.6536000000000001E-2</v>
      </c>
      <c r="F280">
        <v>37.683999999999997</v>
      </c>
      <c r="G280">
        <v>753.99</v>
      </c>
      <c r="H280">
        <v>1.6879</v>
      </c>
    </row>
    <row r="281" spans="2:8" x14ac:dyDescent="0.25">
      <c r="B281">
        <v>1.6917</v>
      </c>
      <c r="C281">
        <v>265</v>
      </c>
      <c r="D281">
        <v>12</v>
      </c>
      <c r="E281">
        <v>2.6350999999999999E-2</v>
      </c>
      <c r="F281">
        <v>37.948999999999998</v>
      </c>
      <c r="G281">
        <v>756.72</v>
      </c>
      <c r="H281">
        <v>1.6917</v>
      </c>
    </row>
    <row r="282" spans="2:8" x14ac:dyDescent="0.25">
      <c r="B282">
        <v>1.6955</v>
      </c>
      <c r="C282">
        <v>270</v>
      </c>
      <c r="D282">
        <v>12</v>
      </c>
      <c r="E282">
        <v>2.6169000000000001E-2</v>
      </c>
      <c r="F282">
        <v>38.213000000000001</v>
      </c>
      <c r="G282">
        <v>759.45</v>
      </c>
      <c r="H282">
        <v>1.6955</v>
      </c>
    </row>
    <row r="283" spans="2:8" x14ac:dyDescent="0.25">
      <c r="B283">
        <v>1.6992</v>
      </c>
      <c r="C283">
        <v>275</v>
      </c>
      <c r="D283">
        <v>12</v>
      </c>
      <c r="E283">
        <v>2.5989000000000002E-2</v>
      </c>
      <c r="F283">
        <v>38.478000000000002</v>
      </c>
      <c r="G283">
        <v>762.19</v>
      </c>
      <c r="H283">
        <v>1.6992</v>
      </c>
    </row>
    <row r="284" spans="2:8" x14ac:dyDescent="0.25">
      <c r="B284">
        <v>1.7030000000000001</v>
      </c>
      <c r="C284">
        <v>280</v>
      </c>
      <c r="D284">
        <v>12</v>
      </c>
      <c r="E284">
        <v>2.5812000000000002E-2</v>
      </c>
      <c r="F284">
        <v>38.741999999999997</v>
      </c>
      <c r="G284">
        <v>764.94</v>
      </c>
      <c r="H284">
        <v>1.7030000000000001</v>
      </c>
    </row>
    <row r="285" spans="2:8" x14ac:dyDescent="0.25">
      <c r="B285">
        <v>1.7067000000000001</v>
      </c>
      <c r="C285">
        <v>285</v>
      </c>
      <c r="D285">
        <v>12</v>
      </c>
      <c r="E285">
        <v>2.5637E-2</v>
      </c>
      <c r="F285">
        <v>39.006</v>
      </c>
      <c r="G285">
        <v>767.69</v>
      </c>
      <c r="H285">
        <v>1.7067000000000001</v>
      </c>
    </row>
    <row r="286" spans="2:8" x14ac:dyDescent="0.25">
      <c r="B286">
        <v>1.7103999999999999</v>
      </c>
      <c r="C286">
        <v>290</v>
      </c>
      <c r="D286">
        <v>12</v>
      </c>
      <c r="E286">
        <v>2.5464000000000001E-2</v>
      </c>
      <c r="F286">
        <v>39.271000000000001</v>
      </c>
      <c r="G286">
        <v>770.45</v>
      </c>
      <c r="H286">
        <v>1.7103999999999999</v>
      </c>
    </row>
    <row r="287" spans="2:8" x14ac:dyDescent="0.25">
      <c r="B287">
        <v>1.714</v>
      </c>
      <c r="C287">
        <v>295</v>
      </c>
      <c r="D287">
        <v>12</v>
      </c>
      <c r="E287">
        <v>2.5294000000000001E-2</v>
      </c>
      <c r="F287">
        <v>39.534999999999997</v>
      </c>
      <c r="G287">
        <v>773.22</v>
      </c>
      <c r="H287">
        <v>1.714</v>
      </c>
    </row>
    <row r="288" spans="2:8" x14ac:dyDescent="0.25">
      <c r="B288">
        <v>1.7177</v>
      </c>
      <c r="C288">
        <v>300</v>
      </c>
      <c r="D288">
        <v>12</v>
      </c>
      <c r="E288">
        <v>2.5125999999999999E-2</v>
      </c>
      <c r="F288">
        <v>39.798999999999999</v>
      </c>
      <c r="G288">
        <v>775.99</v>
      </c>
      <c r="H288">
        <v>1.7177</v>
      </c>
    </row>
    <row r="290" spans="1:8" x14ac:dyDescent="0.25">
      <c r="A290">
        <v>13.9</v>
      </c>
      <c r="B290">
        <v>-2.537E-2</v>
      </c>
      <c r="C290">
        <v>-50</v>
      </c>
      <c r="D290">
        <v>13.9</v>
      </c>
      <c r="E290">
        <v>43.503</v>
      </c>
      <c r="F290">
        <v>2.2987E-2</v>
      </c>
      <c r="G290">
        <v>-10.505000000000001</v>
      </c>
      <c r="H290">
        <v>-2.537E-2</v>
      </c>
    </row>
    <row r="291" spans="1:8" x14ac:dyDescent="0.25">
      <c r="B291">
        <v>-1.2637000000000001E-2</v>
      </c>
      <c r="C291">
        <v>-45</v>
      </c>
      <c r="D291">
        <v>13.9</v>
      </c>
      <c r="E291">
        <v>43.295000000000002</v>
      </c>
      <c r="F291">
        <v>2.3096999999999999E-2</v>
      </c>
      <c r="G291">
        <v>-5.2567000000000004</v>
      </c>
      <c r="H291">
        <v>-1.2637000000000001E-2</v>
      </c>
    </row>
    <row r="292" spans="1:8" x14ac:dyDescent="0.25">
      <c r="B292">
        <v>-1.4717E-5</v>
      </c>
      <c r="C292">
        <v>-40</v>
      </c>
      <c r="D292">
        <v>13.9</v>
      </c>
      <c r="E292">
        <v>43.085000000000001</v>
      </c>
      <c r="F292">
        <v>2.3210000000000001E-2</v>
      </c>
      <c r="G292">
        <v>8.8745999999999998E-3</v>
      </c>
      <c r="H292">
        <v>-1.4717E-5</v>
      </c>
    </row>
    <row r="293" spans="1:8" x14ac:dyDescent="0.25">
      <c r="B293">
        <v>1.2499E-2</v>
      </c>
      <c r="C293">
        <v>-35</v>
      </c>
      <c r="D293">
        <v>13.9</v>
      </c>
      <c r="E293">
        <v>42.874000000000002</v>
      </c>
      <c r="F293">
        <v>2.3324000000000001E-2</v>
      </c>
      <c r="G293">
        <v>5.2919</v>
      </c>
      <c r="H293">
        <v>1.2499E-2</v>
      </c>
    </row>
    <row r="294" spans="1:8" x14ac:dyDescent="0.25">
      <c r="B294">
        <v>2.4906999999999999E-2</v>
      </c>
      <c r="C294">
        <v>-30</v>
      </c>
      <c r="D294">
        <v>13.9</v>
      </c>
      <c r="E294">
        <v>42.66</v>
      </c>
      <c r="F294">
        <v>2.3441E-2</v>
      </c>
      <c r="G294">
        <v>10.592000000000001</v>
      </c>
      <c r="H294">
        <v>2.4906999999999999E-2</v>
      </c>
    </row>
    <row r="295" spans="1:8" x14ac:dyDescent="0.25">
      <c r="B295">
        <v>1.4056</v>
      </c>
      <c r="C295">
        <v>-25</v>
      </c>
      <c r="D295">
        <v>13.9</v>
      </c>
      <c r="E295">
        <v>5.2038000000000001E-2</v>
      </c>
      <c r="F295">
        <v>19.216999999999999</v>
      </c>
      <c r="G295">
        <v>603.88</v>
      </c>
      <c r="H295">
        <v>1.4056</v>
      </c>
    </row>
    <row r="296" spans="1:8" x14ac:dyDescent="0.25">
      <c r="B296">
        <v>1.4117999999999999</v>
      </c>
      <c r="C296">
        <v>-20</v>
      </c>
      <c r="D296">
        <v>13.9</v>
      </c>
      <c r="E296">
        <v>5.1378E-2</v>
      </c>
      <c r="F296">
        <v>19.463999999999999</v>
      </c>
      <c r="G296">
        <v>606.59</v>
      </c>
      <c r="H296">
        <v>1.4117999999999999</v>
      </c>
    </row>
    <row r="297" spans="1:8" x14ac:dyDescent="0.25">
      <c r="B297">
        <v>1.4178999999999999</v>
      </c>
      <c r="C297">
        <v>-15</v>
      </c>
      <c r="D297">
        <v>13.9</v>
      </c>
      <c r="E297">
        <v>5.0737999999999998E-2</v>
      </c>
      <c r="F297">
        <v>19.709</v>
      </c>
      <c r="G297">
        <v>609.27</v>
      </c>
      <c r="H297">
        <v>1.4178999999999999</v>
      </c>
    </row>
    <row r="298" spans="1:8" x14ac:dyDescent="0.25">
      <c r="B298">
        <v>1.4238</v>
      </c>
      <c r="C298">
        <v>-10</v>
      </c>
      <c r="D298">
        <v>13.9</v>
      </c>
      <c r="E298">
        <v>5.0117000000000002E-2</v>
      </c>
      <c r="F298">
        <v>19.954000000000001</v>
      </c>
      <c r="G298">
        <v>611.95000000000005</v>
      </c>
      <c r="H298">
        <v>1.4238</v>
      </c>
    </row>
    <row r="299" spans="1:8" x14ac:dyDescent="0.25">
      <c r="B299">
        <v>1.4297</v>
      </c>
      <c r="C299">
        <v>-5</v>
      </c>
      <c r="D299">
        <v>13.9</v>
      </c>
      <c r="E299">
        <v>4.9513000000000001E-2</v>
      </c>
      <c r="F299">
        <v>20.196999999999999</v>
      </c>
      <c r="G299">
        <v>614.61</v>
      </c>
      <c r="H299">
        <v>1.4297</v>
      </c>
    </row>
    <row r="300" spans="1:8" x14ac:dyDescent="0.25">
      <c r="B300">
        <v>1.4355</v>
      </c>
      <c r="C300">
        <v>0</v>
      </c>
      <c r="D300">
        <v>13.9</v>
      </c>
      <c r="E300">
        <v>4.8925999999999997E-2</v>
      </c>
      <c r="F300">
        <v>20.439</v>
      </c>
      <c r="G300">
        <v>617.25</v>
      </c>
      <c r="H300">
        <v>1.4355</v>
      </c>
    </row>
    <row r="301" spans="1:8" x14ac:dyDescent="0.25">
      <c r="B301">
        <v>1.4412</v>
      </c>
      <c r="C301">
        <v>5</v>
      </c>
      <c r="D301">
        <v>13.9</v>
      </c>
      <c r="E301">
        <v>4.8355000000000002E-2</v>
      </c>
      <c r="F301">
        <v>20.68</v>
      </c>
      <c r="G301">
        <v>619.89</v>
      </c>
      <c r="H301">
        <v>1.4412</v>
      </c>
    </row>
    <row r="302" spans="1:8" x14ac:dyDescent="0.25">
      <c r="B302">
        <v>1.4468000000000001</v>
      </c>
      <c r="C302">
        <v>10</v>
      </c>
      <c r="D302">
        <v>13.9</v>
      </c>
      <c r="E302">
        <v>4.7799000000000001E-2</v>
      </c>
      <c r="F302">
        <v>20.920999999999999</v>
      </c>
      <c r="G302">
        <v>622.52</v>
      </c>
      <c r="H302">
        <v>1.4468000000000001</v>
      </c>
    </row>
    <row r="303" spans="1:8" x14ac:dyDescent="0.25">
      <c r="B303">
        <v>1.4523999999999999</v>
      </c>
      <c r="C303">
        <v>15</v>
      </c>
      <c r="D303">
        <v>13.9</v>
      </c>
      <c r="E303">
        <v>4.7257E-2</v>
      </c>
      <c r="F303">
        <v>21.161000000000001</v>
      </c>
      <c r="G303">
        <v>625.14</v>
      </c>
      <c r="H303">
        <v>1.4523999999999999</v>
      </c>
    </row>
    <row r="304" spans="1:8" x14ac:dyDescent="0.25">
      <c r="B304">
        <v>1.4579</v>
      </c>
      <c r="C304">
        <v>20</v>
      </c>
      <c r="D304">
        <v>13.9</v>
      </c>
      <c r="E304">
        <v>4.6730000000000001E-2</v>
      </c>
      <c r="F304">
        <v>21.4</v>
      </c>
      <c r="G304">
        <v>627.75</v>
      </c>
      <c r="H304">
        <v>1.4579</v>
      </c>
    </row>
    <row r="305" spans="2:8" x14ac:dyDescent="0.25">
      <c r="B305">
        <v>1.4633</v>
      </c>
      <c r="C305">
        <v>25</v>
      </c>
      <c r="D305">
        <v>13.9</v>
      </c>
      <c r="E305">
        <v>4.6214999999999999E-2</v>
      </c>
      <c r="F305">
        <v>21.638000000000002</v>
      </c>
      <c r="G305">
        <v>630.35</v>
      </c>
      <c r="H305">
        <v>1.4633</v>
      </c>
    </row>
    <row r="306" spans="2:8" x14ac:dyDescent="0.25">
      <c r="B306">
        <v>1.4685999999999999</v>
      </c>
      <c r="C306">
        <v>30</v>
      </c>
      <c r="D306">
        <v>13.9</v>
      </c>
      <c r="E306">
        <v>4.5712999999999997E-2</v>
      </c>
      <c r="F306">
        <v>21.876000000000001</v>
      </c>
      <c r="G306">
        <v>632.95000000000005</v>
      </c>
      <c r="H306">
        <v>1.4685999999999999</v>
      </c>
    </row>
    <row r="307" spans="2:8" x14ac:dyDescent="0.25">
      <c r="B307">
        <v>1.4739</v>
      </c>
      <c r="C307">
        <v>35</v>
      </c>
      <c r="D307">
        <v>13.9</v>
      </c>
      <c r="E307">
        <v>4.5221999999999998E-2</v>
      </c>
      <c r="F307">
        <v>22.113</v>
      </c>
      <c r="G307">
        <v>635.54999999999995</v>
      </c>
      <c r="H307">
        <v>1.4739</v>
      </c>
    </row>
    <row r="308" spans="2:8" x14ac:dyDescent="0.25">
      <c r="B308">
        <v>1.4791000000000001</v>
      </c>
      <c r="C308">
        <v>40</v>
      </c>
      <c r="D308">
        <v>13.9</v>
      </c>
      <c r="E308">
        <v>4.4743999999999999E-2</v>
      </c>
      <c r="F308">
        <v>22.35</v>
      </c>
      <c r="G308">
        <v>638.14</v>
      </c>
      <c r="H308">
        <v>1.4791000000000001</v>
      </c>
    </row>
    <row r="309" spans="2:8" x14ac:dyDescent="0.25">
      <c r="B309">
        <v>1.4842</v>
      </c>
      <c r="C309">
        <v>45</v>
      </c>
      <c r="D309">
        <v>13.9</v>
      </c>
      <c r="E309">
        <v>4.4276000000000003E-2</v>
      </c>
      <c r="F309">
        <v>22.585999999999999</v>
      </c>
      <c r="G309">
        <v>640.73</v>
      </c>
      <c r="H309">
        <v>1.4842</v>
      </c>
    </row>
    <row r="310" spans="2:8" x14ac:dyDescent="0.25">
      <c r="B310">
        <v>1.4893000000000001</v>
      </c>
      <c r="C310">
        <v>50</v>
      </c>
      <c r="D310">
        <v>13.9</v>
      </c>
      <c r="E310">
        <v>4.3818999999999997E-2</v>
      </c>
      <c r="F310">
        <v>22.821000000000002</v>
      </c>
      <c r="G310">
        <v>643.32000000000005</v>
      </c>
      <c r="H310">
        <v>1.4893000000000001</v>
      </c>
    </row>
    <row r="311" spans="2:8" x14ac:dyDescent="0.25">
      <c r="B311">
        <v>1.4944</v>
      </c>
      <c r="C311">
        <v>55</v>
      </c>
      <c r="D311">
        <v>13.9</v>
      </c>
      <c r="E311">
        <v>4.3372000000000001E-2</v>
      </c>
      <c r="F311">
        <v>23.056999999999999</v>
      </c>
      <c r="G311">
        <v>645.9</v>
      </c>
      <c r="H311">
        <v>1.4944</v>
      </c>
    </row>
    <row r="312" spans="2:8" x14ac:dyDescent="0.25">
      <c r="B312">
        <v>1.4994000000000001</v>
      </c>
      <c r="C312">
        <v>60</v>
      </c>
      <c r="D312">
        <v>13.9</v>
      </c>
      <c r="E312">
        <v>4.2934E-2</v>
      </c>
      <c r="F312">
        <v>23.291</v>
      </c>
      <c r="G312">
        <v>648.49</v>
      </c>
      <c r="H312">
        <v>1.4994000000000001</v>
      </c>
    </row>
    <row r="313" spans="2:8" x14ac:dyDescent="0.25">
      <c r="B313">
        <v>1.5043</v>
      </c>
      <c r="C313">
        <v>65</v>
      </c>
      <c r="D313">
        <v>13.9</v>
      </c>
      <c r="E313">
        <v>4.2506000000000002E-2</v>
      </c>
      <c r="F313">
        <v>23.526</v>
      </c>
      <c r="G313">
        <v>651.07000000000005</v>
      </c>
      <c r="H313">
        <v>1.5043</v>
      </c>
    </row>
    <row r="314" spans="2:8" x14ac:dyDescent="0.25">
      <c r="B314">
        <v>1.5092000000000001</v>
      </c>
      <c r="C314">
        <v>70</v>
      </c>
      <c r="D314">
        <v>13.9</v>
      </c>
      <c r="E314">
        <v>4.2088E-2</v>
      </c>
      <c r="F314">
        <v>23.76</v>
      </c>
      <c r="G314">
        <v>653.65</v>
      </c>
      <c r="H314">
        <v>1.5092000000000001</v>
      </c>
    </row>
    <row r="315" spans="2:8" x14ac:dyDescent="0.25">
      <c r="B315">
        <v>1.5141</v>
      </c>
      <c r="C315">
        <v>75</v>
      </c>
      <c r="D315">
        <v>13.9</v>
      </c>
      <c r="E315">
        <v>4.1678E-2</v>
      </c>
      <c r="F315">
        <v>23.994</v>
      </c>
      <c r="G315">
        <v>656.23</v>
      </c>
      <c r="H315">
        <v>1.5141</v>
      </c>
    </row>
    <row r="316" spans="2:8" x14ac:dyDescent="0.25">
      <c r="B316">
        <v>1.5188999999999999</v>
      </c>
      <c r="C316">
        <v>80</v>
      </c>
      <c r="D316">
        <v>13.9</v>
      </c>
      <c r="E316">
        <v>4.1276E-2</v>
      </c>
      <c r="F316">
        <v>24.227</v>
      </c>
      <c r="G316">
        <v>658.81</v>
      </c>
      <c r="H316">
        <v>1.5188999999999999</v>
      </c>
    </row>
    <row r="317" spans="2:8" x14ac:dyDescent="0.25">
      <c r="B317">
        <v>1.5236000000000001</v>
      </c>
      <c r="C317">
        <v>85</v>
      </c>
      <c r="D317">
        <v>13.9</v>
      </c>
      <c r="E317">
        <v>4.0883000000000003E-2</v>
      </c>
      <c r="F317">
        <v>24.46</v>
      </c>
      <c r="G317">
        <v>661.4</v>
      </c>
      <c r="H317">
        <v>1.5236000000000001</v>
      </c>
    </row>
    <row r="318" spans="2:8" x14ac:dyDescent="0.25">
      <c r="B318">
        <v>1.5284</v>
      </c>
      <c r="C318">
        <v>90</v>
      </c>
      <c r="D318">
        <v>13.9</v>
      </c>
      <c r="E318">
        <v>4.0496999999999998E-2</v>
      </c>
      <c r="F318">
        <v>24.693000000000001</v>
      </c>
      <c r="G318">
        <v>663.98</v>
      </c>
      <c r="H318">
        <v>1.5284</v>
      </c>
    </row>
    <row r="319" spans="2:8" x14ac:dyDescent="0.25">
      <c r="B319">
        <v>1.5329999999999999</v>
      </c>
      <c r="C319">
        <v>95</v>
      </c>
      <c r="D319">
        <v>13.9</v>
      </c>
      <c r="E319">
        <v>4.0119000000000002E-2</v>
      </c>
      <c r="F319">
        <v>24.925999999999998</v>
      </c>
      <c r="G319">
        <v>666.56</v>
      </c>
      <c r="H319">
        <v>1.5329999999999999</v>
      </c>
    </row>
    <row r="320" spans="2:8" x14ac:dyDescent="0.25">
      <c r="B320">
        <v>1.5377000000000001</v>
      </c>
      <c r="C320">
        <v>100</v>
      </c>
      <c r="D320">
        <v>13.9</v>
      </c>
      <c r="E320">
        <v>3.9747999999999999E-2</v>
      </c>
      <c r="F320">
        <v>25.158000000000001</v>
      </c>
      <c r="G320">
        <v>669.15</v>
      </c>
      <c r="H320">
        <v>1.5377000000000001</v>
      </c>
    </row>
    <row r="321" spans="2:8" x14ac:dyDescent="0.25">
      <c r="B321">
        <v>1.5423</v>
      </c>
      <c r="C321">
        <v>105</v>
      </c>
      <c r="D321">
        <v>13.9</v>
      </c>
      <c r="E321">
        <v>3.9385000000000003E-2</v>
      </c>
      <c r="F321">
        <v>25.39</v>
      </c>
      <c r="G321">
        <v>671.74</v>
      </c>
      <c r="H321">
        <v>1.5423</v>
      </c>
    </row>
    <row r="322" spans="2:8" x14ac:dyDescent="0.25">
      <c r="B322">
        <v>1.5468999999999999</v>
      </c>
      <c r="C322">
        <v>110</v>
      </c>
      <c r="D322">
        <v>13.9</v>
      </c>
      <c r="E322">
        <v>3.9029000000000001E-2</v>
      </c>
      <c r="F322">
        <v>25.622</v>
      </c>
      <c r="G322">
        <v>674.33</v>
      </c>
      <c r="H322">
        <v>1.5468999999999999</v>
      </c>
    </row>
    <row r="323" spans="2:8" x14ac:dyDescent="0.25">
      <c r="B323">
        <v>1.5513999999999999</v>
      </c>
      <c r="C323">
        <v>115</v>
      </c>
      <c r="D323">
        <v>13.9</v>
      </c>
      <c r="E323">
        <v>3.8678999999999998E-2</v>
      </c>
      <c r="F323">
        <v>25.853999999999999</v>
      </c>
      <c r="G323">
        <v>676.92</v>
      </c>
      <c r="H323">
        <v>1.5513999999999999</v>
      </c>
    </row>
    <row r="324" spans="2:8" x14ac:dyDescent="0.25">
      <c r="B324">
        <v>1.5559000000000001</v>
      </c>
      <c r="C324">
        <v>120</v>
      </c>
      <c r="D324">
        <v>13.9</v>
      </c>
      <c r="E324">
        <v>3.8335000000000001E-2</v>
      </c>
      <c r="F324">
        <v>26.085999999999999</v>
      </c>
      <c r="G324">
        <v>679.52</v>
      </c>
      <c r="H324">
        <v>1.5559000000000001</v>
      </c>
    </row>
    <row r="325" spans="2:8" x14ac:dyDescent="0.25">
      <c r="B325">
        <v>1.5604</v>
      </c>
      <c r="C325">
        <v>125</v>
      </c>
      <c r="D325">
        <v>13.9</v>
      </c>
      <c r="E325">
        <v>3.7997999999999997E-2</v>
      </c>
      <c r="F325">
        <v>26.317</v>
      </c>
      <c r="G325">
        <v>682.11</v>
      </c>
      <c r="H325">
        <v>1.5604</v>
      </c>
    </row>
    <row r="326" spans="2:8" x14ac:dyDescent="0.25">
      <c r="B326">
        <v>1.5648</v>
      </c>
      <c r="C326">
        <v>130</v>
      </c>
      <c r="D326">
        <v>13.9</v>
      </c>
      <c r="E326">
        <v>3.7668E-2</v>
      </c>
      <c r="F326">
        <v>26.547999999999998</v>
      </c>
      <c r="G326">
        <v>684.72</v>
      </c>
      <c r="H326">
        <v>1.5648</v>
      </c>
    </row>
    <row r="327" spans="2:8" x14ac:dyDescent="0.25">
      <c r="B327">
        <v>1.5691999999999999</v>
      </c>
      <c r="C327">
        <v>135</v>
      </c>
      <c r="D327">
        <v>13.9</v>
      </c>
      <c r="E327">
        <v>3.7343000000000001E-2</v>
      </c>
      <c r="F327">
        <v>26.779</v>
      </c>
      <c r="G327">
        <v>687.32</v>
      </c>
      <c r="H327">
        <v>1.5691999999999999</v>
      </c>
    </row>
    <row r="328" spans="2:8" x14ac:dyDescent="0.25">
      <c r="B328">
        <v>1.5734999999999999</v>
      </c>
      <c r="C328">
        <v>140</v>
      </c>
      <c r="D328">
        <v>13.9</v>
      </c>
      <c r="E328">
        <v>3.7023E-2</v>
      </c>
      <c r="F328">
        <v>27.01</v>
      </c>
      <c r="G328">
        <v>689.93</v>
      </c>
      <c r="H328">
        <v>1.5734999999999999</v>
      </c>
    </row>
    <row r="329" spans="2:8" x14ac:dyDescent="0.25">
      <c r="B329">
        <v>1.5779000000000001</v>
      </c>
      <c r="C329">
        <v>145</v>
      </c>
      <c r="D329">
        <v>13.9</v>
      </c>
      <c r="E329">
        <v>3.671E-2</v>
      </c>
      <c r="F329">
        <v>27.241</v>
      </c>
      <c r="G329">
        <v>692.54</v>
      </c>
      <c r="H329">
        <v>1.5779000000000001</v>
      </c>
    </row>
    <row r="330" spans="2:8" x14ac:dyDescent="0.25">
      <c r="B330">
        <v>1.5822000000000001</v>
      </c>
      <c r="C330">
        <v>150</v>
      </c>
      <c r="D330">
        <v>13.9</v>
      </c>
      <c r="E330">
        <v>3.6401999999999997E-2</v>
      </c>
      <c r="F330">
        <v>27.471</v>
      </c>
      <c r="G330">
        <v>695.15</v>
      </c>
      <c r="H330">
        <v>1.5822000000000001</v>
      </c>
    </row>
    <row r="331" spans="2:8" x14ac:dyDescent="0.25">
      <c r="B331">
        <v>1.5865</v>
      </c>
      <c r="C331">
        <v>155</v>
      </c>
      <c r="D331">
        <v>13.9</v>
      </c>
      <c r="E331">
        <v>3.6098999999999999E-2</v>
      </c>
      <c r="F331">
        <v>27.702000000000002</v>
      </c>
      <c r="G331">
        <v>697.77</v>
      </c>
      <c r="H331">
        <v>1.5865</v>
      </c>
    </row>
    <row r="332" spans="2:8" x14ac:dyDescent="0.25">
      <c r="B332">
        <v>1.5907</v>
      </c>
      <c r="C332">
        <v>160</v>
      </c>
      <c r="D332">
        <v>13.9</v>
      </c>
      <c r="E332">
        <v>3.5800999999999999E-2</v>
      </c>
      <c r="F332">
        <v>27.931999999999999</v>
      </c>
      <c r="G332">
        <v>700.4</v>
      </c>
      <c r="H332">
        <v>1.5907</v>
      </c>
    </row>
    <row r="333" spans="2:8" x14ac:dyDescent="0.25">
      <c r="B333">
        <v>1.5949</v>
      </c>
      <c r="C333">
        <v>165</v>
      </c>
      <c r="D333">
        <v>13.9</v>
      </c>
      <c r="E333">
        <v>3.5508999999999999E-2</v>
      </c>
      <c r="F333">
        <v>28.161999999999999</v>
      </c>
      <c r="G333">
        <v>703.02</v>
      </c>
      <c r="H333">
        <v>1.5949</v>
      </c>
    </row>
    <row r="334" spans="2:8" x14ac:dyDescent="0.25">
      <c r="B334">
        <v>1.5991</v>
      </c>
      <c r="C334">
        <v>170</v>
      </c>
      <c r="D334">
        <v>13.9</v>
      </c>
      <c r="E334">
        <v>3.5221000000000002E-2</v>
      </c>
      <c r="F334">
        <v>28.391999999999999</v>
      </c>
      <c r="G334">
        <v>705.65</v>
      </c>
      <c r="H334">
        <v>1.5991</v>
      </c>
    </row>
    <row r="335" spans="2:8" x14ac:dyDescent="0.25">
      <c r="B335">
        <v>1.6032999999999999</v>
      </c>
      <c r="C335">
        <v>175</v>
      </c>
      <c r="D335">
        <v>13.9</v>
      </c>
      <c r="E335">
        <v>3.4937999999999997E-2</v>
      </c>
      <c r="F335">
        <v>28.622</v>
      </c>
      <c r="G335">
        <v>708.29</v>
      </c>
      <c r="H335">
        <v>1.6032999999999999</v>
      </c>
    </row>
    <row r="336" spans="2:8" x14ac:dyDescent="0.25">
      <c r="B336">
        <v>1.6073999999999999</v>
      </c>
      <c r="C336">
        <v>180</v>
      </c>
      <c r="D336">
        <v>13.9</v>
      </c>
      <c r="E336">
        <v>3.4660000000000003E-2</v>
      </c>
      <c r="F336">
        <v>28.852</v>
      </c>
      <c r="G336">
        <v>710.93</v>
      </c>
      <c r="H336">
        <v>1.6073999999999999</v>
      </c>
    </row>
    <row r="337" spans="2:8" x14ac:dyDescent="0.25">
      <c r="B337">
        <v>1.6115999999999999</v>
      </c>
      <c r="C337">
        <v>185</v>
      </c>
      <c r="D337">
        <v>13.9</v>
      </c>
      <c r="E337">
        <v>3.4386E-2</v>
      </c>
      <c r="F337">
        <v>29.082000000000001</v>
      </c>
      <c r="G337">
        <v>713.57</v>
      </c>
      <c r="H337">
        <v>1.6115999999999999</v>
      </c>
    </row>
    <row r="338" spans="2:8" x14ac:dyDescent="0.25">
      <c r="B338">
        <v>1.6156999999999999</v>
      </c>
      <c r="C338">
        <v>190</v>
      </c>
      <c r="D338">
        <v>13.9</v>
      </c>
      <c r="E338">
        <v>3.4116E-2</v>
      </c>
      <c r="F338">
        <v>29.311</v>
      </c>
      <c r="G338">
        <v>716.22</v>
      </c>
      <c r="H338">
        <v>1.6156999999999999</v>
      </c>
    </row>
    <row r="339" spans="2:8" x14ac:dyDescent="0.25">
      <c r="B339">
        <v>1.6196999999999999</v>
      </c>
      <c r="C339">
        <v>195</v>
      </c>
      <c r="D339">
        <v>13.9</v>
      </c>
      <c r="E339">
        <v>3.3850999999999999E-2</v>
      </c>
      <c r="F339">
        <v>29.541</v>
      </c>
      <c r="G339">
        <v>718.88</v>
      </c>
      <c r="H339">
        <v>1.6196999999999999</v>
      </c>
    </row>
    <row r="340" spans="2:8" x14ac:dyDescent="0.25">
      <c r="B340">
        <v>1.6237999999999999</v>
      </c>
      <c r="C340">
        <v>200</v>
      </c>
      <c r="D340">
        <v>13.9</v>
      </c>
      <c r="E340">
        <v>3.3590000000000002E-2</v>
      </c>
      <c r="F340">
        <v>29.771000000000001</v>
      </c>
      <c r="G340">
        <v>721.53</v>
      </c>
      <c r="H340">
        <v>1.6237999999999999</v>
      </c>
    </row>
    <row r="341" spans="2:8" x14ac:dyDescent="0.25">
      <c r="B341">
        <v>1.6277999999999999</v>
      </c>
      <c r="C341">
        <v>205</v>
      </c>
      <c r="D341">
        <v>13.9</v>
      </c>
      <c r="E341">
        <v>3.3333000000000002E-2</v>
      </c>
      <c r="F341">
        <v>30</v>
      </c>
      <c r="G341">
        <v>724.2</v>
      </c>
      <c r="H341">
        <v>1.6277999999999999</v>
      </c>
    </row>
    <row r="342" spans="2:8" x14ac:dyDescent="0.25">
      <c r="B342">
        <v>1.6317999999999999</v>
      </c>
      <c r="C342">
        <v>210</v>
      </c>
      <c r="D342">
        <v>13.9</v>
      </c>
      <c r="E342">
        <v>3.3080999999999999E-2</v>
      </c>
      <c r="F342">
        <v>30.228999999999999</v>
      </c>
      <c r="G342">
        <v>726.87</v>
      </c>
      <c r="H342">
        <v>1.6317999999999999</v>
      </c>
    </row>
    <row r="343" spans="2:8" x14ac:dyDescent="0.25">
      <c r="B343">
        <v>1.6357999999999999</v>
      </c>
      <c r="C343">
        <v>215</v>
      </c>
      <c r="D343">
        <v>13.9</v>
      </c>
      <c r="E343">
        <v>3.2832E-2</v>
      </c>
      <c r="F343">
        <v>30.457999999999998</v>
      </c>
      <c r="G343">
        <v>729.54</v>
      </c>
      <c r="H343">
        <v>1.6357999999999999</v>
      </c>
    </row>
    <row r="344" spans="2:8" x14ac:dyDescent="0.25">
      <c r="B344">
        <v>1.6396999999999999</v>
      </c>
      <c r="C344">
        <v>220</v>
      </c>
      <c r="D344">
        <v>13.9</v>
      </c>
      <c r="E344">
        <v>3.2585999999999997E-2</v>
      </c>
      <c r="F344">
        <v>30.687999999999999</v>
      </c>
      <c r="G344">
        <v>732.22</v>
      </c>
      <c r="H344">
        <v>1.6396999999999999</v>
      </c>
    </row>
    <row r="345" spans="2:8" x14ac:dyDescent="0.25">
      <c r="B345">
        <v>1.6436999999999999</v>
      </c>
      <c r="C345">
        <v>225</v>
      </c>
      <c r="D345">
        <v>13.9</v>
      </c>
      <c r="E345">
        <v>3.2344999999999999E-2</v>
      </c>
      <c r="F345">
        <v>30.917000000000002</v>
      </c>
      <c r="G345">
        <v>734.91</v>
      </c>
      <c r="H345">
        <v>1.6436999999999999</v>
      </c>
    </row>
    <row r="346" spans="2:8" x14ac:dyDescent="0.25">
      <c r="B346">
        <v>1.6476</v>
      </c>
      <c r="C346">
        <v>230</v>
      </c>
      <c r="D346">
        <v>13.9</v>
      </c>
      <c r="E346">
        <v>3.2106999999999997E-2</v>
      </c>
      <c r="F346">
        <v>31.146000000000001</v>
      </c>
      <c r="G346">
        <v>737.6</v>
      </c>
      <c r="H346">
        <v>1.6476</v>
      </c>
    </row>
    <row r="347" spans="2:8" x14ac:dyDescent="0.25">
      <c r="B347">
        <v>1.6515</v>
      </c>
      <c r="C347">
        <v>235</v>
      </c>
      <c r="D347">
        <v>13.9</v>
      </c>
      <c r="E347">
        <v>3.1872999999999999E-2</v>
      </c>
      <c r="F347">
        <v>31.375</v>
      </c>
      <c r="G347">
        <v>740.29</v>
      </c>
      <c r="H347">
        <v>1.6515</v>
      </c>
    </row>
    <row r="348" spans="2:8" x14ac:dyDescent="0.25">
      <c r="B348">
        <v>1.6554</v>
      </c>
      <c r="C348">
        <v>240</v>
      </c>
      <c r="D348">
        <v>13.9</v>
      </c>
      <c r="E348">
        <v>3.1642000000000003E-2</v>
      </c>
      <c r="F348">
        <v>31.603999999999999</v>
      </c>
      <c r="G348">
        <v>742.99</v>
      </c>
      <c r="H348">
        <v>1.6554</v>
      </c>
    </row>
    <row r="349" spans="2:8" x14ac:dyDescent="0.25">
      <c r="B349">
        <v>1.6592</v>
      </c>
      <c r="C349">
        <v>245</v>
      </c>
      <c r="D349">
        <v>13.9</v>
      </c>
      <c r="E349">
        <v>3.1413999999999997E-2</v>
      </c>
      <c r="F349">
        <v>31.832000000000001</v>
      </c>
      <c r="G349">
        <v>745.7</v>
      </c>
      <c r="H349">
        <v>1.6592</v>
      </c>
    </row>
    <row r="350" spans="2:8" x14ac:dyDescent="0.25">
      <c r="B350">
        <v>1.663</v>
      </c>
      <c r="C350">
        <v>250</v>
      </c>
      <c r="D350">
        <v>13.9</v>
      </c>
      <c r="E350">
        <v>3.1189999999999999E-2</v>
      </c>
      <c r="F350">
        <v>32.061</v>
      </c>
      <c r="G350">
        <v>748.41</v>
      </c>
      <c r="H350">
        <v>1.663</v>
      </c>
    </row>
    <row r="351" spans="2:8" x14ac:dyDescent="0.25">
      <c r="B351">
        <v>1.6669</v>
      </c>
      <c r="C351">
        <v>255</v>
      </c>
      <c r="D351">
        <v>13.9</v>
      </c>
      <c r="E351">
        <v>3.0969E-2</v>
      </c>
      <c r="F351">
        <v>32.29</v>
      </c>
      <c r="G351">
        <v>751.13</v>
      </c>
      <c r="H351">
        <v>1.6669</v>
      </c>
    </row>
    <row r="352" spans="2:8" x14ac:dyDescent="0.25">
      <c r="B352">
        <v>1.6707000000000001</v>
      </c>
      <c r="C352">
        <v>260</v>
      </c>
      <c r="D352">
        <v>13.9</v>
      </c>
      <c r="E352">
        <v>3.0752000000000002E-2</v>
      </c>
      <c r="F352">
        <v>32.518999999999998</v>
      </c>
      <c r="G352">
        <v>753.86</v>
      </c>
      <c r="H352">
        <v>1.6707000000000001</v>
      </c>
    </row>
    <row r="353" spans="1:8" x14ac:dyDescent="0.25">
      <c r="B353">
        <v>1.6744000000000001</v>
      </c>
      <c r="C353">
        <v>265</v>
      </c>
      <c r="D353">
        <v>13.9</v>
      </c>
      <c r="E353">
        <v>3.0537000000000002E-2</v>
      </c>
      <c r="F353">
        <v>32.747</v>
      </c>
      <c r="G353">
        <v>756.59</v>
      </c>
      <c r="H353">
        <v>1.6744000000000001</v>
      </c>
    </row>
    <row r="354" spans="1:8" x14ac:dyDescent="0.25">
      <c r="B354">
        <v>1.6781999999999999</v>
      </c>
      <c r="C354">
        <v>270</v>
      </c>
      <c r="D354">
        <v>13.9</v>
      </c>
      <c r="E354">
        <v>3.0325000000000001E-2</v>
      </c>
      <c r="F354">
        <v>32.975999999999999</v>
      </c>
      <c r="G354">
        <v>759.32</v>
      </c>
      <c r="H354">
        <v>1.6781999999999999</v>
      </c>
    </row>
    <row r="355" spans="1:8" x14ac:dyDescent="0.25">
      <c r="B355">
        <v>1.6819</v>
      </c>
      <c r="C355">
        <v>275</v>
      </c>
      <c r="D355">
        <v>13.9</v>
      </c>
      <c r="E355">
        <v>3.0117000000000001E-2</v>
      </c>
      <c r="F355">
        <v>33.204000000000001</v>
      </c>
      <c r="G355">
        <v>762.06</v>
      </c>
      <c r="H355">
        <v>1.6819</v>
      </c>
    </row>
    <row r="356" spans="1:8" x14ac:dyDescent="0.25">
      <c r="B356">
        <v>1.6857</v>
      </c>
      <c r="C356">
        <v>280</v>
      </c>
      <c r="D356">
        <v>13.9</v>
      </c>
      <c r="E356">
        <v>2.9911E-2</v>
      </c>
      <c r="F356">
        <v>33.433</v>
      </c>
      <c r="G356">
        <v>764.81</v>
      </c>
      <c r="H356">
        <v>1.6857</v>
      </c>
    </row>
    <row r="357" spans="1:8" x14ac:dyDescent="0.25">
      <c r="B357">
        <v>1.6894</v>
      </c>
      <c r="C357">
        <v>285</v>
      </c>
      <c r="D357">
        <v>13.9</v>
      </c>
      <c r="E357">
        <v>2.9707999999999998E-2</v>
      </c>
      <c r="F357">
        <v>33.661000000000001</v>
      </c>
      <c r="G357">
        <v>767.57</v>
      </c>
      <c r="H357">
        <v>1.6894</v>
      </c>
    </row>
    <row r="358" spans="1:8" x14ac:dyDescent="0.25">
      <c r="B358">
        <v>1.6931</v>
      </c>
      <c r="C358">
        <v>290</v>
      </c>
      <c r="D358">
        <v>13.9</v>
      </c>
      <c r="E358">
        <v>2.9508E-2</v>
      </c>
      <c r="F358">
        <v>33.89</v>
      </c>
      <c r="G358">
        <v>770.33</v>
      </c>
      <c r="H358">
        <v>1.6931</v>
      </c>
    </row>
    <row r="359" spans="1:8" x14ac:dyDescent="0.25">
      <c r="B359">
        <v>1.6968000000000001</v>
      </c>
      <c r="C359">
        <v>295</v>
      </c>
      <c r="D359">
        <v>13.9</v>
      </c>
      <c r="E359">
        <v>2.9309999999999999E-2</v>
      </c>
      <c r="F359">
        <v>34.118000000000002</v>
      </c>
      <c r="G359">
        <v>773.09</v>
      </c>
      <c r="H359">
        <v>1.6968000000000001</v>
      </c>
    </row>
    <row r="360" spans="1:8" x14ac:dyDescent="0.25">
      <c r="B360">
        <v>1.7003999999999999</v>
      </c>
      <c r="C360">
        <v>300</v>
      </c>
      <c r="D360">
        <v>13.9</v>
      </c>
      <c r="E360">
        <v>2.9114999999999999E-2</v>
      </c>
      <c r="F360">
        <v>34.345999999999997</v>
      </c>
      <c r="G360">
        <v>775.87</v>
      </c>
      <c r="H360">
        <v>1.7003999999999999</v>
      </c>
    </row>
    <row r="362" spans="1:8" x14ac:dyDescent="0.25">
      <c r="A362">
        <v>14.7</v>
      </c>
      <c r="B362">
        <v>-2.5373E-2</v>
      </c>
      <c r="C362">
        <v>-50</v>
      </c>
      <c r="D362">
        <v>14.7</v>
      </c>
      <c r="E362">
        <v>43.503</v>
      </c>
      <c r="F362">
        <v>2.2987E-2</v>
      </c>
      <c r="G362">
        <v>-10.503</v>
      </c>
      <c r="H362">
        <v>-2.5373E-2</v>
      </c>
    </row>
    <row r="363" spans="1:8" x14ac:dyDescent="0.25">
      <c r="B363">
        <v>-1.264E-2</v>
      </c>
      <c r="C363">
        <v>-45</v>
      </c>
      <c r="D363">
        <v>14.7</v>
      </c>
      <c r="E363">
        <v>43.295000000000002</v>
      </c>
      <c r="F363">
        <v>2.3096999999999999E-2</v>
      </c>
      <c r="G363">
        <v>-5.2546999999999997</v>
      </c>
      <c r="H363">
        <v>-1.264E-2</v>
      </c>
    </row>
    <row r="364" spans="1:8" x14ac:dyDescent="0.25">
      <c r="B364">
        <v>-1.8079000000000001E-5</v>
      </c>
      <c r="C364">
        <v>-40</v>
      </c>
      <c r="D364">
        <v>14.7</v>
      </c>
      <c r="E364">
        <v>43.085999999999999</v>
      </c>
      <c r="F364">
        <v>2.3210000000000001E-2</v>
      </c>
      <c r="G364">
        <v>1.0902E-2</v>
      </c>
      <c r="H364">
        <v>-1.8079000000000001E-5</v>
      </c>
    </row>
    <row r="365" spans="1:8" x14ac:dyDescent="0.25">
      <c r="B365">
        <v>1.2496E-2</v>
      </c>
      <c r="C365">
        <v>-35</v>
      </c>
      <c r="D365">
        <v>14.7</v>
      </c>
      <c r="E365">
        <v>42.874000000000002</v>
      </c>
      <c r="F365">
        <v>2.3324000000000001E-2</v>
      </c>
      <c r="G365">
        <v>5.2938999999999998</v>
      </c>
      <c r="H365">
        <v>1.2496E-2</v>
      </c>
    </row>
    <row r="366" spans="1:8" x14ac:dyDescent="0.25">
      <c r="B366">
        <v>2.4903000000000002E-2</v>
      </c>
      <c r="C366">
        <v>-30</v>
      </c>
      <c r="D366">
        <v>14.7</v>
      </c>
      <c r="E366">
        <v>42.66</v>
      </c>
      <c r="F366">
        <v>2.3441E-2</v>
      </c>
      <c r="G366">
        <v>10.593999999999999</v>
      </c>
      <c r="H366">
        <v>2.4903000000000002E-2</v>
      </c>
    </row>
    <row r="367" spans="1:8" x14ac:dyDescent="0.25">
      <c r="B367">
        <v>1.3984000000000001</v>
      </c>
      <c r="C367">
        <v>-25</v>
      </c>
      <c r="D367">
        <v>14.7</v>
      </c>
      <c r="E367">
        <v>5.5116999999999999E-2</v>
      </c>
      <c r="F367">
        <v>18.143000000000001</v>
      </c>
      <c r="G367">
        <v>603.54</v>
      </c>
      <c r="H367">
        <v>1.3984000000000001</v>
      </c>
    </row>
    <row r="368" spans="1:8" x14ac:dyDescent="0.25">
      <c r="B368">
        <v>1.4047000000000001</v>
      </c>
      <c r="C368">
        <v>-20</v>
      </c>
      <c r="D368">
        <v>14.7</v>
      </c>
      <c r="E368">
        <v>5.4413000000000003E-2</v>
      </c>
      <c r="F368">
        <v>18.378</v>
      </c>
      <c r="G368">
        <v>606.26</v>
      </c>
      <c r="H368">
        <v>1.4047000000000001</v>
      </c>
    </row>
    <row r="369" spans="2:8" x14ac:dyDescent="0.25">
      <c r="B369">
        <v>1.4108000000000001</v>
      </c>
      <c r="C369">
        <v>-15</v>
      </c>
      <c r="D369">
        <v>14.7</v>
      </c>
      <c r="E369">
        <v>5.3731000000000001E-2</v>
      </c>
      <c r="F369">
        <v>18.611000000000001</v>
      </c>
      <c r="G369">
        <v>608.97</v>
      </c>
      <c r="H369">
        <v>1.4108000000000001</v>
      </c>
    </row>
    <row r="370" spans="2:8" x14ac:dyDescent="0.25">
      <c r="B370">
        <v>1.4168000000000001</v>
      </c>
      <c r="C370">
        <v>-10</v>
      </c>
      <c r="D370">
        <v>14.7</v>
      </c>
      <c r="E370">
        <v>5.3068999999999998E-2</v>
      </c>
      <c r="F370">
        <v>18.843</v>
      </c>
      <c r="G370">
        <v>611.65</v>
      </c>
      <c r="H370">
        <v>1.4168000000000001</v>
      </c>
    </row>
    <row r="371" spans="2:8" x14ac:dyDescent="0.25">
      <c r="B371">
        <v>1.4227000000000001</v>
      </c>
      <c r="C371">
        <v>-5</v>
      </c>
      <c r="D371">
        <v>14.7</v>
      </c>
      <c r="E371">
        <v>5.2426E-2</v>
      </c>
      <c r="F371">
        <v>19.074000000000002</v>
      </c>
      <c r="G371">
        <v>614.33000000000004</v>
      </c>
      <c r="H371">
        <v>1.4227000000000001</v>
      </c>
    </row>
    <row r="372" spans="2:8" x14ac:dyDescent="0.25">
      <c r="B372">
        <v>1.4285000000000001</v>
      </c>
      <c r="C372">
        <v>0</v>
      </c>
      <c r="D372">
        <v>14.7</v>
      </c>
      <c r="E372">
        <v>5.1802000000000001E-2</v>
      </c>
      <c r="F372">
        <v>19.303999999999998</v>
      </c>
      <c r="G372">
        <v>616.99</v>
      </c>
      <c r="H372">
        <v>1.4285000000000001</v>
      </c>
    </row>
    <row r="373" spans="2:8" x14ac:dyDescent="0.25">
      <c r="B373">
        <v>1.4342999999999999</v>
      </c>
      <c r="C373">
        <v>5</v>
      </c>
      <c r="D373">
        <v>14.7</v>
      </c>
      <c r="E373">
        <v>5.1194000000000003E-2</v>
      </c>
      <c r="F373">
        <v>19.533000000000001</v>
      </c>
      <c r="G373">
        <v>619.64</v>
      </c>
      <c r="H373">
        <v>1.4342999999999999</v>
      </c>
    </row>
    <row r="374" spans="2:8" x14ac:dyDescent="0.25">
      <c r="B374">
        <v>1.4399</v>
      </c>
      <c r="C374">
        <v>10</v>
      </c>
      <c r="D374">
        <v>14.7</v>
      </c>
      <c r="E374">
        <v>5.0603000000000002E-2</v>
      </c>
      <c r="F374">
        <v>19.762</v>
      </c>
      <c r="G374">
        <v>622.27</v>
      </c>
      <c r="H374">
        <v>1.4399</v>
      </c>
    </row>
    <row r="375" spans="2:8" x14ac:dyDescent="0.25">
      <c r="B375">
        <v>1.4455</v>
      </c>
      <c r="C375">
        <v>15</v>
      </c>
      <c r="D375">
        <v>14.7</v>
      </c>
      <c r="E375">
        <v>5.0027000000000002E-2</v>
      </c>
      <c r="F375">
        <v>19.989000000000001</v>
      </c>
      <c r="G375">
        <v>624.9</v>
      </c>
      <c r="H375">
        <v>1.4455</v>
      </c>
    </row>
    <row r="376" spans="2:8" x14ac:dyDescent="0.25">
      <c r="B376">
        <v>1.4510000000000001</v>
      </c>
      <c r="C376">
        <v>20</v>
      </c>
      <c r="D376">
        <v>14.7</v>
      </c>
      <c r="E376">
        <v>4.9466000000000003E-2</v>
      </c>
      <c r="F376">
        <v>20.216000000000001</v>
      </c>
      <c r="G376">
        <v>627.53</v>
      </c>
      <c r="H376">
        <v>1.4510000000000001</v>
      </c>
    </row>
    <row r="377" spans="2:8" x14ac:dyDescent="0.25">
      <c r="B377">
        <v>1.4563999999999999</v>
      </c>
      <c r="C377">
        <v>25</v>
      </c>
      <c r="D377">
        <v>14.7</v>
      </c>
      <c r="E377">
        <v>4.8918999999999997E-2</v>
      </c>
      <c r="F377">
        <v>20.442</v>
      </c>
      <c r="G377">
        <v>630.14</v>
      </c>
      <c r="H377">
        <v>1.4563999999999999</v>
      </c>
    </row>
    <row r="378" spans="2:8" x14ac:dyDescent="0.25">
      <c r="B378">
        <v>1.4617</v>
      </c>
      <c r="C378">
        <v>30</v>
      </c>
      <c r="D378">
        <v>14.7</v>
      </c>
      <c r="E378">
        <v>4.8384999999999997E-2</v>
      </c>
      <c r="F378">
        <v>20.667000000000002</v>
      </c>
      <c r="G378">
        <v>632.75</v>
      </c>
      <c r="H378">
        <v>1.4617</v>
      </c>
    </row>
    <row r="379" spans="2:8" x14ac:dyDescent="0.25">
      <c r="B379">
        <v>1.4670000000000001</v>
      </c>
      <c r="C379">
        <v>35</v>
      </c>
      <c r="D379">
        <v>14.7</v>
      </c>
      <c r="E379">
        <v>4.7864999999999998E-2</v>
      </c>
      <c r="F379">
        <v>20.891999999999999</v>
      </c>
      <c r="G379">
        <v>635.35</v>
      </c>
      <c r="H379">
        <v>1.4670000000000001</v>
      </c>
    </row>
    <row r="380" spans="2:8" x14ac:dyDescent="0.25">
      <c r="B380">
        <v>1.4722999999999999</v>
      </c>
      <c r="C380">
        <v>40</v>
      </c>
      <c r="D380">
        <v>14.7</v>
      </c>
      <c r="E380">
        <v>4.7356000000000002E-2</v>
      </c>
      <c r="F380">
        <v>21.117000000000001</v>
      </c>
      <c r="G380">
        <v>637.95000000000005</v>
      </c>
      <c r="H380">
        <v>1.4722999999999999</v>
      </c>
    </row>
    <row r="381" spans="2:8" x14ac:dyDescent="0.25">
      <c r="B381">
        <v>1.4774</v>
      </c>
      <c r="C381">
        <v>45</v>
      </c>
      <c r="D381">
        <v>14.7</v>
      </c>
      <c r="E381">
        <v>4.6859999999999999E-2</v>
      </c>
      <c r="F381">
        <v>21.34</v>
      </c>
      <c r="G381">
        <v>640.54999999999995</v>
      </c>
      <c r="H381">
        <v>1.4774</v>
      </c>
    </row>
    <row r="382" spans="2:8" x14ac:dyDescent="0.25">
      <c r="B382">
        <v>1.4824999999999999</v>
      </c>
      <c r="C382">
        <v>50</v>
      </c>
      <c r="D382">
        <v>14.7</v>
      </c>
      <c r="E382">
        <v>4.6373999999999999E-2</v>
      </c>
      <c r="F382">
        <v>21.564</v>
      </c>
      <c r="G382">
        <v>643.14</v>
      </c>
      <c r="H382">
        <v>1.4824999999999999</v>
      </c>
    </row>
    <row r="383" spans="2:8" x14ac:dyDescent="0.25">
      <c r="B383">
        <v>1.4876</v>
      </c>
      <c r="C383">
        <v>55</v>
      </c>
      <c r="D383">
        <v>14.7</v>
      </c>
      <c r="E383">
        <v>4.5900000000000003E-2</v>
      </c>
      <c r="F383">
        <v>21.786999999999999</v>
      </c>
      <c r="G383">
        <v>645.73</v>
      </c>
      <c r="H383">
        <v>1.4876</v>
      </c>
    </row>
    <row r="384" spans="2:8" x14ac:dyDescent="0.25">
      <c r="B384">
        <v>1.4925999999999999</v>
      </c>
      <c r="C384">
        <v>60</v>
      </c>
      <c r="D384">
        <v>14.7</v>
      </c>
      <c r="E384">
        <v>4.5435999999999997E-2</v>
      </c>
      <c r="F384">
        <v>22.009</v>
      </c>
      <c r="G384">
        <v>648.32000000000005</v>
      </c>
      <c r="H384">
        <v>1.4925999999999999</v>
      </c>
    </row>
    <row r="385" spans="2:8" x14ac:dyDescent="0.25">
      <c r="B385">
        <v>1.4976</v>
      </c>
      <c r="C385">
        <v>65</v>
      </c>
      <c r="D385">
        <v>14.7</v>
      </c>
      <c r="E385">
        <v>4.4982000000000001E-2</v>
      </c>
      <c r="F385">
        <v>22.231000000000002</v>
      </c>
      <c r="G385">
        <v>650.91</v>
      </c>
      <c r="H385">
        <v>1.4976</v>
      </c>
    </row>
    <row r="386" spans="2:8" x14ac:dyDescent="0.25">
      <c r="B386">
        <v>1.5024999999999999</v>
      </c>
      <c r="C386">
        <v>70</v>
      </c>
      <c r="D386">
        <v>14.7</v>
      </c>
      <c r="E386">
        <v>4.4538000000000001E-2</v>
      </c>
      <c r="F386">
        <v>22.452999999999999</v>
      </c>
      <c r="G386">
        <v>653.5</v>
      </c>
      <c r="H386">
        <v>1.5024999999999999</v>
      </c>
    </row>
    <row r="387" spans="2:8" x14ac:dyDescent="0.25">
      <c r="B387">
        <v>1.5073000000000001</v>
      </c>
      <c r="C387">
        <v>75</v>
      </c>
      <c r="D387">
        <v>14.7</v>
      </c>
      <c r="E387">
        <v>4.4103000000000003E-2</v>
      </c>
      <c r="F387">
        <v>22.673999999999999</v>
      </c>
      <c r="G387">
        <v>656.08</v>
      </c>
      <c r="H387">
        <v>1.5073000000000001</v>
      </c>
    </row>
    <row r="388" spans="2:8" x14ac:dyDescent="0.25">
      <c r="B388">
        <v>1.5122</v>
      </c>
      <c r="C388">
        <v>80</v>
      </c>
      <c r="D388">
        <v>14.7</v>
      </c>
      <c r="E388">
        <v>4.3677000000000001E-2</v>
      </c>
      <c r="F388">
        <v>22.896000000000001</v>
      </c>
      <c r="G388">
        <v>658.67</v>
      </c>
      <c r="H388">
        <v>1.5122</v>
      </c>
    </row>
    <row r="389" spans="2:8" x14ac:dyDescent="0.25">
      <c r="B389">
        <v>1.5168999999999999</v>
      </c>
      <c r="C389">
        <v>85</v>
      </c>
      <c r="D389">
        <v>14.7</v>
      </c>
      <c r="E389">
        <v>4.3258999999999999E-2</v>
      </c>
      <c r="F389">
        <v>23.116</v>
      </c>
      <c r="G389">
        <v>661.26</v>
      </c>
      <c r="H389">
        <v>1.5168999999999999</v>
      </c>
    </row>
    <row r="390" spans="2:8" x14ac:dyDescent="0.25">
      <c r="B390">
        <v>1.5217000000000001</v>
      </c>
      <c r="C390">
        <v>90</v>
      </c>
      <c r="D390">
        <v>14.7</v>
      </c>
      <c r="E390">
        <v>4.2851E-2</v>
      </c>
      <c r="F390">
        <v>23.337</v>
      </c>
      <c r="G390">
        <v>663.85</v>
      </c>
      <c r="H390">
        <v>1.5217000000000001</v>
      </c>
    </row>
    <row r="391" spans="2:8" x14ac:dyDescent="0.25">
      <c r="B391">
        <v>1.5263</v>
      </c>
      <c r="C391">
        <v>95</v>
      </c>
      <c r="D391">
        <v>14.7</v>
      </c>
      <c r="E391">
        <v>4.2450000000000002E-2</v>
      </c>
      <c r="F391">
        <v>23.556999999999999</v>
      </c>
      <c r="G391">
        <v>666.44</v>
      </c>
      <c r="H391">
        <v>1.5263</v>
      </c>
    </row>
    <row r="392" spans="2:8" x14ac:dyDescent="0.25">
      <c r="B392">
        <v>1.5309999999999999</v>
      </c>
      <c r="C392">
        <v>100</v>
      </c>
      <c r="D392">
        <v>14.7</v>
      </c>
      <c r="E392">
        <v>4.2056999999999997E-2</v>
      </c>
      <c r="F392">
        <v>23.777000000000001</v>
      </c>
      <c r="G392">
        <v>669.03</v>
      </c>
      <c r="H392">
        <v>1.5309999999999999</v>
      </c>
    </row>
    <row r="393" spans="2:8" x14ac:dyDescent="0.25">
      <c r="B393">
        <v>1.5356000000000001</v>
      </c>
      <c r="C393">
        <v>105</v>
      </c>
      <c r="D393">
        <v>14.7</v>
      </c>
      <c r="E393">
        <v>4.1672000000000001E-2</v>
      </c>
      <c r="F393">
        <v>23.997</v>
      </c>
      <c r="G393">
        <v>671.62</v>
      </c>
      <c r="H393">
        <v>1.5356000000000001</v>
      </c>
    </row>
    <row r="394" spans="2:8" x14ac:dyDescent="0.25">
      <c r="B394">
        <v>1.5402</v>
      </c>
      <c r="C394">
        <v>110</v>
      </c>
      <c r="D394">
        <v>14.7</v>
      </c>
      <c r="E394">
        <v>4.1293999999999997E-2</v>
      </c>
      <c r="F394">
        <v>24.216999999999999</v>
      </c>
      <c r="G394">
        <v>674.21</v>
      </c>
      <c r="H394">
        <v>1.5402</v>
      </c>
    </row>
    <row r="395" spans="2:8" x14ac:dyDescent="0.25">
      <c r="B395">
        <v>1.5447</v>
      </c>
      <c r="C395">
        <v>115</v>
      </c>
      <c r="D395">
        <v>14.7</v>
      </c>
      <c r="E395">
        <v>4.0923000000000001E-2</v>
      </c>
      <c r="F395">
        <v>24.436</v>
      </c>
      <c r="G395">
        <v>676.81</v>
      </c>
      <c r="H395">
        <v>1.5447</v>
      </c>
    </row>
    <row r="396" spans="2:8" x14ac:dyDescent="0.25">
      <c r="B396">
        <v>1.5491999999999999</v>
      </c>
      <c r="C396">
        <v>120</v>
      </c>
      <c r="D396">
        <v>14.7</v>
      </c>
      <c r="E396">
        <v>4.0558999999999998E-2</v>
      </c>
      <c r="F396">
        <v>24.655000000000001</v>
      </c>
      <c r="G396">
        <v>679.41</v>
      </c>
      <c r="H396">
        <v>1.5491999999999999</v>
      </c>
    </row>
    <row r="397" spans="2:8" x14ac:dyDescent="0.25">
      <c r="B397">
        <v>1.5537000000000001</v>
      </c>
      <c r="C397">
        <v>125</v>
      </c>
      <c r="D397">
        <v>14.7</v>
      </c>
      <c r="E397">
        <v>4.0202000000000002E-2</v>
      </c>
      <c r="F397">
        <v>24.873999999999999</v>
      </c>
      <c r="G397">
        <v>682.01</v>
      </c>
      <c r="H397">
        <v>1.5537000000000001</v>
      </c>
    </row>
    <row r="398" spans="2:8" x14ac:dyDescent="0.25">
      <c r="B398">
        <v>1.5581</v>
      </c>
      <c r="C398">
        <v>130</v>
      </c>
      <c r="D398">
        <v>14.7</v>
      </c>
      <c r="E398">
        <v>3.9850999999999998E-2</v>
      </c>
      <c r="F398">
        <v>25.093</v>
      </c>
      <c r="G398">
        <v>684.61</v>
      </c>
      <c r="H398">
        <v>1.5581</v>
      </c>
    </row>
    <row r="399" spans="2:8" x14ac:dyDescent="0.25">
      <c r="B399">
        <v>1.5625</v>
      </c>
      <c r="C399">
        <v>135</v>
      </c>
      <c r="D399">
        <v>14.7</v>
      </c>
      <c r="E399">
        <v>3.9507E-2</v>
      </c>
      <c r="F399">
        <v>25.312000000000001</v>
      </c>
      <c r="G399">
        <v>687.22</v>
      </c>
      <c r="H399">
        <v>1.5625</v>
      </c>
    </row>
    <row r="400" spans="2:8" x14ac:dyDescent="0.25">
      <c r="B400">
        <v>1.5669</v>
      </c>
      <c r="C400">
        <v>140</v>
      </c>
      <c r="D400">
        <v>14.7</v>
      </c>
      <c r="E400">
        <v>3.9169000000000002E-2</v>
      </c>
      <c r="F400">
        <v>25.53</v>
      </c>
      <c r="G400">
        <v>689.83</v>
      </c>
      <c r="H400">
        <v>1.5669</v>
      </c>
    </row>
    <row r="401" spans="2:8" x14ac:dyDescent="0.25">
      <c r="B401">
        <v>1.5711999999999999</v>
      </c>
      <c r="C401">
        <v>145</v>
      </c>
      <c r="D401">
        <v>14.7</v>
      </c>
      <c r="E401">
        <v>3.8837000000000003E-2</v>
      </c>
      <c r="F401">
        <v>25.748999999999999</v>
      </c>
      <c r="G401">
        <v>692.44</v>
      </c>
      <c r="H401">
        <v>1.5711999999999999</v>
      </c>
    </row>
    <row r="402" spans="2:8" x14ac:dyDescent="0.25">
      <c r="B402">
        <v>1.5754999999999999</v>
      </c>
      <c r="C402">
        <v>150</v>
      </c>
      <c r="D402">
        <v>14.7</v>
      </c>
      <c r="E402">
        <v>3.8510000000000003E-2</v>
      </c>
      <c r="F402">
        <v>25.966999999999999</v>
      </c>
      <c r="G402">
        <v>695.06</v>
      </c>
      <c r="H402">
        <v>1.5754999999999999</v>
      </c>
    </row>
    <row r="403" spans="2:8" x14ac:dyDescent="0.25">
      <c r="B403">
        <v>1.5798000000000001</v>
      </c>
      <c r="C403">
        <v>155</v>
      </c>
      <c r="D403">
        <v>14.7</v>
      </c>
      <c r="E403">
        <v>3.8190000000000002E-2</v>
      </c>
      <c r="F403">
        <v>26.184999999999999</v>
      </c>
      <c r="G403">
        <v>697.68</v>
      </c>
      <c r="H403">
        <v>1.5798000000000001</v>
      </c>
    </row>
    <row r="404" spans="2:8" x14ac:dyDescent="0.25">
      <c r="B404">
        <v>1.5841000000000001</v>
      </c>
      <c r="C404">
        <v>160</v>
      </c>
      <c r="D404">
        <v>14.7</v>
      </c>
      <c r="E404">
        <v>3.7873999999999998E-2</v>
      </c>
      <c r="F404">
        <v>26.402999999999999</v>
      </c>
      <c r="G404">
        <v>700.31</v>
      </c>
      <c r="H404">
        <v>1.5841000000000001</v>
      </c>
    </row>
    <row r="405" spans="2:8" x14ac:dyDescent="0.25">
      <c r="B405">
        <v>1.5883</v>
      </c>
      <c r="C405">
        <v>165</v>
      </c>
      <c r="D405">
        <v>14.7</v>
      </c>
      <c r="E405">
        <v>3.7564E-2</v>
      </c>
      <c r="F405">
        <v>26.620999999999999</v>
      </c>
      <c r="G405">
        <v>702.93</v>
      </c>
      <c r="H405">
        <v>1.5883</v>
      </c>
    </row>
    <row r="406" spans="2:8" x14ac:dyDescent="0.25">
      <c r="B406">
        <v>1.5925</v>
      </c>
      <c r="C406">
        <v>170</v>
      </c>
      <c r="D406">
        <v>14.7</v>
      </c>
      <c r="E406">
        <v>3.7260000000000001E-2</v>
      </c>
      <c r="F406">
        <v>26.838999999999999</v>
      </c>
      <c r="G406">
        <v>705.57</v>
      </c>
      <c r="H406">
        <v>1.5925</v>
      </c>
    </row>
    <row r="407" spans="2:8" x14ac:dyDescent="0.25">
      <c r="B407">
        <v>1.5967</v>
      </c>
      <c r="C407">
        <v>175</v>
      </c>
      <c r="D407">
        <v>14.7</v>
      </c>
      <c r="E407">
        <v>3.696E-2</v>
      </c>
      <c r="F407">
        <v>27.056000000000001</v>
      </c>
      <c r="G407">
        <v>708.21</v>
      </c>
      <c r="H407">
        <v>1.5967</v>
      </c>
    </row>
    <row r="408" spans="2:8" x14ac:dyDescent="0.25">
      <c r="B408">
        <v>1.6008</v>
      </c>
      <c r="C408">
        <v>180</v>
      </c>
      <c r="D408">
        <v>14.7</v>
      </c>
      <c r="E408">
        <v>3.6665000000000003E-2</v>
      </c>
      <c r="F408">
        <v>27.274000000000001</v>
      </c>
      <c r="G408">
        <v>710.85</v>
      </c>
      <c r="H408">
        <v>1.6008</v>
      </c>
    </row>
    <row r="409" spans="2:8" x14ac:dyDescent="0.25">
      <c r="B409">
        <v>1.6049</v>
      </c>
      <c r="C409">
        <v>185</v>
      </c>
      <c r="D409">
        <v>14.7</v>
      </c>
      <c r="E409">
        <v>3.6374999999999998E-2</v>
      </c>
      <c r="F409">
        <v>27.491</v>
      </c>
      <c r="G409">
        <v>713.49</v>
      </c>
      <c r="H409">
        <v>1.6049</v>
      </c>
    </row>
    <row r="410" spans="2:8" x14ac:dyDescent="0.25">
      <c r="B410">
        <v>1.609</v>
      </c>
      <c r="C410">
        <v>190</v>
      </c>
      <c r="D410">
        <v>14.7</v>
      </c>
      <c r="E410">
        <v>3.6089999999999997E-2</v>
      </c>
      <c r="F410">
        <v>27.709</v>
      </c>
      <c r="G410">
        <v>716.14</v>
      </c>
      <c r="H410">
        <v>1.609</v>
      </c>
    </row>
    <row r="411" spans="2:8" x14ac:dyDescent="0.25">
      <c r="B411">
        <v>1.6131</v>
      </c>
      <c r="C411">
        <v>195</v>
      </c>
      <c r="D411">
        <v>14.7</v>
      </c>
      <c r="E411">
        <v>3.5809000000000001E-2</v>
      </c>
      <c r="F411">
        <v>27.925999999999998</v>
      </c>
      <c r="G411">
        <v>718.8</v>
      </c>
      <c r="H411">
        <v>1.6131</v>
      </c>
    </row>
    <row r="412" spans="2:8" x14ac:dyDescent="0.25">
      <c r="B412">
        <v>1.6172</v>
      </c>
      <c r="C412">
        <v>200</v>
      </c>
      <c r="D412">
        <v>14.7</v>
      </c>
      <c r="E412">
        <v>3.5533000000000002E-2</v>
      </c>
      <c r="F412">
        <v>28.143000000000001</v>
      </c>
      <c r="G412">
        <v>721.46</v>
      </c>
      <c r="H412">
        <v>1.6172</v>
      </c>
    </row>
    <row r="413" spans="2:8" x14ac:dyDescent="0.25">
      <c r="B413">
        <v>1.6212</v>
      </c>
      <c r="C413">
        <v>205</v>
      </c>
      <c r="D413">
        <v>14.7</v>
      </c>
      <c r="E413">
        <v>3.5261000000000001E-2</v>
      </c>
      <c r="F413">
        <v>28.36</v>
      </c>
      <c r="G413">
        <v>724.13</v>
      </c>
      <c r="H413">
        <v>1.6212</v>
      </c>
    </row>
    <row r="414" spans="2:8" x14ac:dyDescent="0.25">
      <c r="B414">
        <v>1.6252</v>
      </c>
      <c r="C414">
        <v>210</v>
      </c>
      <c r="D414">
        <v>14.7</v>
      </c>
      <c r="E414">
        <v>3.4993000000000003E-2</v>
      </c>
      <c r="F414">
        <v>28.577000000000002</v>
      </c>
      <c r="G414">
        <v>726.8</v>
      </c>
      <c r="H414">
        <v>1.6252</v>
      </c>
    </row>
    <row r="415" spans="2:8" x14ac:dyDescent="0.25">
      <c r="B415">
        <v>1.6292</v>
      </c>
      <c r="C415">
        <v>215</v>
      </c>
      <c r="D415">
        <v>14.7</v>
      </c>
      <c r="E415">
        <v>3.4729999999999997E-2</v>
      </c>
      <c r="F415">
        <v>28.794</v>
      </c>
      <c r="G415">
        <v>729.47</v>
      </c>
      <c r="H415">
        <v>1.6292</v>
      </c>
    </row>
    <row r="416" spans="2:8" x14ac:dyDescent="0.25">
      <c r="B416">
        <v>1.6331</v>
      </c>
      <c r="C416">
        <v>220</v>
      </c>
      <c r="D416">
        <v>14.7</v>
      </c>
      <c r="E416">
        <v>3.4470000000000001E-2</v>
      </c>
      <c r="F416">
        <v>29.010999999999999</v>
      </c>
      <c r="G416">
        <v>732.15</v>
      </c>
      <c r="H416">
        <v>1.6331</v>
      </c>
    </row>
    <row r="417" spans="2:8" x14ac:dyDescent="0.25">
      <c r="B417">
        <v>1.6371</v>
      </c>
      <c r="C417">
        <v>225</v>
      </c>
      <c r="D417">
        <v>14.7</v>
      </c>
      <c r="E417">
        <v>3.4214000000000001E-2</v>
      </c>
      <c r="F417">
        <v>29.228000000000002</v>
      </c>
      <c r="G417">
        <v>734.84</v>
      </c>
      <c r="H417">
        <v>1.6371</v>
      </c>
    </row>
    <row r="418" spans="2:8" x14ac:dyDescent="0.25">
      <c r="B418">
        <v>1.641</v>
      </c>
      <c r="C418">
        <v>230</v>
      </c>
      <c r="D418">
        <v>14.7</v>
      </c>
      <c r="E418">
        <v>3.3963E-2</v>
      </c>
      <c r="F418">
        <v>29.443999999999999</v>
      </c>
      <c r="G418">
        <v>737.53</v>
      </c>
      <c r="H418">
        <v>1.641</v>
      </c>
    </row>
    <row r="419" spans="2:8" x14ac:dyDescent="0.25">
      <c r="B419">
        <v>1.6449</v>
      </c>
      <c r="C419">
        <v>235</v>
      </c>
      <c r="D419">
        <v>14.7</v>
      </c>
      <c r="E419">
        <v>3.3714000000000001E-2</v>
      </c>
      <c r="F419">
        <v>29.661000000000001</v>
      </c>
      <c r="G419">
        <v>740.23</v>
      </c>
      <c r="H419">
        <v>1.6449</v>
      </c>
    </row>
    <row r="420" spans="2:8" x14ac:dyDescent="0.25">
      <c r="B420">
        <v>1.6488</v>
      </c>
      <c r="C420">
        <v>240</v>
      </c>
      <c r="D420">
        <v>14.7</v>
      </c>
      <c r="E420">
        <v>3.347E-2</v>
      </c>
      <c r="F420">
        <v>29.876999999999999</v>
      </c>
      <c r="G420">
        <v>742.93</v>
      </c>
      <c r="H420">
        <v>1.6488</v>
      </c>
    </row>
    <row r="421" spans="2:8" x14ac:dyDescent="0.25">
      <c r="B421">
        <v>1.6526000000000001</v>
      </c>
      <c r="C421">
        <v>245</v>
      </c>
      <c r="D421">
        <v>14.7</v>
      </c>
      <c r="E421">
        <v>3.3229000000000002E-2</v>
      </c>
      <c r="F421">
        <v>30.094000000000001</v>
      </c>
      <c r="G421">
        <v>745.64</v>
      </c>
      <c r="H421">
        <v>1.6526000000000001</v>
      </c>
    </row>
    <row r="422" spans="2:8" x14ac:dyDescent="0.25">
      <c r="B422">
        <v>1.6565000000000001</v>
      </c>
      <c r="C422">
        <v>250</v>
      </c>
      <c r="D422">
        <v>14.7</v>
      </c>
      <c r="E422">
        <v>3.2992E-2</v>
      </c>
      <c r="F422">
        <v>30.31</v>
      </c>
      <c r="G422">
        <v>748.35</v>
      </c>
      <c r="H422">
        <v>1.6565000000000001</v>
      </c>
    </row>
    <row r="423" spans="2:8" x14ac:dyDescent="0.25">
      <c r="B423">
        <v>1.6603000000000001</v>
      </c>
      <c r="C423">
        <v>255</v>
      </c>
      <c r="D423">
        <v>14.7</v>
      </c>
      <c r="E423">
        <v>3.2758000000000002E-2</v>
      </c>
      <c r="F423">
        <v>30.527000000000001</v>
      </c>
      <c r="G423">
        <v>751.07</v>
      </c>
      <c r="H423">
        <v>1.6603000000000001</v>
      </c>
    </row>
    <row r="424" spans="2:8" x14ac:dyDescent="0.25">
      <c r="B424">
        <v>1.6640999999999999</v>
      </c>
      <c r="C424">
        <v>260</v>
      </c>
      <c r="D424">
        <v>14.7</v>
      </c>
      <c r="E424">
        <v>3.2528000000000001E-2</v>
      </c>
      <c r="F424">
        <v>30.742999999999999</v>
      </c>
      <c r="G424">
        <v>753.8</v>
      </c>
      <c r="H424">
        <v>1.6640999999999999</v>
      </c>
    </row>
    <row r="425" spans="2:8" x14ac:dyDescent="0.25">
      <c r="B425">
        <v>1.6678999999999999</v>
      </c>
      <c r="C425">
        <v>265</v>
      </c>
      <c r="D425">
        <v>14.7</v>
      </c>
      <c r="E425">
        <v>3.2300000000000002E-2</v>
      </c>
      <c r="F425">
        <v>30.959</v>
      </c>
      <c r="G425">
        <v>756.53</v>
      </c>
      <c r="H425">
        <v>1.6678999999999999</v>
      </c>
    </row>
    <row r="426" spans="2:8" x14ac:dyDescent="0.25">
      <c r="B426">
        <v>1.6716</v>
      </c>
      <c r="C426">
        <v>270</v>
      </c>
      <c r="D426">
        <v>14.7</v>
      </c>
      <c r="E426">
        <v>3.2076E-2</v>
      </c>
      <c r="F426">
        <v>31.175999999999998</v>
      </c>
      <c r="G426">
        <v>759.27</v>
      </c>
      <c r="H426">
        <v>1.6716</v>
      </c>
    </row>
    <row r="427" spans="2:8" x14ac:dyDescent="0.25">
      <c r="B427">
        <v>1.6754</v>
      </c>
      <c r="C427">
        <v>275</v>
      </c>
      <c r="D427">
        <v>14.7</v>
      </c>
      <c r="E427">
        <v>3.1855000000000001E-2</v>
      </c>
      <c r="F427">
        <v>31.391999999999999</v>
      </c>
      <c r="G427">
        <v>762.01</v>
      </c>
      <c r="H427">
        <v>1.6754</v>
      </c>
    </row>
    <row r="428" spans="2:8" x14ac:dyDescent="0.25">
      <c r="B428">
        <v>1.6791</v>
      </c>
      <c r="C428">
        <v>280</v>
      </c>
      <c r="D428">
        <v>14.7</v>
      </c>
      <c r="E428">
        <v>3.1637999999999999E-2</v>
      </c>
      <c r="F428">
        <v>31.608000000000001</v>
      </c>
      <c r="G428">
        <v>764.76</v>
      </c>
      <c r="H428">
        <v>1.6791</v>
      </c>
    </row>
    <row r="429" spans="2:8" x14ac:dyDescent="0.25">
      <c r="B429">
        <v>1.6828000000000001</v>
      </c>
      <c r="C429">
        <v>285</v>
      </c>
      <c r="D429">
        <v>14.7</v>
      </c>
      <c r="E429">
        <v>3.1423E-2</v>
      </c>
      <c r="F429">
        <v>31.824000000000002</v>
      </c>
      <c r="G429">
        <v>767.51</v>
      </c>
      <c r="H429">
        <v>1.6828000000000001</v>
      </c>
    </row>
    <row r="430" spans="2:8" x14ac:dyDescent="0.25">
      <c r="B430">
        <v>1.6865000000000001</v>
      </c>
      <c r="C430">
        <v>290</v>
      </c>
      <c r="D430">
        <v>14.7</v>
      </c>
      <c r="E430">
        <v>3.1210999999999999E-2</v>
      </c>
      <c r="F430">
        <v>32.04</v>
      </c>
      <c r="G430">
        <v>770.28</v>
      </c>
      <c r="H430">
        <v>1.6865000000000001</v>
      </c>
    </row>
    <row r="431" spans="2:8" x14ac:dyDescent="0.25">
      <c r="B431">
        <v>1.6901999999999999</v>
      </c>
      <c r="C431">
        <v>295</v>
      </c>
      <c r="D431">
        <v>14.7</v>
      </c>
      <c r="E431">
        <v>3.1001999999999998E-2</v>
      </c>
      <c r="F431">
        <v>32.256</v>
      </c>
      <c r="G431">
        <v>773.04</v>
      </c>
      <c r="H431">
        <v>1.6901999999999999</v>
      </c>
    </row>
    <row r="432" spans="2:8" x14ac:dyDescent="0.25">
      <c r="B432">
        <v>1.6938</v>
      </c>
      <c r="C432">
        <v>300</v>
      </c>
      <c r="D432">
        <v>14.7</v>
      </c>
      <c r="E432">
        <v>3.0796E-2</v>
      </c>
      <c r="F432">
        <v>32.472000000000001</v>
      </c>
      <c r="G432">
        <v>775.82</v>
      </c>
      <c r="H432">
        <v>1.6938</v>
      </c>
    </row>
    <row r="434" spans="1:8" x14ac:dyDescent="0.25">
      <c r="A434">
        <v>15.5</v>
      </c>
      <c r="B434">
        <v>-2.5375999999999999E-2</v>
      </c>
      <c r="C434">
        <v>-50</v>
      </c>
      <c r="D434">
        <v>15.5</v>
      </c>
      <c r="E434">
        <v>43.503</v>
      </c>
      <c r="F434">
        <v>2.2987E-2</v>
      </c>
      <c r="G434">
        <v>-10.500999999999999</v>
      </c>
      <c r="H434">
        <v>-2.5375999999999999E-2</v>
      </c>
    </row>
    <row r="435" spans="1:8" x14ac:dyDescent="0.25">
      <c r="B435">
        <v>-1.2644000000000001E-2</v>
      </c>
      <c r="C435">
        <v>-45</v>
      </c>
      <c r="D435">
        <v>15.5</v>
      </c>
      <c r="E435">
        <v>43.295000000000002</v>
      </c>
      <c r="F435">
        <v>2.3096999999999999E-2</v>
      </c>
      <c r="G435">
        <v>-5.2526000000000002</v>
      </c>
      <c r="H435">
        <v>-1.2644000000000001E-2</v>
      </c>
    </row>
    <row r="436" spans="1:8" x14ac:dyDescent="0.25">
      <c r="B436">
        <v>-2.1441E-5</v>
      </c>
      <c r="C436">
        <v>-40</v>
      </c>
      <c r="D436">
        <v>15.5</v>
      </c>
      <c r="E436">
        <v>43.085999999999999</v>
      </c>
      <c r="F436">
        <v>2.3210000000000001E-2</v>
      </c>
      <c r="G436">
        <v>1.2929E-2</v>
      </c>
      <c r="H436">
        <v>-2.1441E-5</v>
      </c>
    </row>
    <row r="437" spans="1:8" x14ac:dyDescent="0.25">
      <c r="B437">
        <v>1.2492E-2</v>
      </c>
      <c r="C437">
        <v>-35</v>
      </c>
      <c r="D437">
        <v>15.5</v>
      </c>
      <c r="E437">
        <v>42.874000000000002</v>
      </c>
      <c r="F437">
        <v>2.3324000000000001E-2</v>
      </c>
      <c r="G437">
        <v>5.2958999999999996</v>
      </c>
      <c r="H437">
        <v>1.2492E-2</v>
      </c>
    </row>
    <row r="438" spans="1:8" x14ac:dyDescent="0.25">
      <c r="B438">
        <v>2.4899999999999999E-2</v>
      </c>
      <c r="C438">
        <v>-30</v>
      </c>
      <c r="D438">
        <v>15.5</v>
      </c>
      <c r="E438">
        <v>42.661000000000001</v>
      </c>
      <c r="F438">
        <v>2.3441E-2</v>
      </c>
      <c r="G438">
        <v>10.596</v>
      </c>
      <c r="H438">
        <v>2.4899999999999999E-2</v>
      </c>
    </row>
    <row r="439" spans="1:8" x14ac:dyDescent="0.25">
      <c r="B439">
        <v>1.3915999999999999</v>
      </c>
      <c r="C439">
        <v>-25</v>
      </c>
      <c r="D439">
        <v>15.5</v>
      </c>
      <c r="E439">
        <v>5.8206000000000001E-2</v>
      </c>
      <c r="F439">
        <v>17.18</v>
      </c>
      <c r="G439">
        <v>603.19000000000005</v>
      </c>
      <c r="H439">
        <v>1.3915999999999999</v>
      </c>
    </row>
    <row r="440" spans="1:8" x14ac:dyDescent="0.25">
      <c r="B440">
        <v>1.3978999999999999</v>
      </c>
      <c r="C440">
        <v>-20</v>
      </c>
      <c r="D440">
        <v>15.5</v>
      </c>
      <c r="E440">
        <v>5.7458000000000002E-2</v>
      </c>
      <c r="F440">
        <v>17.404</v>
      </c>
      <c r="G440">
        <v>605.92999999999995</v>
      </c>
      <c r="H440">
        <v>1.3978999999999999</v>
      </c>
    </row>
    <row r="441" spans="1:8" x14ac:dyDescent="0.25">
      <c r="B441">
        <v>1.4040999999999999</v>
      </c>
      <c r="C441">
        <v>-15</v>
      </c>
      <c r="D441">
        <v>15.5</v>
      </c>
      <c r="E441">
        <v>5.6732999999999999E-2</v>
      </c>
      <c r="F441">
        <v>17.626000000000001</v>
      </c>
      <c r="G441">
        <v>608.66</v>
      </c>
      <c r="H441">
        <v>1.4040999999999999</v>
      </c>
    </row>
    <row r="442" spans="1:8" x14ac:dyDescent="0.25">
      <c r="B442">
        <v>1.4100999999999999</v>
      </c>
      <c r="C442">
        <v>-10</v>
      </c>
      <c r="D442">
        <v>15.5</v>
      </c>
      <c r="E442">
        <v>5.6030000000000003E-2</v>
      </c>
      <c r="F442">
        <v>17.847999999999999</v>
      </c>
      <c r="G442">
        <v>611.36</v>
      </c>
      <c r="H442">
        <v>1.4100999999999999</v>
      </c>
    </row>
    <row r="443" spans="1:8" x14ac:dyDescent="0.25">
      <c r="B443">
        <v>1.4159999999999999</v>
      </c>
      <c r="C443">
        <v>-5</v>
      </c>
      <c r="D443">
        <v>15.5</v>
      </c>
      <c r="E443">
        <v>5.5347E-2</v>
      </c>
      <c r="F443">
        <v>18.068000000000001</v>
      </c>
      <c r="G443">
        <v>614.04999999999995</v>
      </c>
      <c r="H443">
        <v>1.4159999999999999</v>
      </c>
    </row>
    <row r="444" spans="1:8" x14ac:dyDescent="0.25">
      <c r="B444">
        <v>1.4218999999999999</v>
      </c>
      <c r="C444">
        <v>0</v>
      </c>
      <c r="D444">
        <v>15.5</v>
      </c>
      <c r="E444">
        <v>5.4684000000000003E-2</v>
      </c>
      <c r="F444">
        <v>18.286999999999999</v>
      </c>
      <c r="G444">
        <v>616.72</v>
      </c>
      <c r="H444">
        <v>1.4218999999999999</v>
      </c>
    </row>
    <row r="445" spans="1:8" x14ac:dyDescent="0.25">
      <c r="B445">
        <v>1.4276</v>
      </c>
      <c r="C445">
        <v>5</v>
      </c>
      <c r="D445">
        <v>15.5</v>
      </c>
      <c r="E445">
        <v>5.4039999999999998E-2</v>
      </c>
      <c r="F445">
        <v>18.504999999999999</v>
      </c>
      <c r="G445">
        <v>619.38</v>
      </c>
      <c r="H445">
        <v>1.4276</v>
      </c>
    </row>
    <row r="446" spans="1:8" x14ac:dyDescent="0.25">
      <c r="B446">
        <v>1.4333</v>
      </c>
      <c r="C446">
        <v>10</v>
      </c>
      <c r="D446">
        <v>15.5</v>
      </c>
      <c r="E446">
        <v>5.3413000000000002E-2</v>
      </c>
      <c r="F446">
        <v>18.722000000000001</v>
      </c>
      <c r="G446">
        <v>622.03</v>
      </c>
      <c r="H446">
        <v>1.4333</v>
      </c>
    </row>
    <row r="447" spans="1:8" x14ac:dyDescent="0.25">
      <c r="B447">
        <v>1.4389000000000001</v>
      </c>
      <c r="C447">
        <v>15</v>
      </c>
      <c r="D447">
        <v>15.5</v>
      </c>
      <c r="E447">
        <v>5.2802000000000002E-2</v>
      </c>
      <c r="F447">
        <v>18.939</v>
      </c>
      <c r="G447">
        <v>624.66999999999996</v>
      </c>
      <c r="H447">
        <v>1.4389000000000001</v>
      </c>
    </row>
    <row r="448" spans="1:8" x14ac:dyDescent="0.25">
      <c r="B448">
        <v>1.4443999999999999</v>
      </c>
      <c r="C448">
        <v>20</v>
      </c>
      <c r="D448">
        <v>15.5</v>
      </c>
      <c r="E448">
        <v>5.2207999999999997E-2</v>
      </c>
      <c r="F448">
        <v>19.154</v>
      </c>
      <c r="G448">
        <v>627.29999999999995</v>
      </c>
      <c r="H448">
        <v>1.4443999999999999</v>
      </c>
    </row>
    <row r="449" spans="2:8" x14ac:dyDescent="0.25">
      <c r="B449">
        <v>1.4499</v>
      </c>
      <c r="C449">
        <v>25</v>
      </c>
      <c r="D449">
        <v>15.5</v>
      </c>
      <c r="E449">
        <v>5.1628E-2</v>
      </c>
      <c r="F449">
        <v>19.369</v>
      </c>
      <c r="G449">
        <v>629.92999999999995</v>
      </c>
      <c r="H449">
        <v>1.4499</v>
      </c>
    </row>
    <row r="450" spans="2:8" x14ac:dyDescent="0.25">
      <c r="B450">
        <v>1.4552</v>
      </c>
      <c r="C450">
        <v>30</v>
      </c>
      <c r="D450">
        <v>15.5</v>
      </c>
      <c r="E450">
        <v>5.1062999999999997E-2</v>
      </c>
      <c r="F450">
        <v>19.584</v>
      </c>
      <c r="G450">
        <v>632.54</v>
      </c>
      <c r="H450">
        <v>1.4552</v>
      </c>
    </row>
    <row r="451" spans="2:8" x14ac:dyDescent="0.25">
      <c r="B451">
        <v>1.4604999999999999</v>
      </c>
      <c r="C451">
        <v>35</v>
      </c>
      <c r="D451">
        <v>15.5</v>
      </c>
      <c r="E451">
        <v>5.0512000000000001E-2</v>
      </c>
      <c r="F451">
        <v>19.797000000000001</v>
      </c>
      <c r="G451">
        <v>635.16</v>
      </c>
      <c r="H451">
        <v>1.4604999999999999</v>
      </c>
    </row>
    <row r="452" spans="2:8" x14ac:dyDescent="0.25">
      <c r="B452">
        <v>1.4658</v>
      </c>
      <c r="C452">
        <v>40</v>
      </c>
      <c r="D452">
        <v>15.5</v>
      </c>
      <c r="E452">
        <v>4.9972999999999997E-2</v>
      </c>
      <c r="F452">
        <v>20.010999999999999</v>
      </c>
      <c r="G452">
        <v>637.76</v>
      </c>
      <c r="H452">
        <v>1.4658</v>
      </c>
    </row>
    <row r="453" spans="2:8" x14ac:dyDescent="0.25">
      <c r="B453">
        <v>1.4710000000000001</v>
      </c>
      <c r="C453">
        <v>45</v>
      </c>
      <c r="D453">
        <v>15.5</v>
      </c>
      <c r="E453">
        <v>4.9446999999999998E-2</v>
      </c>
      <c r="F453">
        <v>20.222999999999999</v>
      </c>
      <c r="G453">
        <v>640.37</v>
      </c>
      <c r="H453">
        <v>1.4710000000000001</v>
      </c>
    </row>
    <row r="454" spans="2:8" x14ac:dyDescent="0.25">
      <c r="B454">
        <v>1.4761</v>
      </c>
      <c r="C454">
        <v>50</v>
      </c>
      <c r="D454">
        <v>15.5</v>
      </c>
      <c r="E454">
        <v>4.8933999999999998E-2</v>
      </c>
      <c r="F454">
        <v>20.436</v>
      </c>
      <c r="G454">
        <v>642.97</v>
      </c>
      <c r="H454">
        <v>1.4761</v>
      </c>
    </row>
    <row r="455" spans="2:8" x14ac:dyDescent="0.25">
      <c r="B455">
        <v>1.4812000000000001</v>
      </c>
      <c r="C455">
        <v>55</v>
      </c>
      <c r="D455">
        <v>15.5</v>
      </c>
      <c r="E455">
        <v>4.8432000000000003E-2</v>
      </c>
      <c r="F455">
        <v>20.648</v>
      </c>
      <c r="G455">
        <v>645.57000000000005</v>
      </c>
      <c r="H455">
        <v>1.4812000000000001</v>
      </c>
    </row>
    <row r="456" spans="2:8" x14ac:dyDescent="0.25">
      <c r="B456">
        <v>1.4862</v>
      </c>
      <c r="C456">
        <v>60</v>
      </c>
      <c r="D456">
        <v>15.5</v>
      </c>
      <c r="E456">
        <v>4.7940999999999998E-2</v>
      </c>
      <c r="F456">
        <v>20.859000000000002</v>
      </c>
      <c r="G456">
        <v>648.16</v>
      </c>
      <c r="H456">
        <v>1.4862</v>
      </c>
    </row>
    <row r="457" spans="2:8" x14ac:dyDescent="0.25">
      <c r="B457">
        <v>1.4912000000000001</v>
      </c>
      <c r="C457">
        <v>65</v>
      </c>
      <c r="D457">
        <v>15.5</v>
      </c>
      <c r="E457">
        <v>4.7460000000000002E-2</v>
      </c>
      <c r="F457">
        <v>21.07</v>
      </c>
      <c r="G457">
        <v>650.75</v>
      </c>
      <c r="H457">
        <v>1.4912000000000001</v>
      </c>
    </row>
    <row r="458" spans="2:8" x14ac:dyDescent="0.25">
      <c r="B458">
        <v>1.4961</v>
      </c>
      <c r="C458">
        <v>70</v>
      </c>
      <c r="D458">
        <v>15.5</v>
      </c>
      <c r="E458">
        <v>4.6989999999999997E-2</v>
      </c>
      <c r="F458">
        <v>21.280999999999999</v>
      </c>
      <c r="G458">
        <v>653.35</v>
      </c>
      <c r="H458">
        <v>1.4961</v>
      </c>
    </row>
    <row r="459" spans="2:8" x14ac:dyDescent="0.25">
      <c r="B459">
        <v>1.5008999999999999</v>
      </c>
      <c r="C459">
        <v>75</v>
      </c>
      <c r="D459">
        <v>15.5</v>
      </c>
      <c r="E459">
        <v>4.6530000000000002E-2</v>
      </c>
      <c r="F459">
        <v>21.491</v>
      </c>
      <c r="G459">
        <v>655.94</v>
      </c>
      <c r="H459">
        <v>1.5008999999999999</v>
      </c>
    </row>
    <row r="460" spans="2:8" x14ac:dyDescent="0.25">
      <c r="B460">
        <v>1.5058</v>
      </c>
      <c r="C460">
        <v>80</v>
      </c>
      <c r="D460">
        <v>15.5</v>
      </c>
      <c r="E460">
        <v>4.6080000000000003E-2</v>
      </c>
      <c r="F460">
        <v>21.701000000000001</v>
      </c>
      <c r="G460">
        <v>658.53</v>
      </c>
      <c r="H460">
        <v>1.5058</v>
      </c>
    </row>
    <row r="461" spans="2:8" x14ac:dyDescent="0.25">
      <c r="B461">
        <v>1.5105999999999999</v>
      </c>
      <c r="C461">
        <v>85</v>
      </c>
      <c r="D461">
        <v>15.5</v>
      </c>
      <c r="E461">
        <v>4.5638999999999999E-2</v>
      </c>
      <c r="F461">
        <v>21.911000000000001</v>
      </c>
      <c r="G461">
        <v>661.12</v>
      </c>
      <c r="H461">
        <v>1.5105999999999999</v>
      </c>
    </row>
    <row r="462" spans="2:8" x14ac:dyDescent="0.25">
      <c r="B462">
        <v>1.5153000000000001</v>
      </c>
      <c r="C462">
        <v>90</v>
      </c>
      <c r="D462">
        <v>15.5</v>
      </c>
      <c r="E462">
        <v>4.5206999999999997E-2</v>
      </c>
      <c r="F462">
        <v>22.120999999999999</v>
      </c>
      <c r="G462">
        <v>663.71</v>
      </c>
      <c r="H462">
        <v>1.5153000000000001</v>
      </c>
    </row>
    <row r="463" spans="2:8" x14ac:dyDescent="0.25">
      <c r="B463">
        <v>1.52</v>
      </c>
      <c r="C463">
        <v>95</v>
      </c>
      <c r="D463">
        <v>15.5</v>
      </c>
      <c r="E463">
        <v>4.4783000000000003E-2</v>
      </c>
      <c r="F463">
        <v>22.33</v>
      </c>
      <c r="G463">
        <v>666.31</v>
      </c>
      <c r="H463">
        <v>1.52</v>
      </c>
    </row>
    <row r="464" spans="2:8" x14ac:dyDescent="0.25">
      <c r="B464">
        <v>1.5246</v>
      </c>
      <c r="C464">
        <v>100</v>
      </c>
      <c r="D464">
        <v>15.5</v>
      </c>
      <c r="E464">
        <v>4.4367999999999998E-2</v>
      </c>
      <c r="F464">
        <v>22.539000000000001</v>
      </c>
      <c r="G464">
        <v>668.9</v>
      </c>
      <c r="H464">
        <v>1.5246</v>
      </c>
    </row>
    <row r="465" spans="2:8" x14ac:dyDescent="0.25">
      <c r="B465">
        <v>1.5293000000000001</v>
      </c>
      <c r="C465">
        <v>105</v>
      </c>
      <c r="D465">
        <v>15.5</v>
      </c>
      <c r="E465">
        <v>4.3961E-2</v>
      </c>
      <c r="F465">
        <v>22.748000000000001</v>
      </c>
      <c r="G465">
        <v>671.5</v>
      </c>
      <c r="H465">
        <v>1.5293000000000001</v>
      </c>
    </row>
    <row r="466" spans="2:8" x14ac:dyDescent="0.25">
      <c r="B466">
        <v>1.5338000000000001</v>
      </c>
      <c r="C466">
        <v>110</v>
      </c>
      <c r="D466">
        <v>15.5</v>
      </c>
      <c r="E466">
        <v>4.3561000000000002E-2</v>
      </c>
      <c r="F466">
        <v>22.956</v>
      </c>
      <c r="G466">
        <v>674.09</v>
      </c>
      <c r="H466">
        <v>1.5338000000000001</v>
      </c>
    </row>
    <row r="467" spans="2:8" x14ac:dyDescent="0.25">
      <c r="B467">
        <v>1.5384</v>
      </c>
      <c r="C467">
        <v>115</v>
      </c>
      <c r="D467">
        <v>15.5</v>
      </c>
      <c r="E467">
        <v>4.3168999999999999E-2</v>
      </c>
      <c r="F467">
        <v>23.164999999999999</v>
      </c>
      <c r="G467">
        <v>676.69</v>
      </c>
      <c r="H467">
        <v>1.5384</v>
      </c>
    </row>
    <row r="468" spans="2:8" x14ac:dyDescent="0.25">
      <c r="B468">
        <v>1.5428999999999999</v>
      </c>
      <c r="C468">
        <v>120</v>
      </c>
      <c r="D468">
        <v>15.5</v>
      </c>
      <c r="E468">
        <v>4.2784999999999997E-2</v>
      </c>
      <c r="F468">
        <v>23.373000000000001</v>
      </c>
      <c r="G468">
        <v>679.3</v>
      </c>
      <c r="H468">
        <v>1.5428999999999999</v>
      </c>
    </row>
    <row r="469" spans="2:8" x14ac:dyDescent="0.25">
      <c r="B469">
        <v>1.5474000000000001</v>
      </c>
      <c r="C469">
        <v>125</v>
      </c>
      <c r="D469">
        <v>15.5</v>
      </c>
      <c r="E469">
        <v>4.2408000000000001E-2</v>
      </c>
      <c r="F469">
        <v>23.581</v>
      </c>
      <c r="G469">
        <v>681.9</v>
      </c>
      <c r="H469">
        <v>1.5474000000000001</v>
      </c>
    </row>
    <row r="470" spans="2:8" x14ac:dyDescent="0.25">
      <c r="B470">
        <v>1.5518000000000001</v>
      </c>
      <c r="C470">
        <v>130</v>
      </c>
      <c r="D470">
        <v>15.5</v>
      </c>
      <c r="E470">
        <v>4.2036999999999998E-2</v>
      </c>
      <c r="F470">
        <v>23.788</v>
      </c>
      <c r="G470">
        <v>684.51</v>
      </c>
      <c r="H470">
        <v>1.5518000000000001</v>
      </c>
    </row>
    <row r="471" spans="2:8" x14ac:dyDescent="0.25">
      <c r="B471">
        <v>1.5562</v>
      </c>
      <c r="C471">
        <v>135</v>
      </c>
      <c r="D471">
        <v>15.5</v>
      </c>
      <c r="E471">
        <v>4.1673000000000002E-2</v>
      </c>
      <c r="F471">
        <v>23.995999999999999</v>
      </c>
      <c r="G471">
        <v>687.12</v>
      </c>
      <c r="H471">
        <v>1.5562</v>
      </c>
    </row>
    <row r="472" spans="2:8" x14ac:dyDescent="0.25">
      <c r="B472">
        <v>1.5606</v>
      </c>
      <c r="C472">
        <v>140</v>
      </c>
      <c r="D472">
        <v>15.5</v>
      </c>
      <c r="E472">
        <v>4.1315999999999999E-2</v>
      </c>
      <c r="F472">
        <v>24.204000000000001</v>
      </c>
      <c r="G472">
        <v>689.73</v>
      </c>
      <c r="H472">
        <v>1.5606</v>
      </c>
    </row>
    <row r="473" spans="2:8" x14ac:dyDescent="0.25">
      <c r="B473">
        <v>1.5649</v>
      </c>
      <c r="C473">
        <v>145</v>
      </c>
      <c r="D473">
        <v>15.5</v>
      </c>
      <c r="E473">
        <v>4.0965000000000001E-2</v>
      </c>
      <c r="F473">
        <v>24.411000000000001</v>
      </c>
      <c r="G473">
        <v>692.35</v>
      </c>
      <c r="H473">
        <v>1.5649</v>
      </c>
    </row>
    <row r="474" spans="2:8" x14ac:dyDescent="0.25">
      <c r="B474">
        <v>1.5691999999999999</v>
      </c>
      <c r="C474">
        <v>150</v>
      </c>
      <c r="D474">
        <v>15.5</v>
      </c>
      <c r="E474">
        <v>4.0620999999999997E-2</v>
      </c>
      <c r="F474">
        <v>24.617999999999999</v>
      </c>
      <c r="G474">
        <v>694.97</v>
      </c>
      <c r="H474">
        <v>1.5691999999999999</v>
      </c>
    </row>
    <row r="475" spans="2:8" x14ac:dyDescent="0.25">
      <c r="B475">
        <v>1.5734999999999999</v>
      </c>
      <c r="C475">
        <v>155</v>
      </c>
      <c r="D475">
        <v>15.5</v>
      </c>
      <c r="E475">
        <v>4.0281999999999998E-2</v>
      </c>
      <c r="F475">
        <v>24.824999999999999</v>
      </c>
      <c r="G475">
        <v>697.59</v>
      </c>
      <c r="H475">
        <v>1.5734999999999999</v>
      </c>
    </row>
    <row r="476" spans="2:8" x14ac:dyDescent="0.25">
      <c r="B476">
        <v>1.5778000000000001</v>
      </c>
      <c r="C476">
        <v>160</v>
      </c>
      <c r="D476">
        <v>15.5</v>
      </c>
      <c r="E476">
        <v>3.9948999999999998E-2</v>
      </c>
      <c r="F476">
        <v>25.032</v>
      </c>
      <c r="G476">
        <v>700.22</v>
      </c>
      <c r="H476">
        <v>1.5778000000000001</v>
      </c>
    </row>
    <row r="477" spans="2:8" x14ac:dyDescent="0.25">
      <c r="B477">
        <v>1.5820000000000001</v>
      </c>
      <c r="C477">
        <v>165</v>
      </c>
      <c r="D477">
        <v>15.5</v>
      </c>
      <c r="E477">
        <v>3.9621000000000003E-2</v>
      </c>
      <c r="F477">
        <v>25.239000000000001</v>
      </c>
      <c r="G477">
        <v>702.85</v>
      </c>
      <c r="H477">
        <v>1.5820000000000001</v>
      </c>
    </row>
    <row r="478" spans="2:8" x14ac:dyDescent="0.25">
      <c r="B478">
        <v>1.5862000000000001</v>
      </c>
      <c r="C478">
        <v>170</v>
      </c>
      <c r="D478">
        <v>15.5</v>
      </c>
      <c r="E478">
        <v>3.9300000000000002E-2</v>
      </c>
      <c r="F478">
        <v>25.446000000000002</v>
      </c>
      <c r="G478">
        <v>705.48</v>
      </c>
      <c r="H478">
        <v>1.5862000000000001</v>
      </c>
    </row>
    <row r="479" spans="2:8" x14ac:dyDescent="0.25">
      <c r="B479">
        <v>1.5904</v>
      </c>
      <c r="C479">
        <v>175</v>
      </c>
      <c r="D479">
        <v>15.5</v>
      </c>
      <c r="E479">
        <v>3.8982999999999997E-2</v>
      </c>
      <c r="F479">
        <v>25.652000000000001</v>
      </c>
      <c r="G479">
        <v>708.12</v>
      </c>
      <c r="H479">
        <v>1.5904</v>
      </c>
    </row>
    <row r="480" spans="2:8" x14ac:dyDescent="0.25">
      <c r="B480">
        <v>1.5945</v>
      </c>
      <c r="C480">
        <v>180</v>
      </c>
      <c r="D480">
        <v>15.5</v>
      </c>
      <c r="E480">
        <v>3.8671999999999998E-2</v>
      </c>
      <c r="F480">
        <v>25.859000000000002</v>
      </c>
      <c r="G480">
        <v>710.77</v>
      </c>
      <c r="H480">
        <v>1.5945</v>
      </c>
    </row>
    <row r="481" spans="2:8" x14ac:dyDescent="0.25">
      <c r="B481">
        <v>1.5987</v>
      </c>
      <c r="C481">
        <v>185</v>
      </c>
      <c r="D481">
        <v>15.5</v>
      </c>
      <c r="E481">
        <v>3.8365999999999997E-2</v>
      </c>
      <c r="F481">
        <v>26.065000000000001</v>
      </c>
      <c r="G481">
        <v>713.41</v>
      </c>
      <c r="H481">
        <v>1.5987</v>
      </c>
    </row>
    <row r="482" spans="2:8" x14ac:dyDescent="0.25">
      <c r="B482">
        <v>1.6028</v>
      </c>
      <c r="C482">
        <v>190</v>
      </c>
      <c r="D482">
        <v>15.5</v>
      </c>
      <c r="E482">
        <v>3.8065000000000002E-2</v>
      </c>
      <c r="F482">
        <v>26.271000000000001</v>
      </c>
      <c r="G482">
        <v>716.07</v>
      </c>
      <c r="H482">
        <v>1.6028</v>
      </c>
    </row>
    <row r="483" spans="2:8" x14ac:dyDescent="0.25">
      <c r="B483">
        <v>1.6068</v>
      </c>
      <c r="C483">
        <v>195</v>
      </c>
      <c r="D483">
        <v>15.5</v>
      </c>
      <c r="E483">
        <v>3.7768000000000003E-2</v>
      </c>
      <c r="F483">
        <v>26.477</v>
      </c>
      <c r="G483">
        <v>718.72</v>
      </c>
      <c r="H483">
        <v>1.6068</v>
      </c>
    </row>
    <row r="484" spans="2:8" x14ac:dyDescent="0.25">
      <c r="B484">
        <v>1.6109</v>
      </c>
      <c r="C484">
        <v>200</v>
      </c>
      <c r="D484">
        <v>15.5</v>
      </c>
      <c r="E484">
        <v>3.7476000000000002E-2</v>
      </c>
      <c r="F484">
        <v>26.683</v>
      </c>
      <c r="G484">
        <v>721.39</v>
      </c>
      <c r="H484">
        <v>1.6109</v>
      </c>
    </row>
    <row r="485" spans="2:8" x14ac:dyDescent="0.25">
      <c r="B485">
        <v>1.6149</v>
      </c>
      <c r="C485">
        <v>205</v>
      </c>
      <c r="D485">
        <v>15.5</v>
      </c>
      <c r="E485">
        <v>3.7189E-2</v>
      </c>
      <c r="F485">
        <v>26.888999999999999</v>
      </c>
      <c r="G485">
        <v>724.05</v>
      </c>
      <c r="H485">
        <v>1.6149</v>
      </c>
    </row>
    <row r="486" spans="2:8" x14ac:dyDescent="0.25">
      <c r="B486">
        <v>1.6189</v>
      </c>
      <c r="C486">
        <v>210</v>
      </c>
      <c r="D486">
        <v>15.5</v>
      </c>
      <c r="E486">
        <v>3.6907000000000002E-2</v>
      </c>
      <c r="F486">
        <v>27.094999999999999</v>
      </c>
      <c r="G486">
        <v>726.73</v>
      </c>
      <c r="H486">
        <v>1.6189</v>
      </c>
    </row>
    <row r="487" spans="2:8" x14ac:dyDescent="0.25">
      <c r="B487">
        <v>1.6229</v>
      </c>
      <c r="C487">
        <v>215</v>
      </c>
      <c r="D487">
        <v>15.5</v>
      </c>
      <c r="E487">
        <v>3.6628000000000001E-2</v>
      </c>
      <c r="F487">
        <v>27.300999999999998</v>
      </c>
      <c r="G487">
        <v>729.4</v>
      </c>
      <c r="H487">
        <v>1.6229</v>
      </c>
    </row>
    <row r="488" spans="2:8" x14ac:dyDescent="0.25">
      <c r="B488">
        <v>1.6269</v>
      </c>
      <c r="C488">
        <v>220</v>
      </c>
      <c r="D488">
        <v>15.5</v>
      </c>
      <c r="E488">
        <v>3.6353999999999997E-2</v>
      </c>
      <c r="F488">
        <v>27.507000000000001</v>
      </c>
      <c r="G488">
        <v>732.09</v>
      </c>
      <c r="H488">
        <v>1.6269</v>
      </c>
    </row>
    <row r="489" spans="2:8" x14ac:dyDescent="0.25">
      <c r="B489">
        <v>1.6308</v>
      </c>
      <c r="C489">
        <v>225</v>
      </c>
      <c r="D489">
        <v>15.5</v>
      </c>
      <c r="E489">
        <v>3.6084999999999999E-2</v>
      </c>
      <c r="F489">
        <v>27.713000000000001</v>
      </c>
      <c r="G489">
        <v>734.77</v>
      </c>
      <c r="H489">
        <v>1.6308</v>
      </c>
    </row>
    <row r="490" spans="2:8" x14ac:dyDescent="0.25">
      <c r="B490">
        <v>1.6347</v>
      </c>
      <c r="C490">
        <v>230</v>
      </c>
      <c r="D490">
        <v>15.5</v>
      </c>
      <c r="E490">
        <v>3.5818999999999997E-2</v>
      </c>
      <c r="F490">
        <v>27.917999999999999</v>
      </c>
      <c r="G490">
        <v>737.47</v>
      </c>
      <c r="H490">
        <v>1.6347</v>
      </c>
    </row>
    <row r="491" spans="2:8" x14ac:dyDescent="0.25">
      <c r="B491">
        <v>1.6386000000000001</v>
      </c>
      <c r="C491">
        <v>235</v>
      </c>
      <c r="D491">
        <v>15.5</v>
      </c>
      <c r="E491">
        <v>3.5556999999999998E-2</v>
      </c>
      <c r="F491">
        <v>28.123999999999999</v>
      </c>
      <c r="G491">
        <v>740.16</v>
      </c>
      <c r="H491">
        <v>1.6386000000000001</v>
      </c>
    </row>
    <row r="492" spans="2:8" x14ac:dyDescent="0.25">
      <c r="B492">
        <v>1.6425000000000001</v>
      </c>
      <c r="C492">
        <v>240</v>
      </c>
      <c r="D492">
        <v>15.5</v>
      </c>
      <c r="E492">
        <v>3.5298999999999997E-2</v>
      </c>
      <c r="F492">
        <v>28.329000000000001</v>
      </c>
      <c r="G492">
        <v>742.87</v>
      </c>
      <c r="H492">
        <v>1.6425000000000001</v>
      </c>
    </row>
    <row r="493" spans="2:8" x14ac:dyDescent="0.25">
      <c r="B493">
        <v>1.6464000000000001</v>
      </c>
      <c r="C493">
        <v>245</v>
      </c>
      <c r="D493">
        <v>15.5</v>
      </c>
      <c r="E493">
        <v>3.5045E-2</v>
      </c>
      <c r="F493">
        <v>28.535</v>
      </c>
      <c r="G493">
        <v>745.58</v>
      </c>
      <c r="H493">
        <v>1.6464000000000001</v>
      </c>
    </row>
    <row r="494" spans="2:8" x14ac:dyDescent="0.25">
      <c r="B494">
        <v>1.6501999999999999</v>
      </c>
      <c r="C494">
        <v>250</v>
      </c>
      <c r="D494">
        <v>15.5</v>
      </c>
      <c r="E494">
        <v>3.4793999999999999E-2</v>
      </c>
      <c r="F494">
        <v>28.74</v>
      </c>
      <c r="G494">
        <v>748.29</v>
      </c>
      <c r="H494">
        <v>1.6501999999999999</v>
      </c>
    </row>
    <row r="495" spans="2:8" x14ac:dyDescent="0.25">
      <c r="B495">
        <v>1.6539999999999999</v>
      </c>
      <c r="C495">
        <v>255</v>
      </c>
      <c r="D495">
        <v>15.5</v>
      </c>
      <c r="E495">
        <v>3.4548000000000002E-2</v>
      </c>
      <c r="F495">
        <v>28.946000000000002</v>
      </c>
      <c r="G495">
        <v>751.01</v>
      </c>
      <c r="H495">
        <v>1.6539999999999999</v>
      </c>
    </row>
    <row r="496" spans="2:8" x14ac:dyDescent="0.25">
      <c r="B496">
        <v>1.6577999999999999</v>
      </c>
      <c r="C496">
        <v>260</v>
      </c>
      <c r="D496">
        <v>15.5</v>
      </c>
      <c r="E496">
        <v>3.4304000000000001E-2</v>
      </c>
      <c r="F496">
        <v>29.151</v>
      </c>
      <c r="G496">
        <v>753.74</v>
      </c>
      <c r="H496">
        <v>1.6577999999999999</v>
      </c>
    </row>
    <row r="497" spans="1:8" x14ac:dyDescent="0.25">
      <c r="B497">
        <v>1.6616</v>
      </c>
      <c r="C497">
        <v>265</v>
      </c>
      <c r="D497">
        <v>15.5</v>
      </c>
      <c r="E497">
        <v>3.4064999999999998E-2</v>
      </c>
      <c r="F497">
        <v>29.356000000000002</v>
      </c>
      <c r="G497">
        <v>756.47</v>
      </c>
      <c r="H497">
        <v>1.6616</v>
      </c>
    </row>
    <row r="498" spans="1:8" x14ac:dyDescent="0.25">
      <c r="B498">
        <v>1.6654</v>
      </c>
      <c r="C498">
        <v>270</v>
      </c>
      <c r="D498">
        <v>15.5</v>
      </c>
      <c r="E498">
        <v>3.3827999999999997E-2</v>
      </c>
      <c r="F498">
        <v>29.561</v>
      </c>
      <c r="G498">
        <v>759.21</v>
      </c>
      <c r="H498">
        <v>1.6654</v>
      </c>
    </row>
    <row r="499" spans="1:8" x14ac:dyDescent="0.25">
      <c r="B499">
        <v>1.6691</v>
      </c>
      <c r="C499">
        <v>275</v>
      </c>
      <c r="D499">
        <v>15.5</v>
      </c>
      <c r="E499">
        <v>3.3595E-2</v>
      </c>
      <c r="F499">
        <v>29.765999999999998</v>
      </c>
      <c r="G499">
        <v>761.96</v>
      </c>
      <c r="H499">
        <v>1.6691</v>
      </c>
    </row>
    <row r="500" spans="1:8" x14ac:dyDescent="0.25">
      <c r="B500">
        <v>1.6729000000000001</v>
      </c>
      <c r="C500">
        <v>280</v>
      </c>
      <c r="D500">
        <v>15.5</v>
      </c>
      <c r="E500">
        <v>3.3364999999999999E-2</v>
      </c>
      <c r="F500">
        <v>29.971</v>
      </c>
      <c r="G500">
        <v>764.71</v>
      </c>
      <c r="H500">
        <v>1.6729000000000001</v>
      </c>
    </row>
    <row r="501" spans="1:8" x14ac:dyDescent="0.25">
      <c r="B501">
        <v>1.6766000000000001</v>
      </c>
      <c r="C501">
        <v>285</v>
      </c>
      <c r="D501">
        <v>15.5</v>
      </c>
      <c r="E501">
        <v>3.3138000000000001E-2</v>
      </c>
      <c r="F501">
        <v>30.175999999999998</v>
      </c>
      <c r="G501">
        <v>767.46</v>
      </c>
      <c r="H501">
        <v>1.6766000000000001</v>
      </c>
    </row>
    <row r="502" spans="1:8" x14ac:dyDescent="0.25">
      <c r="B502">
        <v>1.6802999999999999</v>
      </c>
      <c r="C502">
        <v>290</v>
      </c>
      <c r="D502">
        <v>15.5</v>
      </c>
      <c r="E502">
        <v>3.2915E-2</v>
      </c>
      <c r="F502">
        <v>30.381</v>
      </c>
      <c r="G502">
        <v>770.22</v>
      </c>
      <c r="H502">
        <v>1.6802999999999999</v>
      </c>
    </row>
    <row r="503" spans="1:8" x14ac:dyDescent="0.25">
      <c r="B503">
        <v>1.6839</v>
      </c>
      <c r="C503">
        <v>295</v>
      </c>
      <c r="D503">
        <v>15.5</v>
      </c>
      <c r="E503">
        <v>3.2694000000000001E-2</v>
      </c>
      <c r="F503">
        <v>30.585999999999999</v>
      </c>
      <c r="G503">
        <v>772.99</v>
      </c>
      <c r="H503">
        <v>1.6839</v>
      </c>
    </row>
    <row r="504" spans="1:8" x14ac:dyDescent="0.25">
      <c r="B504">
        <v>1.6876</v>
      </c>
      <c r="C504">
        <v>300</v>
      </c>
      <c r="D504">
        <v>15.5</v>
      </c>
      <c r="E504">
        <v>3.2476999999999999E-2</v>
      </c>
      <c r="F504">
        <v>30.791</v>
      </c>
      <c r="G504">
        <v>775.77</v>
      </c>
      <c r="H504">
        <v>1.6876</v>
      </c>
    </row>
    <row r="506" spans="1:8" x14ac:dyDescent="0.25">
      <c r="A506">
        <v>16.399999999999999</v>
      </c>
      <c r="B506">
        <v>-2.538E-2</v>
      </c>
      <c r="C506">
        <v>-50</v>
      </c>
      <c r="D506">
        <v>16.399999999999999</v>
      </c>
      <c r="E506">
        <v>43.503</v>
      </c>
      <c r="F506">
        <v>2.2987E-2</v>
      </c>
      <c r="G506">
        <v>-10.497999999999999</v>
      </c>
      <c r="H506">
        <v>-2.538E-2</v>
      </c>
    </row>
    <row r="507" spans="1:8" x14ac:dyDescent="0.25">
      <c r="B507">
        <v>-1.2647E-2</v>
      </c>
      <c r="C507">
        <v>-45</v>
      </c>
      <c r="D507">
        <v>16.399999999999999</v>
      </c>
      <c r="E507">
        <v>43.295999999999999</v>
      </c>
      <c r="F507">
        <v>2.3096999999999999E-2</v>
      </c>
      <c r="G507">
        <v>-5.2503000000000002</v>
      </c>
      <c r="H507">
        <v>-1.2647E-2</v>
      </c>
    </row>
    <row r="508" spans="1:8" x14ac:dyDescent="0.25">
      <c r="B508">
        <v>-2.5222999999999999E-5</v>
      </c>
      <c r="C508">
        <v>-40</v>
      </c>
      <c r="D508">
        <v>16.399999999999999</v>
      </c>
      <c r="E508">
        <v>43.085999999999999</v>
      </c>
      <c r="F508">
        <v>2.3209E-2</v>
      </c>
      <c r="G508">
        <v>1.521E-2</v>
      </c>
      <c r="H508">
        <v>-2.5222999999999999E-5</v>
      </c>
    </row>
    <row r="509" spans="1:8" x14ac:dyDescent="0.25">
      <c r="B509">
        <v>1.2489E-2</v>
      </c>
      <c r="C509">
        <v>-35</v>
      </c>
      <c r="D509">
        <v>16.399999999999999</v>
      </c>
      <c r="E509">
        <v>42.874000000000002</v>
      </c>
      <c r="F509">
        <v>2.3324000000000001E-2</v>
      </c>
      <c r="G509">
        <v>5.2980999999999998</v>
      </c>
      <c r="H509">
        <v>1.2489E-2</v>
      </c>
    </row>
    <row r="510" spans="1:8" x14ac:dyDescent="0.25">
      <c r="B510">
        <v>2.4896000000000001E-2</v>
      </c>
      <c r="C510">
        <v>-30</v>
      </c>
      <c r="D510">
        <v>16.399999999999999</v>
      </c>
      <c r="E510">
        <v>42.661000000000001</v>
      </c>
      <c r="F510">
        <v>2.3441E-2</v>
      </c>
      <c r="G510">
        <v>10.598000000000001</v>
      </c>
      <c r="H510">
        <v>2.4896000000000001E-2</v>
      </c>
    </row>
    <row r="511" spans="1:8" x14ac:dyDescent="0.25">
      <c r="B511">
        <v>3.7199000000000003E-2</v>
      </c>
      <c r="C511">
        <v>-25</v>
      </c>
      <c r="D511">
        <v>16.399999999999999</v>
      </c>
      <c r="E511">
        <v>42.445999999999998</v>
      </c>
      <c r="F511">
        <v>2.3560000000000001E-2</v>
      </c>
      <c r="G511">
        <v>15.914999999999999</v>
      </c>
      <c r="H511">
        <v>3.7199000000000003E-2</v>
      </c>
    </row>
    <row r="512" spans="1:8" x14ac:dyDescent="0.25">
      <c r="B512">
        <v>1.3907</v>
      </c>
      <c r="C512">
        <v>-20</v>
      </c>
      <c r="D512">
        <v>16.399999999999999</v>
      </c>
      <c r="E512">
        <v>6.0893999999999997E-2</v>
      </c>
      <c r="F512">
        <v>16.422000000000001</v>
      </c>
      <c r="G512">
        <v>605.57000000000005</v>
      </c>
      <c r="H512">
        <v>1.3907</v>
      </c>
    </row>
    <row r="513" spans="2:8" x14ac:dyDescent="0.25">
      <c r="B513">
        <v>1.3968</v>
      </c>
      <c r="C513">
        <v>-15</v>
      </c>
      <c r="D513">
        <v>16.399999999999999</v>
      </c>
      <c r="E513">
        <v>6.012E-2</v>
      </c>
      <c r="F513">
        <v>16.632999999999999</v>
      </c>
      <c r="G513">
        <v>608.30999999999995</v>
      </c>
      <c r="H513">
        <v>1.3968</v>
      </c>
    </row>
    <row r="514" spans="2:8" x14ac:dyDescent="0.25">
      <c r="B514">
        <v>1.4029</v>
      </c>
      <c r="C514">
        <v>-10</v>
      </c>
      <c r="D514">
        <v>16.399999999999999</v>
      </c>
      <c r="E514">
        <v>5.9369999999999999E-2</v>
      </c>
      <c r="F514">
        <v>16.844000000000001</v>
      </c>
      <c r="G514">
        <v>611.03</v>
      </c>
      <c r="H514">
        <v>1.4029</v>
      </c>
    </row>
    <row r="515" spans="2:8" x14ac:dyDescent="0.25">
      <c r="B515">
        <v>1.4089</v>
      </c>
      <c r="C515">
        <v>-5</v>
      </c>
      <c r="D515">
        <v>16.399999999999999</v>
      </c>
      <c r="E515">
        <v>5.8642E-2</v>
      </c>
      <c r="F515">
        <v>17.053000000000001</v>
      </c>
      <c r="G515">
        <v>613.73</v>
      </c>
      <c r="H515">
        <v>1.4089</v>
      </c>
    </row>
    <row r="516" spans="2:8" x14ac:dyDescent="0.25">
      <c r="B516">
        <v>1.4148000000000001</v>
      </c>
      <c r="C516">
        <v>0</v>
      </c>
      <c r="D516">
        <v>16.399999999999999</v>
      </c>
      <c r="E516">
        <v>5.7936000000000001E-2</v>
      </c>
      <c r="F516">
        <v>17.260000000000002</v>
      </c>
      <c r="G516">
        <v>616.41999999999996</v>
      </c>
      <c r="H516">
        <v>1.4148000000000001</v>
      </c>
    </row>
    <row r="517" spans="2:8" x14ac:dyDescent="0.25">
      <c r="B517">
        <v>1.4206000000000001</v>
      </c>
      <c r="C517">
        <v>5</v>
      </c>
      <c r="D517">
        <v>16.399999999999999</v>
      </c>
      <c r="E517">
        <v>5.7249000000000001E-2</v>
      </c>
      <c r="F517">
        <v>17.466999999999999</v>
      </c>
      <c r="G517">
        <v>619.09</v>
      </c>
      <c r="H517">
        <v>1.4206000000000001</v>
      </c>
    </row>
    <row r="518" spans="2:8" x14ac:dyDescent="0.25">
      <c r="B518">
        <v>1.4262999999999999</v>
      </c>
      <c r="C518">
        <v>10</v>
      </c>
      <c r="D518">
        <v>16.399999999999999</v>
      </c>
      <c r="E518">
        <v>5.6580999999999999E-2</v>
      </c>
      <c r="F518">
        <v>17.673999999999999</v>
      </c>
      <c r="G518">
        <v>621.76</v>
      </c>
      <c r="H518">
        <v>1.4262999999999999</v>
      </c>
    </row>
    <row r="519" spans="2:8" x14ac:dyDescent="0.25">
      <c r="B519">
        <v>1.4319</v>
      </c>
      <c r="C519">
        <v>15</v>
      </c>
      <c r="D519">
        <v>16.399999999999999</v>
      </c>
      <c r="E519">
        <v>5.5932000000000003E-2</v>
      </c>
      <c r="F519">
        <v>17.879000000000001</v>
      </c>
      <c r="G519">
        <v>624.41</v>
      </c>
      <c r="H519">
        <v>1.4319</v>
      </c>
    </row>
    <row r="520" spans="2:8" x14ac:dyDescent="0.25">
      <c r="B520">
        <v>1.4374</v>
      </c>
      <c r="C520">
        <v>20</v>
      </c>
      <c r="D520">
        <v>16.399999999999999</v>
      </c>
      <c r="E520">
        <v>5.5299000000000001E-2</v>
      </c>
      <c r="F520">
        <v>18.084</v>
      </c>
      <c r="G520">
        <v>627.04999999999995</v>
      </c>
      <c r="H520">
        <v>1.4374</v>
      </c>
    </row>
    <row r="521" spans="2:8" x14ac:dyDescent="0.25">
      <c r="B521">
        <v>1.4429000000000001</v>
      </c>
      <c r="C521">
        <v>25</v>
      </c>
      <c r="D521">
        <v>16.399999999999999</v>
      </c>
      <c r="E521">
        <v>5.4682000000000001E-2</v>
      </c>
      <c r="F521">
        <v>18.286999999999999</v>
      </c>
      <c r="G521">
        <v>629.69000000000005</v>
      </c>
      <c r="H521">
        <v>1.4429000000000001</v>
      </c>
    </row>
    <row r="522" spans="2:8" x14ac:dyDescent="0.25">
      <c r="B522">
        <v>1.4482999999999999</v>
      </c>
      <c r="C522">
        <v>30</v>
      </c>
      <c r="D522">
        <v>16.399999999999999</v>
      </c>
      <c r="E522">
        <v>5.4080999999999997E-2</v>
      </c>
      <c r="F522">
        <v>18.491</v>
      </c>
      <c r="G522">
        <v>632.30999999999995</v>
      </c>
      <c r="H522">
        <v>1.4482999999999999</v>
      </c>
    </row>
    <row r="523" spans="2:8" x14ac:dyDescent="0.25">
      <c r="B523">
        <v>1.4536</v>
      </c>
      <c r="C523">
        <v>35</v>
      </c>
      <c r="D523">
        <v>16.399999999999999</v>
      </c>
      <c r="E523">
        <v>5.3495000000000001E-2</v>
      </c>
      <c r="F523">
        <v>18.693000000000001</v>
      </c>
      <c r="G523">
        <v>634.94000000000005</v>
      </c>
      <c r="H523">
        <v>1.4536</v>
      </c>
    </row>
    <row r="524" spans="2:8" x14ac:dyDescent="0.25">
      <c r="B524">
        <v>1.4589000000000001</v>
      </c>
      <c r="C524">
        <v>40</v>
      </c>
      <c r="D524">
        <v>16.399999999999999</v>
      </c>
      <c r="E524">
        <v>5.2921999999999997E-2</v>
      </c>
      <c r="F524">
        <v>18.896000000000001</v>
      </c>
      <c r="G524">
        <v>637.54999999999995</v>
      </c>
      <c r="H524">
        <v>1.4589000000000001</v>
      </c>
    </row>
    <row r="525" spans="2:8" x14ac:dyDescent="0.25">
      <c r="B525">
        <v>1.4641</v>
      </c>
      <c r="C525">
        <v>45</v>
      </c>
      <c r="D525">
        <v>16.399999999999999</v>
      </c>
      <c r="E525">
        <v>5.2364000000000001E-2</v>
      </c>
      <c r="F525">
        <v>19.097000000000001</v>
      </c>
      <c r="G525">
        <v>640.16</v>
      </c>
      <c r="H525">
        <v>1.4641</v>
      </c>
    </row>
    <row r="526" spans="2:8" x14ac:dyDescent="0.25">
      <c r="B526">
        <v>1.4692000000000001</v>
      </c>
      <c r="C526">
        <v>50</v>
      </c>
      <c r="D526">
        <v>16.399999999999999</v>
      </c>
      <c r="E526">
        <v>5.1818000000000003E-2</v>
      </c>
      <c r="F526">
        <v>19.297999999999998</v>
      </c>
      <c r="G526">
        <v>642.77</v>
      </c>
      <c r="H526">
        <v>1.4692000000000001</v>
      </c>
    </row>
    <row r="527" spans="2:8" x14ac:dyDescent="0.25">
      <c r="B527">
        <v>1.4742999999999999</v>
      </c>
      <c r="C527">
        <v>55</v>
      </c>
      <c r="D527">
        <v>16.399999999999999</v>
      </c>
      <c r="E527">
        <v>5.1284000000000003E-2</v>
      </c>
      <c r="F527">
        <v>19.498999999999999</v>
      </c>
      <c r="G527">
        <v>645.38</v>
      </c>
      <c r="H527">
        <v>1.4742999999999999</v>
      </c>
    </row>
    <row r="528" spans="2:8" x14ac:dyDescent="0.25">
      <c r="B528">
        <v>1.4793000000000001</v>
      </c>
      <c r="C528">
        <v>60</v>
      </c>
      <c r="D528">
        <v>16.399999999999999</v>
      </c>
      <c r="E528">
        <v>5.0763000000000003E-2</v>
      </c>
      <c r="F528">
        <v>19.699000000000002</v>
      </c>
      <c r="G528">
        <v>647.98</v>
      </c>
      <c r="H528">
        <v>1.4793000000000001</v>
      </c>
    </row>
    <row r="529" spans="2:8" x14ac:dyDescent="0.25">
      <c r="B529">
        <v>1.4843</v>
      </c>
      <c r="C529">
        <v>65</v>
      </c>
      <c r="D529">
        <v>16.399999999999999</v>
      </c>
      <c r="E529">
        <v>5.0252999999999999E-2</v>
      </c>
      <c r="F529">
        <v>19.899000000000001</v>
      </c>
      <c r="G529">
        <v>650.58000000000004</v>
      </c>
      <c r="H529">
        <v>1.4843</v>
      </c>
    </row>
    <row r="530" spans="2:8" x14ac:dyDescent="0.25">
      <c r="B530">
        <v>1.4893000000000001</v>
      </c>
      <c r="C530">
        <v>70</v>
      </c>
      <c r="D530">
        <v>16.399999999999999</v>
      </c>
      <c r="E530">
        <v>4.9754E-2</v>
      </c>
      <c r="F530">
        <v>20.099</v>
      </c>
      <c r="G530">
        <v>653.17999999999995</v>
      </c>
      <c r="H530">
        <v>1.4893000000000001</v>
      </c>
    </row>
    <row r="531" spans="2:8" x14ac:dyDescent="0.25">
      <c r="B531">
        <v>1.4941</v>
      </c>
      <c r="C531">
        <v>75</v>
      </c>
      <c r="D531">
        <v>16.399999999999999</v>
      </c>
      <c r="E531">
        <v>4.9265000000000003E-2</v>
      </c>
      <c r="F531">
        <v>20.297999999999998</v>
      </c>
      <c r="G531">
        <v>655.77</v>
      </c>
      <c r="H531">
        <v>1.4941</v>
      </c>
    </row>
    <row r="532" spans="2:8" x14ac:dyDescent="0.25">
      <c r="B532">
        <v>1.4990000000000001</v>
      </c>
      <c r="C532">
        <v>80</v>
      </c>
      <c r="D532">
        <v>16.399999999999999</v>
      </c>
      <c r="E532">
        <v>4.8786999999999997E-2</v>
      </c>
      <c r="F532">
        <v>20.497</v>
      </c>
      <c r="G532">
        <v>658.37</v>
      </c>
      <c r="H532">
        <v>1.4990000000000001</v>
      </c>
    </row>
    <row r="533" spans="2:8" x14ac:dyDescent="0.25">
      <c r="B533">
        <v>1.5038</v>
      </c>
      <c r="C533">
        <v>85</v>
      </c>
      <c r="D533">
        <v>16.399999999999999</v>
      </c>
      <c r="E533">
        <v>4.8319000000000001E-2</v>
      </c>
      <c r="F533">
        <v>20.696000000000002</v>
      </c>
      <c r="G533">
        <v>660.97</v>
      </c>
      <c r="H533">
        <v>1.5038</v>
      </c>
    </row>
    <row r="534" spans="2:8" x14ac:dyDescent="0.25">
      <c r="B534">
        <v>1.5085</v>
      </c>
      <c r="C534">
        <v>90</v>
      </c>
      <c r="D534">
        <v>16.399999999999999</v>
      </c>
      <c r="E534">
        <v>4.786E-2</v>
      </c>
      <c r="F534">
        <v>20.893999999999998</v>
      </c>
      <c r="G534">
        <v>663.56</v>
      </c>
      <c r="H534">
        <v>1.5085</v>
      </c>
    </row>
    <row r="535" spans="2:8" x14ac:dyDescent="0.25">
      <c r="B535">
        <v>1.5132000000000001</v>
      </c>
      <c r="C535">
        <v>95</v>
      </c>
      <c r="D535">
        <v>16.399999999999999</v>
      </c>
      <c r="E535">
        <v>4.7411000000000002E-2</v>
      </c>
      <c r="F535">
        <v>21.091999999999999</v>
      </c>
      <c r="G535">
        <v>666.16</v>
      </c>
      <c r="H535">
        <v>1.5132000000000001</v>
      </c>
    </row>
    <row r="536" spans="2:8" x14ac:dyDescent="0.25">
      <c r="B536">
        <v>1.5179</v>
      </c>
      <c r="C536">
        <v>100</v>
      </c>
      <c r="D536">
        <v>16.399999999999999</v>
      </c>
      <c r="E536">
        <v>4.6969999999999998E-2</v>
      </c>
      <c r="F536">
        <v>21.29</v>
      </c>
      <c r="G536">
        <v>668.76</v>
      </c>
      <c r="H536">
        <v>1.5179</v>
      </c>
    </row>
    <row r="537" spans="2:8" x14ac:dyDescent="0.25">
      <c r="B537">
        <v>1.5225</v>
      </c>
      <c r="C537">
        <v>105</v>
      </c>
      <c r="D537">
        <v>16.399999999999999</v>
      </c>
      <c r="E537">
        <v>4.6538000000000003E-2</v>
      </c>
      <c r="F537">
        <v>21.488</v>
      </c>
      <c r="G537">
        <v>671.36</v>
      </c>
      <c r="H537">
        <v>1.5225</v>
      </c>
    </row>
    <row r="538" spans="2:8" x14ac:dyDescent="0.25">
      <c r="B538">
        <v>1.5270999999999999</v>
      </c>
      <c r="C538">
        <v>110</v>
      </c>
      <c r="D538">
        <v>16.399999999999999</v>
      </c>
      <c r="E538">
        <v>4.6114000000000002E-2</v>
      </c>
      <c r="F538">
        <v>21.684999999999999</v>
      </c>
      <c r="G538">
        <v>673.96</v>
      </c>
      <c r="H538">
        <v>1.5270999999999999</v>
      </c>
    </row>
    <row r="539" spans="2:8" x14ac:dyDescent="0.25">
      <c r="B539">
        <v>1.5316000000000001</v>
      </c>
      <c r="C539">
        <v>115</v>
      </c>
      <c r="D539">
        <v>16.399999999999999</v>
      </c>
      <c r="E539">
        <v>4.5698999999999997E-2</v>
      </c>
      <c r="F539">
        <v>21.882000000000001</v>
      </c>
      <c r="G539">
        <v>676.57</v>
      </c>
      <c r="H539">
        <v>1.5316000000000001</v>
      </c>
    </row>
    <row r="540" spans="2:8" x14ac:dyDescent="0.25">
      <c r="B540">
        <v>1.5361</v>
      </c>
      <c r="C540">
        <v>120</v>
      </c>
      <c r="D540">
        <v>16.399999999999999</v>
      </c>
      <c r="E540">
        <v>4.5290999999999998E-2</v>
      </c>
      <c r="F540">
        <v>22.079000000000001</v>
      </c>
      <c r="G540">
        <v>679.17</v>
      </c>
      <c r="H540">
        <v>1.5361</v>
      </c>
    </row>
    <row r="541" spans="2:8" x14ac:dyDescent="0.25">
      <c r="B541">
        <v>1.5406</v>
      </c>
      <c r="C541">
        <v>125</v>
      </c>
      <c r="D541">
        <v>16.399999999999999</v>
      </c>
      <c r="E541">
        <v>4.4891E-2</v>
      </c>
      <c r="F541">
        <v>22.276</v>
      </c>
      <c r="G541">
        <v>681.78</v>
      </c>
      <c r="H541">
        <v>1.5406</v>
      </c>
    </row>
    <row r="542" spans="2:8" x14ac:dyDescent="0.25">
      <c r="B542">
        <v>1.5450999999999999</v>
      </c>
      <c r="C542">
        <v>130</v>
      </c>
      <c r="D542">
        <v>16.399999999999999</v>
      </c>
      <c r="E542">
        <v>4.4498000000000003E-2</v>
      </c>
      <c r="F542">
        <v>22.472999999999999</v>
      </c>
      <c r="G542">
        <v>684.39</v>
      </c>
      <c r="H542">
        <v>1.5450999999999999</v>
      </c>
    </row>
    <row r="543" spans="2:8" x14ac:dyDescent="0.25">
      <c r="B543">
        <v>1.5495000000000001</v>
      </c>
      <c r="C543">
        <v>135</v>
      </c>
      <c r="D543">
        <v>16.399999999999999</v>
      </c>
      <c r="E543">
        <v>4.4112999999999999E-2</v>
      </c>
      <c r="F543">
        <v>22.669</v>
      </c>
      <c r="G543">
        <v>687</v>
      </c>
      <c r="H543">
        <v>1.5495000000000001</v>
      </c>
    </row>
    <row r="544" spans="2:8" x14ac:dyDescent="0.25">
      <c r="B544">
        <v>1.5539000000000001</v>
      </c>
      <c r="C544">
        <v>140</v>
      </c>
      <c r="D544">
        <v>16.399999999999999</v>
      </c>
      <c r="E544">
        <v>4.3734000000000002E-2</v>
      </c>
      <c r="F544">
        <v>22.866</v>
      </c>
      <c r="G544">
        <v>689.62</v>
      </c>
      <c r="H544">
        <v>1.5539000000000001</v>
      </c>
    </row>
    <row r="545" spans="2:8" x14ac:dyDescent="0.25">
      <c r="B545">
        <v>1.5582</v>
      </c>
      <c r="C545">
        <v>145</v>
      </c>
      <c r="D545">
        <v>16.399999999999999</v>
      </c>
      <c r="E545">
        <v>4.3361999999999998E-2</v>
      </c>
      <c r="F545">
        <v>23.062000000000001</v>
      </c>
      <c r="G545">
        <v>692.24</v>
      </c>
      <c r="H545">
        <v>1.5582</v>
      </c>
    </row>
    <row r="546" spans="2:8" x14ac:dyDescent="0.25">
      <c r="B546">
        <v>1.5625</v>
      </c>
      <c r="C546">
        <v>150</v>
      </c>
      <c r="D546">
        <v>16.399999999999999</v>
      </c>
      <c r="E546">
        <v>4.2995999999999999E-2</v>
      </c>
      <c r="F546">
        <v>23.257999999999999</v>
      </c>
      <c r="G546">
        <v>694.86</v>
      </c>
      <c r="H546">
        <v>1.5625</v>
      </c>
    </row>
    <row r="547" spans="2:8" x14ac:dyDescent="0.25">
      <c r="B547">
        <v>1.5668</v>
      </c>
      <c r="C547">
        <v>155</v>
      </c>
      <c r="D547">
        <v>16.399999999999999</v>
      </c>
      <c r="E547">
        <v>4.2637000000000001E-2</v>
      </c>
      <c r="F547">
        <v>23.454000000000001</v>
      </c>
      <c r="G547">
        <v>697.49</v>
      </c>
      <c r="H547">
        <v>1.5668</v>
      </c>
    </row>
    <row r="548" spans="2:8" x14ac:dyDescent="0.25">
      <c r="B548">
        <v>1.5710999999999999</v>
      </c>
      <c r="C548">
        <v>160</v>
      </c>
      <c r="D548">
        <v>16.399999999999999</v>
      </c>
      <c r="E548">
        <v>4.2284000000000002E-2</v>
      </c>
      <c r="F548">
        <v>23.649000000000001</v>
      </c>
      <c r="G548">
        <v>700.12</v>
      </c>
      <c r="H548">
        <v>1.5710999999999999</v>
      </c>
    </row>
    <row r="549" spans="2:8" x14ac:dyDescent="0.25">
      <c r="B549">
        <v>1.5752999999999999</v>
      </c>
      <c r="C549">
        <v>165</v>
      </c>
      <c r="D549">
        <v>16.399999999999999</v>
      </c>
      <c r="E549">
        <v>4.1937000000000002E-2</v>
      </c>
      <c r="F549">
        <v>23.844999999999999</v>
      </c>
      <c r="G549">
        <v>702.75</v>
      </c>
      <c r="H549">
        <v>1.5752999999999999</v>
      </c>
    </row>
    <row r="550" spans="2:8" x14ac:dyDescent="0.25">
      <c r="B550">
        <v>1.5794999999999999</v>
      </c>
      <c r="C550">
        <v>170</v>
      </c>
      <c r="D550">
        <v>16.399999999999999</v>
      </c>
      <c r="E550">
        <v>4.1596000000000001E-2</v>
      </c>
      <c r="F550">
        <v>24.041</v>
      </c>
      <c r="G550">
        <v>705.39</v>
      </c>
      <c r="H550">
        <v>1.5794999999999999</v>
      </c>
    </row>
    <row r="551" spans="2:8" x14ac:dyDescent="0.25">
      <c r="B551">
        <v>1.5837000000000001</v>
      </c>
      <c r="C551">
        <v>175</v>
      </c>
      <c r="D551">
        <v>16.399999999999999</v>
      </c>
      <c r="E551">
        <v>4.1260999999999999E-2</v>
      </c>
      <c r="F551">
        <v>24.236000000000001</v>
      </c>
      <c r="G551">
        <v>708.03</v>
      </c>
      <c r="H551">
        <v>1.5837000000000001</v>
      </c>
    </row>
    <row r="552" spans="2:8" x14ac:dyDescent="0.25">
      <c r="B552">
        <v>1.5879000000000001</v>
      </c>
      <c r="C552">
        <v>180</v>
      </c>
      <c r="D552">
        <v>16.399999999999999</v>
      </c>
      <c r="E552">
        <v>4.0931000000000002E-2</v>
      </c>
      <c r="F552">
        <v>24.431000000000001</v>
      </c>
      <c r="G552">
        <v>710.67</v>
      </c>
      <c r="H552">
        <v>1.5879000000000001</v>
      </c>
    </row>
    <row r="553" spans="2:8" x14ac:dyDescent="0.25">
      <c r="B553">
        <v>1.5920000000000001</v>
      </c>
      <c r="C553">
        <v>185</v>
      </c>
      <c r="D553">
        <v>16.399999999999999</v>
      </c>
      <c r="E553">
        <v>4.0606999999999997E-2</v>
      </c>
      <c r="F553">
        <v>24.626999999999999</v>
      </c>
      <c r="G553">
        <v>713.32</v>
      </c>
      <c r="H553">
        <v>1.5920000000000001</v>
      </c>
    </row>
    <row r="554" spans="2:8" x14ac:dyDescent="0.25">
      <c r="B554">
        <v>1.5961000000000001</v>
      </c>
      <c r="C554">
        <v>190</v>
      </c>
      <c r="D554">
        <v>16.399999999999999</v>
      </c>
      <c r="E554">
        <v>4.0287000000000003E-2</v>
      </c>
      <c r="F554">
        <v>24.821999999999999</v>
      </c>
      <c r="G554">
        <v>715.98</v>
      </c>
      <c r="H554">
        <v>1.5961000000000001</v>
      </c>
    </row>
    <row r="555" spans="2:8" x14ac:dyDescent="0.25">
      <c r="B555">
        <v>1.6002000000000001</v>
      </c>
      <c r="C555">
        <v>195</v>
      </c>
      <c r="D555">
        <v>16.399999999999999</v>
      </c>
      <c r="E555">
        <v>3.9973000000000002E-2</v>
      </c>
      <c r="F555">
        <v>25.016999999999999</v>
      </c>
      <c r="G555">
        <v>718.64</v>
      </c>
      <c r="H555">
        <v>1.6002000000000001</v>
      </c>
    </row>
    <row r="556" spans="2:8" x14ac:dyDescent="0.25">
      <c r="B556">
        <v>1.6042000000000001</v>
      </c>
      <c r="C556">
        <v>200</v>
      </c>
      <c r="D556">
        <v>16.399999999999999</v>
      </c>
      <c r="E556">
        <v>3.9663999999999998E-2</v>
      </c>
      <c r="F556">
        <v>25.212</v>
      </c>
      <c r="G556">
        <v>721.3</v>
      </c>
      <c r="H556">
        <v>1.6042000000000001</v>
      </c>
    </row>
    <row r="557" spans="2:8" x14ac:dyDescent="0.25">
      <c r="B557">
        <v>1.6082000000000001</v>
      </c>
      <c r="C557">
        <v>205</v>
      </c>
      <c r="D557">
        <v>16.399999999999999</v>
      </c>
      <c r="E557">
        <v>3.9359999999999999E-2</v>
      </c>
      <c r="F557">
        <v>25.405999999999999</v>
      </c>
      <c r="G557">
        <v>723.97</v>
      </c>
      <c r="H557">
        <v>1.6082000000000001</v>
      </c>
    </row>
    <row r="558" spans="2:8" x14ac:dyDescent="0.25">
      <c r="B558">
        <v>1.6123000000000001</v>
      </c>
      <c r="C558">
        <v>210</v>
      </c>
      <c r="D558">
        <v>16.399999999999999</v>
      </c>
      <c r="E558">
        <v>3.9060999999999998E-2</v>
      </c>
      <c r="F558">
        <v>25.600999999999999</v>
      </c>
      <c r="G558">
        <v>726.65</v>
      </c>
      <c r="H558">
        <v>1.6123000000000001</v>
      </c>
    </row>
    <row r="559" spans="2:8" x14ac:dyDescent="0.25">
      <c r="B559">
        <v>1.6162000000000001</v>
      </c>
      <c r="C559">
        <v>215</v>
      </c>
      <c r="D559">
        <v>16.399999999999999</v>
      </c>
      <c r="E559">
        <v>3.8766000000000002E-2</v>
      </c>
      <c r="F559">
        <v>25.795999999999999</v>
      </c>
      <c r="G559">
        <v>729.32</v>
      </c>
      <c r="H559">
        <v>1.6162000000000001</v>
      </c>
    </row>
    <row r="560" spans="2:8" x14ac:dyDescent="0.25">
      <c r="B560">
        <v>1.6202000000000001</v>
      </c>
      <c r="C560">
        <v>220</v>
      </c>
      <c r="D560">
        <v>16.399999999999999</v>
      </c>
      <c r="E560">
        <v>3.8475000000000002E-2</v>
      </c>
      <c r="F560">
        <v>25.991</v>
      </c>
      <c r="G560">
        <v>732.01</v>
      </c>
      <c r="H560">
        <v>1.6202000000000001</v>
      </c>
    </row>
    <row r="561" spans="2:8" x14ac:dyDescent="0.25">
      <c r="B561">
        <v>1.6241000000000001</v>
      </c>
      <c r="C561">
        <v>225</v>
      </c>
      <c r="D561">
        <v>16.399999999999999</v>
      </c>
      <c r="E561">
        <v>3.8190000000000002E-2</v>
      </c>
      <c r="F561">
        <v>26.184999999999999</v>
      </c>
      <c r="G561">
        <v>734.7</v>
      </c>
      <c r="H561">
        <v>1.6241000000000001</v>
      </c>
    </row>
    <row r="562" spans="2:8" x14ac:dyDescent="0.25">
      <c r="B562">
        <v>1.6281000000000001</v>
      </c>
      <c r="C562">
        <v>230</v>
      </c>
      <c r="D562">
        <v>16.399999999999999</v>
      </c>
      <c r="E562">
        <v>3.7907999999999997E-2</v>
      </c>
      <c r="F562">
        <v>26.38</v>
      </c>
      <c r="G562">
        <v>737.39</v>
      </c>
      <c r="H562">
        <v>1.6281000000000001</v>
      </c>
    </row>
    <row r="563" spans="2:8" x14ac:dyDescent="0.25">
      <c r="B563">
        <v>1.6319999999999999</v>
      </c>
      <c r="C563">
        <v>235</v>
      </c>
      <c r="D563">
        <v>16.399999999999999</v>
      </c>
      <c r="E563">
        <v>3.7630999999999998E-2</v>
      </c>
      <c r="F563">
        <v>26.574000000000002</v>
      </c>
      <c r="G563">
        <v>740.09</v>
      </c>
      <c r="H563">
        <v>1.6319999999999999</v>
      </c>
    </row>
    <row r="564" spans="2:8" x14ac:dyDescent="0.25">
      <c r="B564">
        <v>1.6357999999999999</v>
      </c>
      <c r="C564">
        <v>240</v>
      </c>
      <c r="D564">
        <v>16.399999999999999</v>
      </c>
      <c r="E564">
        <v>3.7358000000000002E-2</v>
      </c>
      <c r="F564">
        <v>26.768000000000001</v>
      </c>
      <c r="G564">
        <v>742.8</v>
      </c>
      <c r="H564">
        <v>1.6357999999999999</v>
      </c>
    </row>
    <row r="565" spans="2:8" x14ac:dyDescent="0.25">
      <c r="B565">
        <v>1.6396999999999999</v>
      </c>
      <c r="C565">
        <v>245</v>
      </c>
      <c r="D565">
        <v>16.399999999999999</v>
      </c>
      <c r="E565">
        <v>3.7088000000000003E-2</v>
      </c>
      <c r="F565">
        <v>26.963000000000001</v>
      </c>
      <c r="G565">
        <v>745.51</v>
      </c>
      <c r="H565">
        <v>1.6396999999999999</v>
      </c>
    </row>
    <row r="566" spans="2:8" x14ac:dyDescent="0.25">
      <c r="B566">
        <v>1.6435999999999999</v>
      </c>
      <c r="C566">
        <v>250</v>
      </c>
      <c r="D566">
        <v>16.399999999999999</v>
      </c>
      <c r="E566">
        <v>3.6823000000000002E-2</v>
      </c>
      <c r="F566">
        <v>27.157</v>
      </c>
      <c r="G566">
        <v>748.23</v>
      </c>
      <c r="H566">
        <v>1.6435999999999999</v>
      </c>
    </row>
    <row r="567" spans="2:8" x14ac:dyDescent="0.25">
      <c r="B567">
        <v>1.6474</v>
      </c>
      <c r="C567">
        <v>255</v>
      </c>
      <c r="D567">
        <v>16.399999999999999</v>
      </c>
      <c r="E567">
        <v>3.6561999999999997E-2</v>
      </c>
      <c r="F567">
        <v>27.350999999999999</v>
      </c>
      <c r="G567">
        <v>750.95</v>
      </c>
      <c r="H567">
        <v>1.6474</v>
      </c>
    </row>
    <row r="568" spans="2:8" x14ac:dyDescent="0.25">
      <c r="B568">
        <v>1.6512</v>
      </c>
      <c r="C568">
        <v>260</v>
      </c>
      <c r="D568">
        <v>16.399999999999999</v>
      </c>
      <c r="E568">
        <v>3.6304000000000003E-2</v>
      </c>
      <c r="F568">
        <v>27.545000000000002</v>
      </c>
      <c r="G568">
        <v>753.68</v>
      </c>
      <c r="H568">
        <v>1.6512</v>
      </c>
    </row>
    <row r="569" spans="2:8" x14ac:dyDescent="0.25">
      <c r="B569">
        <v>1.655</v>
      </c>
      <c r="C569">
        <v>265</v>
      </c>
      <c r="D569">
        <v>16.399999999999999</v>
      </c>
      <c r="E569">
        <v>3.6049999999999999E-2</v>
      </c>
      <c r="F569">
        <v>27.739000000000001</v>
      </c>
      <c r="G569">
        <v>756.41</v>
      </c>
      <c r="H569">
        <v>1.655</v>
      </c>
    </row>
    <row r="570" spans="2:8" x14ac:dyDescent="0.25">
      <c r="B570">
        <v>1.6587000000000001</v>
      </c>
      <c r="C570">
        <v>270</v>
      </c>
      <c r="D570">
        <v>16.399999999999999</v>
      </c>
      <c r="E570">
        <v>3.5799999999999998E-2</v>
      </c>
      <c r="F570">
        <v>27.933</v>
      </c>
      <c r="G570">
        <v>759.15</v>
      </c>
      <c r="H570">
        <v>1.6587000000000001</v>
      </c>
    </row>
    <row r="571" spans="2:8" x14ac:dyDescent="0.25">
      <c r="B571">
        <v>1.6625000000000001</v>
      </c>
      <c r="C571">
        <v>275</v>
      </c>
      <c r="D571">
        <v>16.399999999999999</v>
      </c>
      <c r="E571">
        <v>3.5553000000000001E-2</v>
      </c>
      <c r="F571">
        <v>28.126999999999999</v>
      </c>
      <c r="G571">
        <v>761.89</v>
      </c>
      <c r="H571">
        <v>1.6625000000000001</v>
      </c>
    </row>
    <row r="572" spans="2:8" x14ac:dyDescent="0.25">
      <c r="B572">
        <v>1.6661999999999999</v>
      </c>
      <c r="C572">
        <v>280</v>
      </c>
      <c r="D572">
        <v>16.399999999999999</v>
      </c>
      <c r="E572">
        <v>3.5309E-2</v>
      </c>
      <c r="F572">
        <v>28.321000000000002</v>
      </c>
      <c r="G572">
        <v>764.64</v>
      </c>
      <c r="H572">
        <v>1.6661999999999999</v>
      </c>
    </row>
    <row r="573" spans="2:8" x14ac:dyDescent="0.25">
      <c r="B573">
        <v>1.6698999999999999</v>
      </c>
      <c r="C573">
        <v>285</v>
      </c>
      <c r="D573">
        <v>16.399999999999999</v>
      </c>
      <c r="E573">
        <v>3.5069000000000003E-2</v>
      </c>
      <c r="F573">
        <v>28.515000000000001</v>
      </c>
      <c r="G573">
        <v>767.4</v>
      </c>
      <c r="H573">
        <v>1.6698999999999999</v>
      </c>
    </row>
    <row r="574" spans="2:8" x14ac:dyDescent="0.25">
      <c r="B574">
        <v>1.6736</v>
      </c>
      <c r="C574">
        <v>290</v>
      </c>
      <c r="D574">
        <v>16.399999999999999</v>
      </c>
      <c r="E574">
        <v>3.4832000000000002E-2</v>
      </c>
      <c r="F574">
        <v>28.709</v>
      </c>
      <c r="G574">
        <v>770.17</v>
      </c>
      <c r="H574">
        <v>1.6736</v>
      </c>
    </row>
    <row r="575" spans="2:8" x14ac:dyDescent="0.25">
      <c r="B575">
        <v>1.6773</v>
      </c>
      <c r="C575">
        <v>295</v>
      </c>
      <c r="D575">
        <v>16.399999999999999</v>
      </c>
      <c r="E575">
        <v>3.4598999999999998E-2</v>
      </c>
      <c r="F575">
        <v>28.902999999999999</v>
      </c>
      <c r="G575">
        <v>772.94</v>
      </c>
      <c r="H575">
        <v>1.6773</v>
      </c>
    </row>
    <row r="576" spans="2:8" x14ac:dyDescent="0.25">
      <c r="B576">
        <v>1.681</v>
      </c>
      <c r="C576">
        <v>300</v>
      </c>
      <c r="D576">
        <v>16.399999999999999</v>
      </c>
      <c r="E576">
        <v>3.4368999999999997E-2</v>
      </c>
      <c r="F576">
        <v>29.096</v>
      </c>
      <c r="G576">
        <v>775.71</v>
      </c>
      <c r="H576">
        <v>1.681</v>
      </c>
    </row>
    <row r="578" spans="1:8" x14ac:dyDescent="0.25">
      <c r="A578">
        <v>17.3</v>
      </c>
      <c r="B578">
        <v>-2.5382999999999999E-2</v>
      </c>
      <c r="C578">
        <v>-50</v>
      </c>
      <c r="D578">
        <v>17.3</v>
      </c>
      <c r="E578">
        <v>43.503</v>
      </c>
      <c r="F578">
        <v>2.2987E-2</v>
      </c>
      <c r="G578">
        <v>-10.496</v>
      </c>
      <c r="H578">
        <v>-2.5382999999999999E-2</v>
      </c>
    </row>
    <row r="579" spans="1:8" x14ac:dyDescent="0.25">
      <c r="B579">
        <v>-1.2651000000000001E-2</v>
      </c>
      <c r="C579">
        <v>-45</v>
      </c>
      <c r="D579">
        <v>17.3</v>
      </c>
      <c r="E579">
        <v>43.295999999999999</v>
      </c>
      <c r="F579">
        <v>2.3096999999999999E-2</v>
      </c>
      <c r="G579">
        <v>-5.2480000000000002</v>
      </c>
      <c r="H579">
        <v>-1.2651000000000001E-2</v>
      </c>
    </row>
    <row r="580" spans="1:8" x14ac:dyDescent="0.25">
      <c r="B580">
        <v>-2.9003999999999999E-5</v>
      </c>
      <c r="C580">
        <v>-40</v>
      </c>
      <c r="D580">
        <v>17.3</v>
      </c>
      <c r="E580">
        <v>43.085999999999999</v>
      </c>
      <c r="F580">
        <v>2.3209E-2</v>
      </c>
      <c r="G580">
        <v>1.7491E-2</v>
      </c>
      <c r="H580">
        <v>-2.9003999999999999E-5</v>
      </c>
    </row>
    <row r="581" spans="1:8" x14ac:dyDescent="0.25">
      <c r="B581">
        <v>1.2485E-2</v>
      </c>
      <c r="C581">
        <v>-35</v>
      </c>
      <c r="D581">
        <v>17.3</v>
      </c>
      <c r="E581">
        <v>42.874000000000002</v>
      </c>
      <c r="F581">
        <v>2.3324000000000001E-2</v>
      </c>
      <c r="G581">
        <v>5.3003999999999998</v>
      </c>
      <c r="H581">
        <v>1.2485E-2</v>
      </c>
    </row>
    <row r="582" spans="1:8" x14ac:dyDescent="0.25">
      <c r="B582">
        <v>2.4892000000000001E-2</v>
      </c>
      <c r="C582">
        <v>-30</v>
      </c>
      <c r="D582">
        <v>17.3</v>
      </c>
      <c r="E582">
        <v>42.661000000000001</v>
      </c>
      <c r="F582">
        <v>2.3441E-2</v>
      </c>
      <c r="G582">
        <v>10.6</v>
      </c>
      <c r="H582">
        <v>2.4892000000000001E-2</v>
      </c>
    </row>
    <row r="583" spans="1:8" x14ac:dyDescent="0.25">
      <c r="B583">
        <v>3.7194999999999999E-2</v>
      </c>
      <c r="C583">
        <v>-25</v>
      </c>
      <c r="D583">
        <v>17.3</v>
      </c>
      <c r="E583">
        <v>42.445999999999998</v>
      </c>
      <c r="F583">
        <v>2.3560000000000001E-2</v>
      </c>
      <c r="G583">
        <v>15.917</v>
      </c>
      <c r="H583">
        <v>3.7194999999999999E-2</v>
      </c>
    </row>
    <row r="584" spans="1:8" x14ac:dyDescent="0.25">
      <c r="B584">
        <v>1.3837999999999999</v>
      </c>
      <c r="C584">
        <v>-20</v>
      </c>
      <c r="D584">
        <v>17.3</v>
      </c>
      <c r="E584">
        <v>6.4340999999999995E-2</v>
      </c>
      <c r="F584">
        <v>15.542</v>
      </c>
      <c r="G584">
        <v>605.19000000000005</v>
      </c>
      <c r="H584">
        <v>1.3837999999999999</v>
      </c>
    </row>
    <row r="585" spans="1:8" x14ac:dyDescent="0.25">
      <c r="B585">
        <v>1.39</v>
      </c>
      <c r="C585">
        <v>-15</v>
      </c>
      <c r="D585">
        <v>17.3</v>
      </c>
      <c r="E585">
        <v>6.3518000000000005E-2</v>
      </c>
      <c r="F585">
        <v>15.744</v>
      </c>
      <c r="G585">
        <v>607.95000000000005</v>
      </c>
      <c r="H585">
        <v>1.39</v>
      </c>
    </row>
    <row r="586" spans="1:8" x14ac:dyDescent="0.25">
      <c r="B586">
        <v>1.3960999999999999</v>
      </c>
      <c r="C586">
        <v>-10</v>
      </c>
      <c r="D586">
        <v>17.3</v>
      </c>
      <c r="E586">
        <v>6.2719999999999998E-2</v>
      </c>
      <c r="F586">
        <v>15.944000000000001</v>
      </c>
      <c r="G586">
        <v>610.69000000000005</v>
      </c>
      <c r="H586">
        <v>1.3960999999999999</v>
      </c>
    </row>
    <row r="587" spans="1:8" x14ac:dyDescent="0.25">
      <c r="B587">
        <v>1.4020999999999999</v>
      </c>
      <c r="C587">
        <v>-5</v>
      </c>
      <c r="D587">
        <v>17.3</v>
      </c>
      <c r="E587">
        <v>6.1947000000000002E-2</v>
      </c>
      <c r="F587">
        <v>16.143000000000001</v>
      </c>
      <c r="G587">
        <v>613.41</v>
      </c>
      <c r="H587">
        <v>1.4020999999999999</v>
      </c>
    </row>
    <row r="588" spans="1:8" x14ac:dyDescent="0.25">
      <c r="B588">
        <v>1.4079999999999999</v>
      </c>
      <c r="C588">
        <v>0</v>
      </c>
      <c r="D588">
        <v>17.3</v>
      </c>
      <c r="E588">
        <v>6.1196E-2</v>
      </c>
      <c r="F588">
        <v>16.341000000000001</v>
      </c>
      <c r="G588">
        <v>616.11</v>
      </c>
      <c r="H588">
        <v>1.4079999999999999</v>
      </c>
    </row>
    <row r="589" spans="1:8" x14ac:dyDescent="0.25">
      <c r="B589">
        <v>1.4138999999999999</v>
      </c>
      <c r="C589">
        <v>5</v>
      </c>
      <c r="D589">
        <v>17.3</v>
      </c>
      <c r="E589">
        <v>6.0467E-2</v>
      </c>
      <c r="F589">
        <v>16.538</v>
      </c>
      <c r="G589">
        <v>618.79999999999995</v>
      </c>
      <c r="H589">
        <v>1.4138999999999999</v>
      </c>
    </row>
    <row r="590" spans="1:8" x14ac:dyDescent="0.25">
      <c r="B590">
        <v>1.4196</v>
      </c>
      <c r="C590">
        <v>10</v>
      </c>
      <c r="D590">
        <v>17.3</v>
      </c>
      <c r="E590">
        <v>5.9757999999999999E-2</v>
      </c>
      <c r="F590">
        <v>16.734000000000002</v>
      </c>
      <c r="G590">
        <v>621.48</v>
      </c>
      <c r="H590">
        <v>1.4196</v>
      </c>
    </row>
    <row r="591" spans="1:8" x14ac:dyDescent="0.25">
      <c r="B591">
        <v>1.4252</v>
      </c>
      <c r="C591">
        <v>15</v>
      </c>
      <c r="D591">
        <v>17.3</v>
      </c>
      <c r="E591">
        <v>5.9068000000000002E-2</v>
      </c>
      <c r="F591">
        <v>16.93</v>
      </c>
      <c r="G591">
        <v>624.14</v>
      </c>
      <c r="H591">
        <v>1.4252</v>
      </c>
    </row>
    <row r="592" spans="1:8" x14ac:dyDescent="0.25">
      <c r="B592">
        <v>1.4308000000000001</v>
      </c>
      <c r="C592">
        <v>20</v>
      </c>
      <c r="D592">
        <v>17.3</v>
      </c>
      <c r="E592">
        <v>5.8396999999999998E-2</v>
      </c>
      <c r="F592">
        <v>17.123999999999999</v>
      </c>
      <c r="G592">
        <v>626.79999999999995</v>
      </c>
      <c r="H592">
        <v>1.4308000000000001</v>
      </c>
    </row>
    <row r="593" spans="2:8" x14ac:dyDescent="0.25">
      <c r="B593">
        <v>1.4362999999999999</v>
      </c>
      <c r="C593">
        <v>25</v>
      </c>
      <c r="D593">
        <v>17.3</v>
      </c>
      <c r="E593">
        <v>5.7743000000000003E-2</v>
      </c>
      <c r="F593">
        <v>17.318000000000001</v>
      </c>
      <c r="G593">
        <v>629.44000000000005</v>
      </c>
      <c r="H593">
        <v>1.4362999999999999</v>
      </c>
    </row>
    <row r="594" spans="2:8" x14ac:dyDescent="0.25">
      <c r="B594">
        <v>1.4417</v>
      </c>
      <c r="C594">
        <v>30</v>
      </c>
      <c r="D594">
        <v>17.3</v>
      </c>
      <c r="E594">
        <v>5.7105000000000003E-2</v>
      </c>
      <c r="F594">
        <v>17.512</v>
      </c>
      <c r="G594">
        <v>632.08000000000004</v>
      </c>
      <c r="H594">
        <v>1.4417</v>
      </c>
    </row>
    <row r="595" spans="2:8" x14ac:dyDescent="0.25">
      <c r="B595">
        <v>1.4470000000000001</v>
      </c>
      <c r="C595">
        <v>35</v>
      </c>
      <c r="D595">
        <v>17.3</v>
      </c>
      <c r="E595">
        <v>5.6482999999999998E-2</v>
      </c>
      <c r="F595">
        <v>17.704000000000001</v>
      </c>
      <c r="G595">
        <v>634.71</v>
      </c>
      <c r="H595">
        <v>1.4470000000000001</v>
      </c>
    </row>
    <row r="596" spans="2:8" x14ac:dyDescent="0.25">
      <c r="B596">
        <v>1.4522999999999999</v>
      </c>
      <c r="C596">
        <v>40</v>
      </c>
      <c r="D596">
        <v>17.3</v>
      </c>
      <c r="E596">
        <v>5.5877000000000003E-2</v>
      </c>
      <c r="F596">
        <v>17.896999999999998</v>
      </c>
      <c r="G596">
        <v>637.34</v>
      </c>
      <c r="H596">
        <v>1.4522999999999999</v>
      </c>
    </row>
    <row r="597" spans="2:8" x14ac:dyDescent="0.25">
      <c r="B597">
        <v>1.4575</v>
      </c>
      <c r="C597">
        <v>45</v>
      </c>
      <c r="D597">
        <v>17.3</v>
      </c>
      <c r="E597">
        <v>5.5285000000000001E-2</v>
      </c>
      <c r="F597">
        <v>18.088000000000001</v>
      </c>
      <c r="G597">
        <v>639.96</v>
      </c>
      <c r="H597">
        <v>1.4575</v>
      </c>
    </row>
    <row r="598" spans="2:8" x14ac:dyDescent="0.25">
      <c r="B598">
        <v>1.4626999999999999</v>
      </c>
      <c r="C598">
        <v>50</v>
      </c>
      <c r="D598">
        <v>17.3</v>
      </c>
      <c r="E598">
        <v>5.4705999999999998E-2</v>
      </c>
      <c r="F598">
        <v>18.279</v>
      </c>
      <c r="G598">
        <v>642.57000000000005</v>
      </c>
      <c r="H598">
        <v>1.4626999999999999</v>
      </c>
    </row>
    <row r="599" spans="2:8" x14ac:dyDescent="0.25">
      <c r="B599">
        <v>1.4678</v>
      </c>
      <c r="C599">
        <v>55</v>
      </c>
      <c r="D599">
        <v>17.3</v>
      </c>
      <c r="E599">
        <v>5.4141000000000002E-2</v>
      </c>
      <c r="F599">
        <v>18.47</v>
      </c>
      <c r="G599">
        <v>645.19000000000005</v>
      </c>
      <c r="H599">
        <v>1.4678</v>
      </c>
    </row>
    <row r="600" spans="2:8" x14ac:dyDescent="0.25">
      <c r="B600">
        <v>1.4728000000000001</v>
      </c>
      <c r="C600">
        <v>60</v>
      </c>
      <c r="D600">
        <v>17.3</v>
      </c>
      <c r="E600">
        <v>5.3588999999999998E-2</v>
      </c>
      <c r="F600">
        <v>18.66</v>
      </c>
      <c r="G600">
        <v>647.79</v>
      </c>
      <c r="H600">
        <v>1.4728000000000001</v>
      </c>
    </row>
    <row r="601" spans="2:8" x14ac:dyDescent="0.25">
      <c r="B601">
        <v>1.4778</v>
      </c>
      <c r="C601">
        <v>65</v>
      </c>
      <c r="D601">
        <v>17.3</v>
      </c>
      <c r="E601">
        <v>5.3048999999999999E-2</v>
      </c>
      <c r="F601">
        <v>18.850000000000001</v>
      </c>
      <c r="G601">
        <v>650.4</v>
      </c>
      <c r="H601">
        <v>1.4778</v>
      </c>
    </row>
    <row r="602" spans="2:8" x14ac:dyDescent="0.25">
      <c r="B602">
        <v>1.4827999999999999</v>
      </c>
      <c r="C602">
        <v>70</v>
      </c>
      <c r="D602">
        <v>17.3</v>
      </c>
      <c r="E602">
        <v>5.2520999999999998E-2</v>
      </c>
      <c r="F602">
        <v>19.04</v>
      </c>
      <c r="G602">
        <v>653</v>
      </c>
      <c r="H602">
        <v>1.4827999999999999</v>
      </c>
    </row>
    <row r="603" spans="2:8" x14ac:dyDescent="0.25">
      <c r="B603">
        <v>1.4877</v>
      </c>
      <c r="C603">
        <v>75</v>
      </c>
      <c r="D603">
        <v>17.3</v>
      </c>
      <c r="E603">
        <v>5.2004000000000002E-2</v>
      </c>
      <c r="F603">
        <v>19.228999999999999</v>
      </c>
      <c r="G603">
        <v>655.61</v>
      </c>
      <c r="H603">
        <v>1.4877</v>
      </c>
    </row>
    <row r="604" spans="2:8" x14ac:dyDescent="0.25">
      <c r="B604">
        <v>1.4924999999999999</v>
      </c>
      <c r="C604">
        <v>80</v>
      </c>
      <c r="D604">
        <v>17.3</v>
      </c>
      <c r="E604">
        <v>5.1498000000000002E-2</v>
      </c>
      <c r="F604">
        <v>19.417999999999999</v>
      </c>
      <c r="G604">
        <v>658.21</v>
      </c>
      <c r="H604">
        <v>1.4924999999999999</v>
      </c>
    </row>
    <row r="605" spans="2:8" x14ac:dyDescent="0.25">
      <c r="B605">
        <v>1.4973000000000001</v>
      </c>
      <c r="C605">
        <v>85</v>
      </c>
      <c r="D605">
        <v>17.3</v>
      </c>
      <c r="E605">
        <v>5.1001999999999999E-2</v>
      </c>
      <c r="F605">
        <v>19.606999999999999</v>
      </c>
      <c r="G605">
        <v>660.81</v>
      </c>
      <c r="H605">
        <v>1.4973000000000001</v>
      </c>
    </row>
    <row r="606" spans="2:8" x14ac:dyDescent="0.25">
      <c r="B606">
        <v>1.5021</v>
      </c>
      <c r="C606">
        <v>90</v>
      </c>
      <c r="D606">
        <v>17.3</v>
      </c>
      <c r="E606">
        <v>5.0516999999999999E-2</v>
      </c>
      <c r="F606">
        <v>19.795000000000002</v>
      </c>
      <c r="G606">
        <v>663.41</v>
      </c>
      <c r="H606">
        <v>1.5021</v>
      </c>
    </row>
    <row r="607" spans="2:8" x14ac:dyDescent="0.25">
      <c r="B607">
        <v>1.5067999999999999</v>
      </c>
      <c r="C607">
        <v>95</v>
      </c>
      <c r="D607">
        <v>17.3</v>
      </c>
      <c r="E607">
        <v>5.0041000000000002E-2</v>
      </c>
      <c r="F607">
        <v>19.983000000000001</v>
      </c>
      <c r="G607">
        <v>666.02</v>
      </c>
      <c r="H607">
        <v>1.5067999999999999</v>
      </c>
    </row>
    <row r="608" spans="2:8" x14ac:dyDescent="0.25">
      <c r="B608">
        <v>1.5114000000000001</v>
      </c>
      <c r="C608">
        <v>100</v>
      </c>
      <c r="D608">
        <v>17.3</v>
      </c>
      <c r="E608">
        <v>4.9575000000000001E-2</v>
      </c>
      <c r="F608">
        <v>20.170999999999999</v>
      </c>
      <c r="G608">
        <v>668.62</v>
      </c>
      <c r="H608">
        <v>1.5114000000000001</v>
      </c>
    </row>
    <row r="609" spans="2:8" x14ac:dyDescent="0.25">
      <c r="B609">
        <v>1.5161</v>
      </c>
      <c r="C609">
        <v>105</v>
      </c>
      <c r="D609">
        <v>17.3</v>
      </c>
      <c r="E609">
        <v>4.9118000000000002E-2</v>
      </c>
      <c r="F609">
        <v>20.359000000000002</v>
      </c>
      <c r="G609">
        <v>671.22</v>
      </c>
      <c r="H609">
        <v>1.5161</v>
      </c>
    </row>
    <row r="610" spans="2:8" x14ac:dyDescent="0.25">
      <c r="B610">
        <v>1.5206999999999999</v>
      </c>
      <c r="C610">
        <v>110</v>
      </c>
      <c r="D610">
        <v>17.3</v>
      </c>
      <c r="E610">
        <v>4.8669999999999998E-2</v>
      </c>
      <c r="F610">
        <v>20.545999999999999</v>
      </c>
      <c r="G610">
        <v>673.83</v>
      </c>
      <c r="H610">
        <v>1.5206999999999999</v>
      </c>
    </row>
    <row r="611" spans="2:8" x14ac:dyDescent="0.25">
      <c r="B611">
        <v>1.5251999999999999</v>
      </c>
      <c r="C611">
        <v>115</v>
      </c>
      <c r="D611">
        <v>17.3</v>
      </c>
      <c r="E611">
        <v>4.8231000000000003E-2</v>
      </c>
      <c r="F611">
        <v>20.734000000000002</v>
      </c>
      <c r="G611">
        <v>676.44</v>
      </c>
      <c r="H611">
        <v>1.5251999999999999</v>
      </c>
    </row>
    <row r="612" spans="2:8" x14ac:dyDescent="0.25">
      <c r="B612">
        <v>1.5298</v>
      </c>
      <c r="C612">
        <v>120</v>
      </c>
      <c r="D612">
        <v>17.3</v>
      </c>
      <c r="E612">
        <v>4.7800000000000002E-2</v>
      </c>
      <c r="F612">
        <v>20.920999999999999</v>
      </c>
      <c r="G612">
        <v>679.05</v>
      </c>
      <c r="H612">
        <v>1.5298</v>
      </c>
    </row>
    <row r="613" spans="2:8" x14ac:dyDescent="0.25">
      <c r="B613">
        <v>1.5342</v>
      </c>
      <c r="C613">
        <v>125</v>
      </c>
      <c r="D613">
        <v>17.3</v>
      </c>
      <c r="E613">
        <v>4.7377000000000002E-2</v>
      </c>
      <c r="F613">
        <v>21.106999999999999</v>
      </c>
      <c r="G613">
        <v>681.66</v>
      </c>
      <c r="H613">
        <v>1.5342</v>
      </c>
    </row>
    <row r="614" spans="2:8" x14ac:dyDescent="0.25">
      <c r="B614">
        <v>1.5387</v>
      </c>
      <c r="C614">
        <v>130</v>
      </c>
      <c r="D614">
        <v>17.3</v>
      </c>
      <c r="E614">
        <v>4.6961000000000003E-2</v>
      </c>
      <c r="F614">
        <v>21.294</v>
      </c>
      <c r="G614">
        <v>684.27</v>
      </c>
      <c r="H614">
        <v>1.5387</v>
      </c>
    </row>
    <row r="615" spans="2:8" x14ac:dyDescent="0.25">
      <c r="B615">
        <v>1.5430999999999999</v>
      </c>
      <c r="C615">
        <v>135</v>
      </c>
      <c r="D615">
        <v>17.3</v>
      </c>
      <c r="E615">
        <v>4.6553999999999998E-2</v>
      </c>
      <c r="F615">
        <v>21.481000000000002</v>
      </c>
      <c r="G615">
        <v>686.89</v>
      </c>
      <c r="H615">
        <v>1.5430999999999999</v>
      </c>
    </row>
    <row r="616" spans="2:8" x14ac:dyDescent="0.25">
      <c r="B616">
        <v>1.5475000000000001</v>
      </c>
      <c r="C616">
        <v>140</v>
      </c>
      <c r="D616">
        <v>17.3</v>
      </c>
      <c r="E616">
        <v>4.6153E-2</v>
      </c>
      <c r="F616">
        <v>21.667000000000002</v>
      </c>
      <c r="G616">
        <v>689.51</v>
      </c>
      <c r="H616">
        <v>1.5475000000000001</v>
      </c>
    </row>
    <row r="617" spans="2:8" x14ac:dyDescent="0.25">
      <c r="B617">
        <v>1.5518000000000001</v>
      </c>
      <c r="C617">
        <v>145</v>
      </c>
      <c r="D617">
        <v>17.3</v>
      </c>
      <c r="E617">
        <v>4.5760000000000002E-2</v>
      </c>
      <c r="F617">
        <v>21.853000000000002</v>
      </c>
      <c r="G617">
        <v>692.13</v>
      </c>
      <c r="H617">
        <v>1.5518000000000001</v>
      </c>
    </row>
    <row r="618" spans="2:8" x14ac:dyDescent="0.25">
      <c r="B618">
        <v>1.5562</v>
      </c>
      <c r="C618">
        <v>150</v>
      </c>
      <c r="D618">
        <v>17.3</v>
      </c>
      <c r="E618">
        <v>4.5373999999999998E-2</v>
      </c>
      <c r="F618">
        <v>22.039000000000001</v>
      </c>
      <c r="G618">
        <v>694.75</v>
      </c>
      <c r="H618">
        <v>1.5562</v>
      </c>
    </row>
    <row r="619" spans="2:8" x14ac:dyDescent="0.25">
      <c r="B619">
        <v>1.5605</v>
      </c>
      <c r="C619">
        <v>155</v>
      </c>
      <c r="D619">
        <v>17.3</v>
      </c>
      <c r="E619">
        <v>4.4993999999999999E-2</v>
      </c>
      <c r="F619">
        <v>22.225000000000001</v>
      </c>
      <c r="G619">
        <v>697.38</v>
      </c>
      <c r="H619">
        <v>1.5605</v>
      </c>
    </row>
    <row r="620" spans="2:8" x14ac:dyDescent="0.25">
      <c r="B620">
        <v>1.5647</v>
      </c>
      <c r="C620">
        <v>160</v>
      </c>
      <c r="D620">
        <v>17.3</v>
      </c>
      <c r="E620">
        <v>4.4621000000000001E-2</v>
      </c>
      <c r="F620">
        <v>22.411000000000001</v>
      </c>
      <c r="G620">
        <v>700.01</v>
      </c>
      <c r="H620">
        <v>1.5647</v>
      </c>
    </row>
    <row r="621" spans="2:8" x14ac:dyDescent="0.25">
      <c r="B621">
        <v>1.569</v>
      </c>
      <c r="C621">
        <v>165</v>
      </c>
      <c r="D621">
        <v>17.3</v>
      </c>
      <c r="E621">
        <v>4.4255000000000003E-2</v>
      </c>
      <c r="F621">
        <v>22.596</v>
      </c>
      <c r="G621">
        <v>702.65</v>
      </c>
      <c r="H621">
        <v>1.569</v>
      </c>
    </row>
    <row r="622" spans="2:8" x14ac:dyDescent="0.25">
      <c r="B622">
        <v>1.5731999999999999</v>
      </c>
      <c r="C622">
        <v>170</v>
      </c>
      <c r="D622">
        <v>17.3</v>
      </c>
      <c r="E622">
        <v>4.3894000000000002E-2</v>
      </c>
      <c r="F622">
        <v>22.782</v>
      </c>
      <c r="G622">
        <v>705.29</v>
      </c>
      <c r="H622">
        <v>1.5731999999999999</v>
      </c>
    </row>
    <row r="623" spans="2:8" x14ac:dyDescent="0.25">
      <c r="B623">
        <v>1.5773999999999999</v>
      </c>
      <c r="C623">
        <v>175</v>
      </c>
      <c r="D623">
        <v>17.3</v>
      </c>
      <c r="E623">
        <v>4.3540000000000002E-2</v>
      </c>
      <c r="F623">
        <v>22.966999999999999</v>
      </c>
      <c r="G623">
        <v>707.93</v>
      </c>
      <c r="H623">
        <v>1.5773999999999999</v>
      </c>
    </row>
    <row r="624" spans="2:8" x14ac:dyDescent="0.25">
      <c r="B624">
        <v>1.5814999999999999</v>
      </c>
      <c r="C624">
        <v>180</v>
      </c>
      <c r="D624">
        <v>17.3</v>
      </c>
      <c r="E624">
        <v>4.3192000000000001E-2</v>
      </c>
      <c r="F624">
        <v>23.152999999999999</v>
      </c>
      <c r="G624">
        <v>710.58</v>
      </c>
      <c r="H624">
        <v>1.5814999999999999</v>
      </c>
    </row>
    <row r="625" spans="2:8" x14ac:dyDescent="0.25">
      <c r="B625">
        <v>1.5855999999999999</v>
      </c>
      <c r="C625">
        <v>185</v>
      </c>
      <c r="D625">
        <v>17.3</v>
      </c>
      <c r="E625">
        <v>4.2848999999999998E-2</v>
      </c>
      <c r="F625">
        <v>23.338000000000001</v>
      </c>
      <c r="G625">
        <v>713.24</v>
      </c>
      <c r="H625">
        <v>1.5855999999999999</v>
      </c>
    </row>
    <row r="626" spans="2:8" x14ac:dyDescent="0.25">
      <c r="B626">
        <v>1.5898000000000001</v>
      </c>
      <c r="C626">
        <v>190</v>
      </c>
      <c r="D626">
        <v>17.3</v>
      </c>
      <c r="E626">
        <v>4.2512000000000001E-2</v>
      </c>
      <c r="F626">
        <v>23.523</v>
      </c>
      <c r="G626">
        <v>715.89</v>
      </c>
      <c r="H626">
        <v>1.5898000000000001</v>
      </c>
    </row>
    <row r="627" spans="2:8" x14ac:dyDescent="0.25">
      <c r="B627">
        <v>1.5938000000000001</v>
      </c>
      <c r="C627">
        <v>195</v>
      </c>
      <c r="D627">
        <v>17.3</v>
      </c>
      <c r="E627">
        <v>4.2180000000000002E-2</v>
      </c>
      <c r="F627">
        <v>23.707999999999998</v>
      </c>
      <c r="G627">
        <v>718.55</v>
      </c>
      <c r="H627">
        <v>1.5938000000000001</v>
      </c>
    </row>
    <row r="628" spans="2:8" x14ac:dyDescent="0.25">
      <c r="B628">
        <v>1.5979000000000001</v>
      </c>
      <c r="C628">
        <v>200</v>
      </c>
      <c r="D628">
        <v>17.3</v>
      </c>
      <c r="E628">
        <v>4.1853000000000001E-2</v>
      </c>
      <c r="F628">
        <v>23.893000000000001</v>
      </c>
      <c r="G628">
        <v>721.22</v>
      </c>
      <c r="H628">
        <v>1.5979000000000001</v>
      </c>
    </row>
    <row r="629" spans="2:8" x14ac:dyDescent="0.25">
      <c r="B629">
        <v>1.6019000000000001</v>
      </c>
      <c r="C629">
        <v>205</v>
      </c>
      <c r="D629">
        <v>17.3</v>
      </c>
      <c r="E629">
        <v>4.1531999999999999E-2</v>
      </c>
      <c r="F629">
        <v>24.077999999999999</v>
      </c>
      <c r="G629">
        <v>723.89</v>
      </c>
      <c r="H629">
        <v>1.6019000000000001</v>
      </c>
    </row>
    <row r="630" spans="2:8" x14ac:dyDescent="0.25">
      <c r="B630">
        <v>1.6059000000000001</v>
      </c>
      <c r="C630">
        <v>210</v>
      </c>
      <c r="D630">
        <v>17.3</v>
      </c>
      <c r="E630">
        <v>4.1216000000000003E-2</v>
      </c>
      <c r="F630">
        <v>24.263000000000002</v>
      </c>
      <c r="G630">
        <v>726.57</v>
      </c>
      <c r="H630">
        <v>1.6059000000000001</v>
      </c>
    </row>
    <row r="631" spans="2:8" x14ac:dyDescent="0.25">
      <c r="B631">
        <v>1.6099000000000001</v>
      </c>
      <c r="C631">
        <v>215</v>
      </c>
      <c r="D631">
        <v>17.3</v>
      </c>
      <c r="E631">
        <v>4.0904000000000003E-2</v>
      </c>
      <c r="F631">
        <v>24.446999999999999</v>
      </c>
      <c r="G631">
        <v>729.25</v>
      </c>
      <c r="H631">
        <v>1.6099000000000001</v>
      </c>
    </row>
    <row r="632" spans="2:8" x14ac:dyDescent="0.25">
      <c r="B632">
        <v>1.6138999999999999</v>
      </c>
      <c r="C632">
        <v>220</v>
      </c>
      <c r="D632">
        <v>17.3</v>
      </c>
      <c r="E632">
        <v>4.0598000000000002E-2</v>
      </c>
      <c r="F632">
        <v>24.632000000000001</v>
      </c>
      <c r="G632">
        <v>731.93</v>
      </c>
      <c r="H632">
        <v>1.6138999999999999</v>
      </c>
    </row>
    <row r="633" spans="2:8" x14ac:dyDescent="0.25">
      <c r="B633">
        <v>1.6177999999999999</v>
      </c>
      <c r="C633">
        <v>225</v>
      </c>
      <c r="D633">
        <v>17.3</v>
      </c>
      <c r="E633">
        <v>4.0295999999999998E-2</v>
      </c>
      <c r="F633">
        <v>24.815999999999999</v>
      </c>
      <c r="G633">
        <v>734.62</v>
      </c>
      <c r="H633">
        <v>1.6177999999999999</v>
      </c>
    </row>
    <row r="634" spans="2:8" x14ac:dyDescent="0.25">
      <c r="B634">
        <v>1.6217999999999999</v>
      </c>
      <c r="C634">
        <v>230</v>
      </c>
      <c r="D634">
        <v>17.3</v>
      </c>
      <c r="E634">
        <v>3.9997999999999999E-2</v>
      </c>
      <c r="F634">
        <v>25.001000000000001</v>
      </c>
      <c r="G634">
        <v>737.32</v>
      </c>
      <c r="H634">
        <v>1.6217999999999999</v>
      </c>
    </row>
    <row r="635" spans="2:8" x14ac:dyDescent="0.25">
      <c r="B635">
        <v>1.6256999999999999</v>
      </c>
      <c r="C635">
        <v>235</v>
      </c>
      <c r="D635">
        <v>17.3</v>
      </c>
      <c r="E635">
        <v>3.9705999999999998E-2</v>
      </c>
      <c r="F635">
        <v>25.184999999999999</v>
      </c>
      <c r="G635">
        <v>740.02</v>
      </c>
      <c r="H635">
        <v>1.6256999999999999</v>
      </c>
    </row>
    <row r="636" spans="2:8" x14ac:dyDescent="0.25">
      <c r="B636">
        <v>1.6294999999999999</v>
      </c>
      <c r="C636">
        <v>240</v>
      </c>
      <c r="D636">
        <v>17.3</v>
      </c>
      <c r="E636">
        <v>3.9417000000000001E-2</v>
      </c>
      <c r="F636">
        <v>25.37</v>
      </c>
      <c r="G636">
        <v>742.73</v>
      </c>
      <c r="H636">
        <v>1.6294999999999999</v>
      </c>
    </row>
    <row r="637" spans="2:8" x14ac:dyDescent="0.25">
      <c r="B637">
        <v>1.6334</v>
      </c>
      <c r="C637">
        <v>245</v>
      </c>
      <c r="D637">
        <v>17.3</v>
      </c>
      <c r="E637">
        <v>3.9133000000000001E-2</v>
      </c>
      <c r="F637">
        <v>25.553999999999998</v>
      </c>
      <c r="G637">
        <v>745.44</v>
      </c>
      <c r="H637">
        <v>1.6334</v>
      </c>
    </row>
    <row r="638" spans="2:8" x14ac:dyDescent="0.25">
      <c r="B638">
        <v>1.6372</v>
      </c>
      <c r="C638">
        <v>250</v>
      </c>
      <c r="D638">
        <v>17.3</v>
      </c>
      <c r="E638">
        <v>3.8852999999999999E-2</v>
      </c>
      <c r="F638">
        <v>25.738</v>
      </c>
      <c r="G638">
        <v>748.16</v>
      </c>
      <c r="H638">
        <v>1.6372</v>
      </c>
    </row>
    <row r="639" spans="2:8" x14ac:dyDescent="0.25">
      <c r="B639">
        <v>1.6411</v>
      </c>
      <c r="C639">
        <v>255</v>
      </c>
      <c r="D639">
        <v>17.3</v>
      </c>
      <c r="E639">
        <v>3.8577E-2</v>
      </c>
      <c r="F639">
        <v>25.922000000000001</v>
      </c>
      <c r="G639">
        <v>750.88</v>
      </c>
      <c r="H639">
        <v>1.6411</v>
      </c>
    </row>
    <row r="640" spans="2:8" x14ac:dyDescent="0.25">
      <c r="B640">
        <v>1.6449</v>
      </c>
      <c r="C640">
        <v>260</v>
      </c>
      <c r="D640">
        <v>17.3</v>
      </c>
      <c r="E640">
        <v>3.8304999999999999E-2</v>
      </c>
      <c r="F640">
        <v>26.106999999999999</v>
      </c>
      <c r="G640">
        <v>753.61</v>
      </c>
      <c r="H640">
        <v>1.6449</v>
      </c>
    </row>
    <row r="641" spans="1:8" x14ac:dyDescent="0.25">
      <c r="B641">
        <v>1.6487000000000001</v>
      </c>
      <c r="C641">
        <v>265</v>
      </c>
      <c r="D641">
        <v>17.3</v>
      </c>
      <c r="E641">
        <v>3.8036E-2</v>
      </c>
      <c r="F641">
        <v>26.291</v>
      </c>
      <c r="G641">
        <v>756.34</v>
      </c>
      <c r="H641">
        <v>1.6487000000000001</v>
      </c>
    </row>
    <row r="642" spans="1:8" x14ac:dyDescent="0.25">
      <c r="B642">
        <v>1.6524000000000001</v>
      </c>
      <c r="C642">
        <v>270</v>
      </c>
      <c r="D642">
        <v>17.3</v>
      </c>
      <c r="E642">
        <v>3.7772E-2</v>
      </c>
      <c r="F642">
        <v>26.475000000000001</v>
      </c>
      <c r="G642">
        <v>759.09</v>
      </c>
      <c r="H642">
        <v>1.6524000000000001</v>
      </c>
    </row>
    <row r="643" spans="1:8" x14ac:dyDescent="0.25">
      <c r="B643">
        <v>1.6561999999999999</v>
      </c>
      <c r="C643">
        <v>275</v>
      </c>
      <c r="D643">
        <v>17.3</v>
      </c>
      <c r="E643">
        <v>3.7511000000000003E-2</v>
      </c>
      <c r="F643">
        <v>26.658999999999999</v>
      </c>
      <c r="G643">
        <v>761.83</v>
      </c>
      <c r="H643">
        <v>1.6561999999999999</v>
      </c>
    </row>
    <row r="644" spans="1:8" x14ac:dyDescent="0.25">
      <c r="B644">
        <v>1.6598999999999999</v>
      </c>
      <c r="C644">
        <v>280</v>
      </c>
      <c r="D644">
        <v>17.3</v>
      </c>
      <c r="E644">
        <v>3.7254000000000002E-2</v>
      </c>
      <c r="F644">
        <v>26.843</v>
      </c>
      <c r="G644">
        <v>764.58</v>
      </c>
      <c r="H644">
        <v>1.6598999999999999</v>
      </c>
    </row>
    <row r="645" spans="1:8" x14ac:dyDescent="0.25">
      <c r="B645">
        <v>1.6636</v>
      </c>
      <c r="C645">
        <v>285</v>
      </c>
      <c r="D645">
        <v>17.3</v>
      </c>
      <c r="E645">
        <v>3.7000999999999999E-2</v>
      </c>
      <c r="F645">
        <v>27.026</v>
      </c>
      <c r="G645">
        <v>767.34</v>
      </c>
      <c r="H645">
        <v>1.6636</v>
      </c>
    </row>
    <row r="646" spans="1:8" x14ac:dyDescent="0.25">
      <c r="B646">
        <v>1.6673</v>
      </c>
      <c r="C646">
        <v>290</v>
      </c>
      <c r="D646">
        <v>17.3</v>
      </c>
      <c r="E646">
        <v>3.6750999999999999E-2</v>
      </c>
      <c r="F646">
        <v>27.21</v>
      </c>
      <c r="G646">
        <v>770.11</v>
      </c>
      <c r="H646">
        <v>1.6673</v>
      </c>
    </row>
    <row r="647" spans="1:8" x14ac:dyDescent="0.25">
      <c r="B647">
        <v>1.671</v>
      </c>
      <c r="C647">
        <v>295</v>
      </c>
      <c r="D647">
        <v>17.3</v>
      </c>
      <c r="E647">
        <v>3.6504000000000002E-2</v>
      </c>
      <c r="F647">
        <v>27.393999999999998</v>
      </c>
      <c r="G647">
        <v>772.88</v>
      </c>
      <c r="H647">
        <v>1.671</v>
      </c>
    </row>
    <row r="648" spans="1:8" x14ac:dyDescent="0.25">
      <c r="B648">
        <v>1.6747000000000001</v>
      </c>
      <c r="C648">
        <v>300</v>
      </c>
      <c r="D648">
        <v>17.3</v>
      </c>
      <c r="E648">
        <v>3.6261000000000002E-2</v>
      </c>
      <c r="F648">
        <v>27.577999999999999</v>
      </c>
      <c r="G648">
        <v>775.65</v>
      </c>
      <c r="H648">
        <v>1.6747000000000001</v>
      </c>
    </row>
    <row r="650" spans="1:8" x14ac:dyDescent="0.25">
      <c r="A650">
        <v>18.2</v>
      </c>
      <c r="B650">
        <v>-2.5387E-2</v>
      </c>
      <c r="C650">
        <v>-50</v>
      </c>
      <c r="D650">
        <v>18.2</v>
      </c>
      <c r="E650">
        <v>43.503999999999998</v>
      </c>
      <c r="F650">
        <v>2.2987E-2</v>
      </c>
      <c r="G650">
        <v>-10.494</v>
      </c>
      <c r="H650">
        <v>-2.5387E-2</v>
      </c>
    </row>
    <row r="651" spans="1:8" x14ac:dyDescent="0.25">
      <c r="B651">
        <v>-1.2655E-2</v>
      </c>
      <c r="C651">
        <v>-45</v>
      </c>
      <c r="D651">
        <v>18.2</v>
      </c>
      <c r="E651">
        <v>43.295999999999999</v>
      </c>
      <c r="F651">
        <v>2.3096999999999999E-2</v>
      </c>
      <c r="G651">
        <v>-5.2457000000000003</v>
      </c>
      <c r="H651">
        <v>-1.2655E-2</v>
      </c>
    </row>
    <row r="652" spans="1:8" x14ac:dyDescent="0.25">
      <c r="B652">
        <v>-3.2786000000000001E-5</v>
      </c>
      <c r="C652">
        <v>-40</v>
      </c>
      <c r="D652">
        <v>18.2</v>
      </c>
      <c r="E652">
        <v>43.085999999999999</v>
      </c>
      <c r="F652">
        <v>2.3209E-2</v>
      </c>
      <c r="G652">
        <v>1.9772000000000001E-2</v>
      </c>
      <c r="H652">
        <v>-3.2786000000000001E-5</v>
      </c>
    </row>
    <row r="653" spans="1:8" x14ac:dyDescent="0.25">
      <c r="B653">
        <v>1.2481000000000001E-2</v>
      </c>
      <c r="C653">
        <v>-35</v>
      </c>
      <c r="D653">
        <v>18.2</v>
      </c>
      <c r="E653">
        <v>42.875</v>
      </c>
      <c r="F653">
        <v>2.3324000000000001E-2</v>
      </c>
      <c r="G653">
        <v>5.3026</v>
      </c>
      <c r="H653">
        <v>1.2481000000000001E-2</v>
      </c>
    </row>
    <row r="654" spans="1:8" x14ac:dyDescent="0.25">
      <c r="B654">
        <v>2.4888E-2</v>
      </c>
      <c r="C654">
        <v>-30</v>
      </c>
      <c r="D654">
        <v>18.2</v>
      </c>
      <c r="E654">
        <v>42.661000000000001</v>
      </c>
      <c r="F654">
        <v>2.3439999999999999E-2</v>
      </c>
      <c r="G654">
        <v>10.603</v>
      </c>
      <c r="H654">
        <v>2.4888E-2</v>
      </c>
    </row>
    <row r="655" spans="1:8" x14ac:dyDescent="0.25">
      <c r="B655">
        <v>3.7191000000000002E-2</v>
      </c>
      <c r="C655">
        <v>-25</v>
      </c>
      <c r="D655">
        <v>18.2</v>
      </c>
      <c r="E655">
        <v>42.445999999999998</v>
      </c>
      <c r="F655">
        <v>2.3559E-2</v>
      </c>
      <c r="G655">
        <v>15.919</v>
      </c>
      <c r="H655">
        <v>3.7191000000000002E-2</v>
      </c>
    </row>
    <row r="656" spans="1:8" x14ac:dyDescent="0.25">
      <c r="B656">
        <v>1.3772</v>
      </c>
      <c r="C656">
        <v>-20</v>
      </c>
      <c r="D656">
        <v>18.2</v>
      </c>
      <c r="E656">
        <v>6.7801E-2</v>
      </c>
      <c r="F656">
        <v>14.749000000000001</v>
      </c>
      <c r="G656">
        <v>604.82000000000005</v>
      </c>
      <c r="H656">
        <v>1.3772</v>
      </c>
    </row>
    <row r="657" spans="2:8" x14ac:dyDescent="0.25">
      <c r="B657">
        <v>1.3834</v>
      </c>
      <c r="C657">
        <v>-15</v>
      </c>
      <c r="D657">
        <v>18.2</v>
      </c>
      <c r="E657">
        <v>6.6927E-2</v>
      </c>
      <c r="F657">
        <v>14.942</v>
      </c>
      <c r="G657">
        <v>607.6</v>
      </c>
      <c r="H657">
        <v>1.3834</v>
      </c>
    </row>
    <row r="658" spans="2:8" x14ac:dyDescent="0.25">
      <c r="B658">
        <v>1.3895999999999999</v>
      </c>
      <c r="C658">
        <v>-10</v>
      </c>
      <c r="D658">
        <v>18.2</v>
      </c>
      <c r="E658">
        <v>6.6081000000000001E-2</v>
      </c>
      <c r="F658">
        <v>15.132999999999999</v>
      </c>
      <c r="G658">
        <v>610.36</v>
      </c>
      <c r="H658">
        <v>1.3895999999999999</v>
      </c>
    </row>
    <row r="659" spans="2:8" x14ac:dyDescent="0.25">
      <c r="B659">
        <v>1.3956999999999999</v>
      </c>
      <c r="C659">
        <v>-5</v>
      </c>
      <c r="D659">
        <v>18.2</v>
      </c>
      <c r="E659">
        <v>6.5261E-2</v>
      </c>
      <c r="F659">
        <v>15.323</v>
      </c>
      <c r="G659">
        <v>613.09</v>
      </c>
      <c r="H659">
        <v>1.3956999999999999</v>
      </c>
    </row>
    <row r="660" spans="2:8" x14ac:dyDescent="0.25">
      <c r="B660">
        <v>1.4016</v>
      </c>
      <c r="C660">
        <v>0</v>
      </c>
      <c r="D660">
        <v>18.2</v>
      </c>
      <c r="E660">
        <v>6.4464999999999995E-2</v>
      </c>
      <c r="F660">
        <v>15.512</v>
      </c>
      <c r="G660">
        <v>615.80999999999995</v>
      </c>
      <c r="H660">
        <v>1.4016</v>
      </c>
    </row>
    <row r="661" spans="2:8" x14ac:dyDescent="0.25">
      <c r="B661">
        <v>1.4075</v>
      </c>
      <c r="C661">
        <v>5</v>
      </c>
      <c r="D661">
        <v>18.2</v>
      </c>
      <c r="E661">
        <v>6.3693E-2</v>
      </c>
      <c r="F661">
        <v>15.7</v>
      </c>
      <c r="G661">
        <v>618.51</v>
      </c>
      <c r="H661">
        <v>1.4075</v>
      </c>
    </row>
    <row r="662" spans="2:8" x14ac:dyDescent="0.25">
      <c r="B662">
        <v>1.4132</v>
      </c>
      <c r="C662">
        <v>10</v>
      </c>
      <c r="D662">
        <v>18.2</v>
      </c>
      <c r="E662">
        <v>6.2941999999999998E-2</v>
      </c>
      <c r="F662">
        <v>15.888</v>
      </c>
      <c r="G662">
        <v>621.20000000000005</v>
      </c>
      <c r="H662">
        <v>1.4132</v>
      </c>
    </row>
    <row r="663" spans="2:8" x14ac:dyDescent="0.25">
      <c r="B663">
        <v>1.4189000000000001</v>
      </c>
      <c r="C663">
        <v>15</v>
      </c>
      <c r="D663">
        <v>18.2</v>
      </c>
      <c r="E663">
        <v>6.2212000000000003E-2</v>
      </c>
      <c r="F663">
        <v>16.074000000000002</v>
      </c>
      <c r="G663">
        <v>623.88</v>
      </c>
      <c r="H663">
        <v>1.4189000000000001</v>
      </c>
    </row>
    <row r="664" spans="2:8" x14ac:dyDescent="0.25">
      <c r="B664">
        <v>1.4245000000000001</v>
      </c>
      <c r="C664">
        <v>20</v>
      </c>
      <c r="D664">
        <v>18.2</v>
      </c>
      <c r="E664">
        <v>6.1501E-2</v>
      </c>
      <c r="F664">
        <v>16.260000000000002</v>
      </c>
      <c r="G664">
        <v>626.54999999999995</v>
      </c>
      <c r="H664">
        <v>1.4245000000000001</v>
      </c>
    </row>
    <row r="665" spans="2:8" x14ac:dyDescent="0.25">
      <c r="B665">
        <v>1.43</v>
      </c>
      <c r="C665">
        <v>25</v>
      </c>
      <c r="D665">
        <v>18.2</v>
      </c>
      <c r="E665">
        <v>6.0809000000000002E-2</v>
      </c>
      <c r="F665">
        <v>16.445</v>
      </c>
      <c r="G665">
        <v>629.20000000000005</v>
      </c>
      <c r="H665">
        <v>1.43</v>
      </c>
    </row>
    <row r="666" spans="2:8" x14ac:dyDescent="0.25">
      <c r="B666">
        <v>1.4354</v>
      </c>
      <c r="C666">
        <v>30</v>
      </c>
      <c r="D666">
        <v>18.2</v>
      </c>
      <c r="E666">
        <v>6.0135000000000001E-2</v>
      </c>
      <c r="F666">
        <v>16.629000000000001</v>
      </c>
      <c r="G666">
        <v>631.85</v>
      </c>
      <c r="H666">
        <v>1.4354</v>
      </c>
    </row>
    <row r="667" spans="2:8" x14ac:dyDescent="0.25">
      <c r="B667">
        <v>1.4408000000000001</v>
      </c>
      <c r="C667">
        <v>35</v>
      </c>
      <c r="D667">
        <v>18.2</v>
      </c>
      <c r="E667">
        <v>5.9478000000000003E-2</v>
      </c>
      <c r="F667">
        <v>16.812999999999999</v>
      </c>
      <c r="G667">
        <v>634.49</v>
      </c>
      <c r="H667">
        <v>1.4408000000000001</v>
      </c>
    </row>
    <row r="668" spans="2:8" x14ac:dyDescent="0.25">
      <c r="B668">
        <v>1.4460999999999999</v>
      </c>
      <c r="C668">
        <v>40</v>
      </c>
      <c r="D668">
        <v>18.2</v>
      </c>
      <c r="E668">
        <v>5.8837E-2</v>
      </c>
      <c r="F668">
        <v>16.995999999999999</v>
      </c>
      <c r="G668">
        <v>637.12</v>
      </c>
      <c r="H668">
        <v>1.4460999999999999</v>
      </c>
    </row>
    <row r="669" spans="2:8" x14ac:dyDescent="0.25">
      <c r="B669">
        <v>1.4513</v>
      </c>
      <c r="C669">
        <v>45</v>
      </c>
      <c r="D669">
        <v>18.2</v>
      </c>
      <c r="E669">
        <v>5.8210999999999999E-2</v>
      </c>
      <c r="F669">
        <v>17.178999999999998</v>
      </c>
      <c r="G669">
        <v>639.75</v>
      </c>
      <c r="H669">
        <v>1.4513</v>
      </c>
    </row>
    <row r="670" spans="2:8" x14ac:dyDescent="0.25">
      <c r="B670">
        <v>1.4564999999999999</v>
      </c>
      <c r="C670">
        <v>50</v>
      </c>
      <c r="D670">
        <v>18.2</v>
      </c>
      <c r="E670">
        <v>5.7599999999999998E-2</v>
      </c>
      <c r="F670">
        <v>17.361000000000001</v>
      </c>
      <c r="G670">
        <v>642.38</v>
      </c>
      <c r="H670">
        <v>1.4564999999999999</v>
      </c>
    </row>
    <row r="671" spans="2:8" x14ac:dyDescent="0.25">
      <c r="B671">
        <v>1.4616</v>
      </c>
      <c r="C671">
        <v>55</v>
      </c>
      <c r="D671">
        <v>18.2</v>
      </c>
      <c r="E671">
        <v>5.7002999999999998E-2</v>
      </c>
      <c r="F671">
        <v>17.542999999999999</v>
      </c>
      <c r="G671">
        <v>644.99</v>
      </c>
      <c r="H671">
        <v>1.4616</v>
      </c>
    </row>
    <row r="672" spans="2:8" x14ac:dyDescent="0.25">
      <c r="B672">
        <v>1.4666999999999999</v>
      </c>
      <c r="C672">
        <v>60</v>
      </c>
      <c r="D672">
        <v>18.2</v>
      </c>
      <c r="E672">
        <v>5.6419999999999998E-2</v>
      </c>
      <c r="F672">
        <v>17.724</v>
      </c>
      <c r="G672">
        <v>647.61</v>
      </c>
      <c r="H672">
        <v>1.4666999999999999</v>
      </c>
    </row>
    <row r="673" spans="2:8" x14ac:dyDescent="0.25">
      <c r="B673">
        <v>1.4717</v>
      </c>
      <c r="C673">
        <v>65</v>
      </c>
      <c r="D673">
        <v>18.2</v>
      </c>
      <c r="E673">
        <v>5.5849999999999997E-2</v>
      </c>
      <c r="F673">
        <v>17.905000000000001</v>
      </c>
      <c r="G673">
        <v>650.22</v>
      </c>
      <c r="H673">
        <v>1.4717</v>
      </c>
    </row>
    <row r="674" spans="2:8" x14ac:dyDescent="0.25">
      <c r="B674">
        <v>1.4765999999999999</v>
      </c>
      <c r="C674">
        <v>70</v>
      </c>
      <c r="D674">
        <v>18.2</v>
      </c>
      <c r="E674">
        <v>5.5292000000000001E-2</v>
      </c>
      <c r="F674">
        <v>18.085999999999999</v>
      </c>
      <c r="G674">
        <v>652.83000000000004</v>
      </c>
      <c r="H674">
        <v>1.4765999999999999</v>
      </c>
    </row>
    <row r="675" spans="2:8" x14ac:dyDescent="0.25">
      <c r="B675">
        <v>1.4815</v>
      </c>
      <c r="C675">
        <v>75</v>
      </c>
      <c r="D675">
        <v>18.2</v>
      </c>
      <c r="E675">
        <v>5.4746000000000003E-2</v>
      </c>
      <c r="F675">
        <v>18.265999999999998</v>
      </c>
      <c r="G675">
        <v>655.44</v>
      </c>
      <c r="H675">
        <v>1.4815</v>
      </c>
    </row>
    <row r="676" spans="2:8" x14ac:dyDescent="0.25">
      <c r="B676">
        <v>1.4863999999999999</v>
      </c>
      <c r="C676">
        <v>80</v>
      </c>
      <c r="D676">
        <v>18.2</v>
      </c>
      <c r="E676">
        <v>5.4212000000000003E-2</v>
      </c>
      <c r="F676">
        <v>18.446000000000002</v>
      </c>
      <c r="G676">
        <v>658.05</v>
      </c>
      <c r="H676">
        <v>1.4863999999999999</v>
      </c>
    </row>
    <row r="677" spans="2:8" x14ac:dyDescent="0.25">
      <c r="B677">
        <v>1.4912000000000001</v>
      </c>
      <c r="C677">
        <v>85</v>
      </c>
      <c r="D677">
        <v>18.2</v>
      </c>
      <c r="E677">
        <v>5.3689000000000001E-2</v>
      </c>
      <c r="F677">
        <v>18.626000000000001</v>
      </c>
      <c r="G677">
        <v>660.66</v>
      </c>
      <c r="H677">
        <v>1.4912000000000001</v>
      </c>
    </row>
    <row r="678" spans="2:8" x14ac:dyDescent="0.25">
      <c r="B678">
        <v>1.4959</v>
      </c>
      <c r="C678">
        <v>90</v>
      </c>
      <c r="D678">
        <v>18.2</v>
      </c>
      <c r="E678">
        <v>5.3177000000000002E-2</v>
      </c>
      <c r="F678">
        <v>18.805</v>
      </c>
      <c r="G678">
        <v>663.26</v>
      </c>
      <c r="H678">
        <v>1.4959</v>
      </c>
    </row>
    <row r="679" spans="2:8" x14ac:dyDescent="0.25">
      <c r="B679">
        <v>1.5006999999999999</v>
      </c>
      <c r="C679">
        <v>95</v>
      </c>
      <c r="D679">
        <v>18.2</v>
      </c>
      <c r="E679">
        <v>5.2675E-2</v>
      </c>
      <c r="F679">
        <v>18.984000000000002</v>
      </c>
      <c r="G679">
        <v>665.87</v>
      </c>
      <c r="H679">
        <v>1.5006999999999999</v>
      </c>
    </row>
    <row r="680" spans="2:8" x14ac:dyDescent="0.25">
      <c r="B680">
        <v>1.5053000000000001</v>
      </c>
      <c r="C680">
        <v>100</v>
      </c>
      <c r="D680">
        <v>18.2</v>
      </c>
      <c r="E680">
        <v>5.2184000000000001E-2</v>
      </c>
      <c r="F680">
        <v>19.163</v>
      </c>
      <c r="G680">
        <v>668.48</v>
      </c>
      <c r="H680">
        <v>1.5053000000000001</v>
      </c>
    </row>
    <row r="681" spans="2:8" x14ac:dyDescent="0.25">
      <c r="B681">
        <v>1.51</v>
      </c>
      <c r="C681">
        <v>105</v>
      </c>
      <c r="D681">
        <v>18.2</v>
      </c>
      <c r="E681">
        <v>5.1701999999999998E-2</v>
      </c>
      <c r="F681">
        <v>19.341999999999999</v>
      </c>
      <c r="G681">
        <v>671.09</v>
      </c>
      <c r="H681">
        <v>1.51</v>
      </c>
    </row>
    <row r="682" spans="2:8" x14ac:dyDescent="0.25">
      <c r="B682">
        <v>1.5145999999999999</v>
      </c>
      <c r="C682">
        <v>110</v>
      </c>
      <c r="D682">
        <v>18.2</v>
      </c>
      <c r="E682">
        <v>5.1228999999999997E-2</v>
      </c>
      <c r="F682">
        <v>19.52</v>
      </c>
      <c r="G682">
        <v>673.7</v>
      </c>
      <c r="H682">
        <v>1.5145999999999999</v>
      </c>
    </row>
    <row r="683" spans="2:8" x14ac:dyDescent="0.25">
      <c r="B683">
        <v>1.5190999999999999</v>
      </c>
      <c r="C683">
        <v>115</v>
      </c>
      <c r="D683">
        <v>18.2</v>
      </c>
      <c r="E683">
        <v>5.0765999999999999E-2</v>
      </c>
      <c r="F683">
        <v>19.698</v>
      </c>
      <c r="G683">
        <v>676.31</v>
      </c>
      <c r="H683">
        <v>1.5190999999999999</v>
      </c>
    </row>
    <row r="684" spans="2:8" x14ac:dyDescent="0.25">
      <c r="B684">
        <v>1.5237000000000001</v>
      </c>
      <c r="C684">
        <v>120</v>
      </c>
      <c r="D684">
        <v>18.2</v>
      </c>
      <c r="E684">
        <v>5.0311000000000002E-2</v>
      </c>
      <c r="F684">
        <v>19.876000000000001</v>
      </c>
      <c r="G684">
        <v>678.92</v>
      </c>
      <c r="H684">
        <v>1.5237000000000001</v>
      </c>
    </row>
    <row r="685" spans="2:8" x14ac:dyDescent="0.25">
      <c r="B685">
        <v>1.5282</v>
      </c>
      <c r="C685">
        <v>125</v>
      </c>
      <c r="D685">
        <v>18.2</v>
      </c>
      <c r="E685">
        <v>4.9865E-2</v>
      </c>
      <c r="F685">
        <v>20.053999999999998</v>
      </c>
      <c r="G685">
        <v>681.54</v>
      </c>
      <c r="H685">
        <v>1.5282</v>
      </c>
    </row>
    <row r="686" spans="2:8" x14ac:dyDescent="0.25">
      <c r="B686">
        <v>1.5326</v>
      </c>
      <c r="C686">
        <v>130</v>
      </c>
      <c r="D686">
        <v>18.2</v>
      </c>
      <c r="E686">
        <v>4.9426999999999999E-2</v>
      </c>
      <c r="F686">
        <v>20.231999999999999</v>
      </c>
      <c r="G686">
        <v>684.15</v>
      </c>
      <c r="H686">
        <v>1.5326</v>
      </c>
    </row>
    <row r="687" spans="2:8" x14ac:dyDescent="0.25">
      <c r="B687">
        <v>1.5369999999999999</v>
      </c>
      <c r="C687">
        <v>135</v>
      </c>
      <c r="D687">
        <v>18.2</v>
      </c>
      <c r="E687">
        <v>4.8996999999999999E-2</v>
      </c>
      <c r="F687">
        <v>20.408999999999999</v>
      </c>
      <c r="G687">
        <v>686.77</v>
      </c>
      <c r="H687">
        <v>1.5369999999999999</v>
      </c>
    </row>
    <row r="688" spans="2:8" x14ac:dyDescent="0.25">
      <c r="B688">
        <v>1.5414000000000001</v>
      </c>
      <c r="C688">
        <v>140</v>
      </c>
      <c r="D688">
        <v>18.2</v>
      </c>
      <c r="E688">
        <v>4.8575E-2</v>
      </c>
      <c r="F688">
        <v>20.587</v>
      </c>
      <c r="G688">
        <v>689.39</v>
      </c>
      <c r="H688">
        <v>1.5414000000000001</v>
      </c>
    </row>
    <row r="689" spans="2:8" x14ac:dyDescent="0.25">
      <c r="B689">
        <v>1.5458000000000001</v>
      </c>
      <c r="C689">
        <v>145</v>
      </c>
      <c r="D689">
        <v>18.2</v>
      </c>
      <c r="E689">
        <v>4.8161000000000002E-2</v>
      </c>
      <c r="F689">
        <v>20.763999999999999</v>
      </c>
      <c r="G689">
        <v>692.02</v>
      </c>
      <c r="H689">
        <v>1.5458000000000001</v>
      </c>
    </row>
    <row r="690" spans="2:8" x14ac:dyDescent="0.25">
      <c r="B690">
        <v>1.5501</v>
      </c>
      <c r="C690">
        <v>150</v>
      </c>
      <c r="D690">
        <v>18.2</v>
      </c>
      <c r="E690">
        <v>4.7752999999999997E-2</v>
      </c>
      <c r="F690">
        <v>20.940999999999999</v>
      </c>
      <c r="G690">
        <v>694.65</v>
      </c>
      <c r="H690">
        <v>1.5501</v>
      </c>
    </row>
    <row r="691" spans="2:8" x14ac:dyDescent="0.25">
      <c r="B691">
        <v>1.5544</v>
      </c>
      <c r="C691">
        <v>155</v>
      </c>
      <c r="D691">
        <v>18.2</v>
      </c>
      <c r="E691">
        <v>4.7352999999999999E-2</v>
      </c>
      <c r="F691">
        <v>21.117999999999999</v>
      </c>
      <c r="G691">
        <v>697.28</v>
      </c>
      <c r="H691">
        <v>1.5544</v>
      </c>
    </row>
    <row r="692" spans="2:8" x14ac:dyDescent="0.25">
      <c r="B692">
        <v>1.5587</v>
      </c>
      <c r="C692">
        <v>160</v>
      </c>
      <c r="D692">
        <v>18.2</v>
      </c>
      <c r="E692">
        <v>4.6960000000000002E-2</v>
      </c>
      <c r="F692">
        <v>21.295000000000002</v>
      </c>
      <c r="G692">
        <v>699.91</v>
      </c>
      <c r="H692">
        <v>1.5587</v>
      </c>
    </row>
    <row r="693" spans="2:8" x14ac:dyDescent="0.25">
      <c r="B693">
        <v>1.5629</v>
      </c>
      <c r="C693">
        <v>165</v>
      </c>
      <c r="D693">
        <v>18.2</v>
      </c>
      <c r="E693">
        <v>4.6573999999999997E-2</v>
      </c>
      <c r="F693">
        <v>21.471</v>
      </c>
      <c r="G693">
        <v>702.55</v>
      </c>
      <c r="H693">
        <v>1.5629</v>
      </c>
    </row>
    <row r="694" spans="2:8" x14ac:dyDescent="0.25">
      <c r="B694">
        <v>1.5670999999999999</v>
      </c>
      <c r="C694">
        <v>170</v>
      </c>
      <c r="D694">
        <v>18.2</v>
      </c>
      <c r="E694">
        <v>4.6193999999999999E-2</v>
      </c>
      <c r="F694">
        <v>21.648</v>
      </c>
      <c r="G694">
        <v>705.19</v>
      </c>
      <c r="H694">
        <v>1.5670999999999999</v>
      </c>
    </row>
    <row r="695" spans="2:8" x14ac:dyDescent="0.25">
      <c r="B695">
        <v>1.5712999999999999</v>
      </c>
      <c r="C695">
        <v>175</v>
      </c>
      <c r="D695">
        <v>18.2</v>
      </c>
      <c r="E695">
        <v>4.5821000000000001E-2</v>
      </c>
      <c r="F695">
        <v>21.824000000000002</v>
      </c>
      <c r="G695">
        <v>707.84</v>
      </c>
      <c r="H695">
        <v>1.5712999999999999</v>
      </c>
    </row>
    <row r="696" spans="2:8" x14ac:dyDescent="0.25">
      <c r="B696">
        <v>1.5754999999999999</v>
      </c>
      <c r="C696">
        <v>180</v>
      </c>
      <c r="D696">
        <v>18.2</v>
      </c>
      <c r="E696">
        <v>4.5454000000000001E-2</v>
      </c>
      <c r="F696">
        <v>22</v>
      </c>
      <c r="G696">
        <v>710.49</v>
      </c>
      <c r="H696">
        <v>1.5754999999999999</v>
      </c>
    </row>
    <row r="697" spans="2:8" x14ac:dyDescent="0.25">
      <c r="B697">
        <v>1.5795999999999999</v>
      </c>
      <c r="C697">
        <v>185</v>
      </c>
      <c r="D697">
        <v>18.2</v>
      </c>
      <c r="E697">
        <v>4.5092E-2</v>
      </c>
      <c r="F697">
        <v>22.177</v>
      </c>
      <c r="G697">
        <v>713.15</v>
      </c>
      <c r="H697">
        <v>1.5795999999999999</v>
      </c>
    </row>
    <row r="698" spans="2:8" x14ac:dyDescent="0.25">
      <c r="B698">
        <v>1.5837000000000001</v>
      </c>
      <c r="C698">
        <v>190</v>
      </c>
      <c r="D698">
        <v>18.2</v>
      </c>
      <c r="E698">
        <v>4.4736999999999999E-2</v>
      </c>
      <c r="F698">
        <v>22.353000000000002</v>
      </c>
      <c r="G698">
        <v>715.8</v>
      </c>
      <c r="H698">
        <v>1.5837000000000001</v>
      </c>
    </row>
    <row r="699" spans="2:8" x14ac:dyDescent="0.25">
      <c r="B699">
        <v>1.5878000000000001</v>
      </c>
      <c r="C699">
        <v>195</v>
      </c>
      <c r="D699">
        <v>18.2</v>
      </c>
      <c r="E699">
        <v>4.4387999999999997E-2</v>
      </c>
      <c r="F699">
        <v>22.529</v>
      </c>
      <c r="G699">
        <v>718.47</v>
      </c>
      <c r="H699">
        <v>1.5878000000000001</v>
      </c>
    </row>
    <row r="700" spans="2:8" x14ac:dyDescent="0.25">
      <c r="B700">
        <v>1.5919000000000001</v>
      </c>
      <c r="C700">
        <v>200</v>
      </c>
      <c r="D700">
        <v>18.2</v>
      </c>
      <c r="E700">
        <v>4.4044E-2</v>
      </c>
      <c r="F700">
        <v>22.704999999999998</v>
      </c>
      <c r="G700">
        <v>721.14</v>
      </c>
      <c r="H700">
        <v>1.5919000000000001</v>
      </c>
    </row>
    <row r="701" spans="2:8" x14ac:dyDescent="0.25">
      <c r="B701">
        <v>1.5959000000000001</v>
      </c>
      <c r="C701">
        <v>205</v>
      </c>
      <c r="D701">
        <v>18.2</v>
      </c>
      <c r="E701">
        <v>4.3705000000000001E-2</v>
      </c>
      <c r="F701">
        <v>22.881</v>
      </c>
      <c r="G701">
        <v>723.81</v>
      </c>
      <c r="H701">
        <v>1.5959000000000001</v>
      </c>
    </row>
    <row r="702" spans="2:8" x14ac:dyDescent="0.25">
      <c r="B702">
        <v>1.5999000000000001</v>
      </c>
      <c r="C702">
        <v>210</v>
      </c>
      <c r="D702">
        <v>18.2</v>
      </c>
      <c r="E702">
        <v>4.3372000000000001E-2</v>
      </c>
      <c r="F702">
        <v>23.056000000000001</v>
      </c>
      <c r="G702">
        <v>726.49</v>
      </c>
      <c r="H702">
        <v>1.5999000000000001</v>
      </c>
    </row>
    <row r="703" spans="2:8" x14ac:dyDescent="0.25">
      <c r="B703">
        <v>1.6039000000000001</v>
      </c>
      <c r="C703">
        <v>215</v>
      </c>
      <c r="D703">
        <v>18.2</v>
      </c>
      <c r="E703">
        <v>4.3043999999999999E-2</v>
      </c>
      <c r="F703">
        <v>23.231999999999999</v>
      </c>
      <c r="G703">
        <v>729.17</v>
      </c>
      <c r="H703">
        <v>1.6039000000000001</v>
      </c>
    </row>
    <row r="704" spans="2:8" x14ac:dyDescent="0.25">
      <c r="B704">
        <v>1.6079000000000001</v>
      </c>
      <c r="C704">
        <v>220</v>
      </c>
      <c r="D704">
        <v>18.2</v>
      </c>
      <c r="E704">
        <v>4.2721000000000002E-2</v>
      </c>
      <c r="F704">
        <v>23.408000000000001</v>
      </c>
      <c r="G704">
        <v>731.86</v>
      </c>
      <c r="H704">
        <v>1.6079000000000001</v>
      </c>
    </row>
    <row r="705" spans="2:8" x14ac:dyDescent="0.25">
      <c r="B705">
        <v>1.6117999999999999</v>
      </c>
      <c r="C705">
        <v>225</v>
      </c>
      <c r="D705">
        <v>18.2</v>
      </c>
      <c r="E705">
        <v>4.2403000000000003E-2</v>
      </c>
      <c r="F705">
        <v>23.582999999999998</v>
      </c>
      <c r="G705">
        <v>734.55</v>
      </c>
      <c r="H705">
        <v>1.6117999999999999</v>
      </c>
    </row>
    <row r="706" spans="2:8" x14ac:dyDescent="0.25">
      <c r="B706">
        <v>1.6157999999999999</v>
      </c>
      <c r="C706">
        <v>230</v>
      </c>
      <c r="D706">
        <v>18.2</v>
      </c>
      <c r="E706">
        <v>4.2090000000000002E-2</v>
      </c>
      <c r="F706">
        <v>23.759</v>
      </c>
      <c r="G706">
        <v>737.25</v>
      </c>
      <c r="H706">
        <v>1.6157999999999999</v>
      </c>
    </row>
    <row r="707" spans="2:8" x14ac:dyDescent="0.25">
      <c r="B707">
        <v>1.6196999999999999</v>
      </c>
      <c r="C707">
        <v>235</v>
      </c>
      <c r="D707">
        <v>18.2</v>
      </c>
      <c r="E707">
        <v>4.1780999999999999E-2</v>
      </c>
      <c r="F707">
        <v>23.934000000000001</v>
      </c>
      <c r="G707">
        <v>739.95</v>
      </c>
      <c r="H707">
        <v>1.6196999999999999</v>
      </c>
    </row>
    <row r="708" spans="2:8" x14ac:dyDescent="0.25">
      <c r="B708">
        <v>1.6234999999999999</v>
      </c>
      <c r="C708">
        <v>240</v>
      </c>
      <c r="D708">
        <v>18.2</v>
      </c>
      <c r="E708">
        <v>4.1477E-2</v>
      </c>
      <c r="F708">
        <v>24.109000000000002</v>
      </c>
      <c r="G708">
        <v>742.66</v>
      </c>
      <c r="H708">
        <v>1.6234999999999999</v>
      </c>
    </row>
    <row r="709" spans="2:8" x14ac:dyDescent="0.25">
      <c r="B709">
        <v>1.6274</v>
      </c>
      <c r="C709">
        <v>245</v>
      </c>
      <c r="D709">
        <v>18.2</v>
      </c>
      <c r="E709">
        <v>4.1177999999999999E-2</v>
      </c>
      <c r="F709">
        <v>24.285</v>
      </c>
      <c r="G709">
        <v>745.37</v>
      </c>
      <c r="H709">
        <v>1.6274</v>
      </c>
    </row>
    <row r="710" spans="2:8" x14ac:dyDescent="0.25">
      <c r="B710">
        <v>1.6313</v>
      </c>
      <c r="C710">
        <v>250</v>
      </c>
      <c r="D710">
        <v>18.2</v>
      </c>
      <c r="E710">
        <v>4.0883000000000003E-2</v>
      </c>
      <c r="F710">
        <v>24.46</v>
      </c>
      <c r="G710">
        <v>748.09</v>
      </c>
      <c r="H710">
        <v>1.6313</v>
      </c>
    </row>
    <row r="711" spans="2:8" x14ac:dyDescent="0.25">
      <c r="B711">
        <v>1.6351</v>
      </c>
      <c r="C711">
        <v>255</v>
      </c>
      <c r="D711">
        <v>18.2</v>
      </c>
      <c r="E711">
        <v>4.0592000000000003E-2</v>
      </c>
      <c r="F711">
        <v>24.635000000000002</v>
      </c>
      <c r="G711">
        <v>750.81</v>
      </c>
      <c r="H711">
        <v>1.6351</v>
      </c>
    </row>
    <row r="712" spans="2:8" x14ac:dyDescent="0.25">
      <c r="B712">
        <v>1.6389</v>
      </c>
      <c r="C712">
        <v>260</v>
      </c>
      <c r="D712">
        <v>18.2</v>
      </c>
      <c r="E712">
        <v>4.0306000000000002E-2</v>
      </c>
      <c r="F712">
        <v>24.81</v>
      </c>
      <c r="G712">
        <v>753.54</v>
      </c>
      <c r="H712">
        <v>1.6389</v>
      </c>
    </row>
    <row r="713" spans="2:8" x14ac:dyDescent="0.25">
      <c r="B713">
        <v>1.6427</v>
      </c>
      <c r="C713">
        <v>265</v>
      </c>
      <c r="D713">
        <v>18.2</v>
      </c>
      <c r="E713">
        <v>4.0023000000000003E-2</v>
      </c>
      <c r="F713">
        <v>24.984999999999999</v>
      </c>
      <c r="G713">
        <v>756.28</v>
      </c>
      <c r="H713">
        <v>1.6427</v>
      </c>
    </row>
    <row r="714" spans="2:8" x14ac:dyDescent="0.25">
      <c r="B714">
        <v>1.6465000000000001</v>
      </c>
      <c r="C714">
        <v>270</v>
      </c>
      <c r="D714">
        <v>18.2</v>
      </c>
      <c r="E714">
        <v>3.9745000000000003E-2</v>
      </c>
      <c r="F714">
        <v>25.16</v>
      </c>
      <c r="G714">
        <v>759.02</v>
      </c>
      <c r="H714">
        <v>1.6465000000000001</v>
      </c>
    </row>
    <row r="715" spans="2:8" x14ac:dyDescent="0.25">
      <c r="B715">
        <v>1.6501999999999999</v>
      </c>
      <c r="C715">
        <v>275</v>
      </c>
      <c r="D715">
        <v>18.2</v>
      </c>
      <c r="E715">
        <v>3.9470999999999999E-2</v>
      </c>
      <c r="F715">
        <v>25.335000000000001</v>
      </c>
      <c r="G715">
        <v>761.77</v>
      </c>
      <c r="H715">
        <v>1.6501999999999999</v>
      </c>
    </row>
    <row r="716" spans="2:8" x14ac:dyDescent="0.25">
      <c r="B716">
        <v>1.6538999999999999</v>
      </c>
      <c r="C716">
        <v>280</v>
      </c>
      <c r="D716">
        <v>18.2</v>
      </c>
      <c r="E716">
        <v>3.9199999999999999E-2</v>
      </c>
      <c r="F716">
        <v>25.51</v>
      </c>
      <c r="G716">
        <v>764.52</v>
      </c>
      <c r="H716">
        <v>1.6538999999999999</v>
      </c>
    </row>
    <row r="717" spans="2:8" x14ac:dyDescent="0.25">
      <c r="B717">
        <v>1.6577</v>
      </c>
      <c r="C717">
        <v>285</v>
      </c>
      <c r="D717">
        <v>18.2</v>
      </c>
      <c r="E717">
        <v>3.8933000000000002E-2</v>
      </c>
      <c r="F717">
        <v>25.684999999999999</v>
      </c>
      <c r="G717">
        <v>767.28</v>
      </c>
      <c r="H717">
        <v>1.6577</v>
      </c>
    </row>
    <row r="718" spans="2:8" x14ac:dyDescent="0.25">
      <c r="B718">
        <v>1.6614</v>
      </c>
      <c r="C718">
        <v>290</v>
      </c>
      <c r="D718">
        <v>18.2</v>
      </c>
      <c r="E718">
        <v>3.8670000000000003E-2</v>
      </c>
      <c r="F718">
        <v>25.86</v>
      </c>
      <c r="G718">
        <v>770.05</v>
      </c>
      <c r="H718">
        <v>1.6614</v>
      </c>
    </row>
    <row r="719" spans="2:8" x14ac:dyDescent="0.25">
      <c r="B719">
        <v>1.665</v>
      </c>
      <c r="C719">
        <v>295</v>
      </c>
      <c r="D719">
        <v>18.2</v>
      </c>
      <c r="E719">
        <v>3.841E-2</v>
      </c>
      <c r="F719">
        <v>26.035</v>
      </c>
      <c r="G719">
        <v>772.82</v>
      </c>
      <c r="H719">
        <v>1.665</v>
      </c>
    </row>
    <row r="720" spans="2:8" x14ac:dyDescent="0.25">
      <c r="B720">
        <v>1.6687000000000001</v>
      </c>
      <c r="C720">
        <v>300</v>
      </c>
      <c r="D720">
        <v>18.2</v>
      </c>
      <c r="E720">
        <v>3.8154E-2</v>
      </c>
      <c r="F720">
        <v>26.21</v>
      </c>
      <c r="G720">
        <v>775.6</v>
      </c>
      <c r="H720">
        <v>1.6687000000000001</v>
      </c>
    </row>
    <row r="722" spans="1:8" x14ac:dyDescent="0.25">
      <c r="A722">
        <v>19.2</v>
      </c>
      <c r="B722">
        <v>-2.5391E-2</v>
      </c>
      <c r="C722">
        <v>-50</v>
      </c>
      <c r="D722">
        <v>19.2</v>
      </c>
      <c r="E722">
        <v>43.503999999999998</v>
      </c>
      <c r="F722">
        <v>2.2985999999999999E-2</v>
      </c>
      <c r="G722">
        <v>-10.491</v>
      </c>
      <c r="H722">
        <v>-2.5391E-2</v>
      </c>
    </row>
    <row r="723" spans="1:8" x14ac:dyDescent="0.25">
      <c r="B723">
        <v>-1.2659E-2</v>
      </c>
      <c r="C723">
        <v>-45</v>
      </c>
      <c r="D723">
        <v>19.2</v>
      </c>
      <c r="E723">
        <v>43.295999999999999</v>
      </c>
      <c r="F723">
        <v>2.3096999999999999E-2</v>
      </c>
      <c r="G723">
        <v>-5.2431000000000001</v>
      </c>
      <c r="H723">
        <v>-1.2659E-2</v>
      </c>
    </row>
    <row r="724" spans="1:8" x14ac:dyDescent="0.25">
      <c r="B724">
        <v>-3.6987999999999999E-5</v>
      </c>
      <c r="C724">
        <v>-40</v>
      </c>
      <c r="D724">
        <v>19.2</v>
      </c>
      <c r="E724">
        <v>43.085999999999999</v>
      </c>
      <c r="F724">
        <v>2.3209E-2</v>
      </c>
      <c r="G724">
        <v>2.2307E-2</v>
      </c>
      <c r="H724">
        <v>-3.6987999999999999E-5</v>
      </c>
    </row>
    <row r="725" spans="1:8" x14ac:dyDescent="0.25">
      <c r="B725">
        <v>1.2477E-2</v>
      </c>
      <c r="C725">
        <v>-35</v>
      </c>
      <c r="D725">
        <v>19.2</v>
      </c>
      <c r="E725">
        <v>42.875</v>
      </c>
      <c r="F725">
        <v>2.3324000000000001E-2</v>
      </c>
      <c r="G725">
        <v>5.3051000000000004</v>
      </c>
      <c r="H725">
        <v>1.2477E-2</v>
      </c>
    </row>
    <row r="726" spans="1:8" x14ac:dyDescent="0.25">
      <c r="B726">
        <v>2.4884E-2</v>
      </c>
      <c r="C726">
        <v>-30</v>
      </c>
      <c r="D726">
        <v>19.2</v>
      </c>
      <c r="E726">
        <v>42.661000000000001</v>
      </c>
      <c r="F726">
        <v>2.3439999999999999E-2</v>
      </c>
      <c r="G726">
        <v>10.605</v>
      </c>
      <c r="H726">
        <v>2.4884E-2</v>
      </c>
    </row>
    <row r="727" spans="1:8" x14ac:dyDescent="0.25">
      <c r="B727">
        <v>3.7185999999999997E-2</v>
      </c>
      <c r="C727">
        <v>-25</v>
      </c>
      <c r="D727">
        <v>19.2</v>
      </c>
      <c r="E727">
        <v>42.445999999999998</v>
      </c>
      <c r="F727">
        <v>2.3559E-2</v>
      </c>
      <c r="G727">
        <v>15.922000000000001</v>
      </c>
      <c r="H727">
        <v>3.7185999999999997E-2</v>
      </c>
    </row>
    <row r="728" spans="1:8" x14ac:dyDescent="0.25">
      <c r="B728">
        <v>4.9387E-2</v>
      </c>
      <c r="C728">
        <v>-20</v>
      </c>
      <c r="D728">
        <v>19.2</v>
      </c>
      <c r="E728">
        <v>42.228999999999999</v>
      </c>
      <c r="F728">
        <v>2.368E-2</v>
      </c>
      <c r="G728">
        <v>21.254999999999999</v>
      </c>
      <c r="H728">
        <v>4.9387E-2</v>
      </c>
    </row>
    <row r="729" spans="1:8" x14ac:dyDescent="0.25">
      <c r="B729">
        <v>1.3765000000000001</v>
      </c>
      <c r="C729">
        <v>-15</v>
      </c>
      <c r="D729">
        <v>19.2</v>
      </c>
      <c r="E729">
        <v>7.0727999999999999E-2</v>
      </c>
      <c r="F729">
        <v>14.138999999999999</v>
      </c>
      <c r="G729">
        <v>607.20000000000005</v>
      </c>
      <c r="H729">
        <v>1.3765000000000001</v>
      </c>
    </row>
    <row r="730" spans="1:8" x14ac:dyDescent="0.25">
      <c r="B730">
        <v>1.3827</v>
      </c>
      <c r="C730">
        <v>-10</v>
      </c>
      <c r="D730">
        <v>19.2</v>
      </c>
      <c r="E730">
        <v>6.9827E-2</v>
      </c>
      <c r="F730">
        <v>14.321</v>
      </c>
      <c r="G730">
        <v>609.98</v>
      </c>
      <c r="H730">
        <v>1.3827</v>
      </c>
    </row>
    <row r="731" spans="1:8" x14ac:dyDescent="0.25">
      <c r="B731">
        <v>1.3888</v>
      </c>
      <c r="C731">
        <v>-5</v>
      </c>
      <c r="D731">
        <v>19.2</v>
      </c>
      <c r="E731">
        <v>6.8954000000000001E-2</v>
      </c>
      <c r="F731">
        <v>14.502000000000001</v>
      </c>
      <c r="G731">
        <v>612.74</v>
      </c>
      <c r="H731">
        <v>1.3888</v>
      </c>
    </row>
    <row r="732" spans="1:8" x14ac:dyDescent="0.25">
      <c r="B732">
        <v>1.3948</v>
      </c>
      <c r="C732">
        <v>0</v>
      </c>
      <c r="D732">
        <v>19.2</v>
      </c>
      <c r="E732">
        <v>6.8108000000000002E-2</v>
      </c>
      <c r="F732">
        <v>14.683</v>
      </c>
      <c r="G732">
        <v>615.47</v>
      </c>
      <c r="H732">
        <v>1.3948</v>
      </c>
    </row>
    <row r="733" spans="1:8" x14ac:dyDescent="0.25">
      <c r="B733">
        <v>1.4007000000000001</v>
      </c>
      <c r="C733">
        <v>5</v>
      </c>
      <c r="D733">
        <v>19.2</v>
      </c>
      <c r="E733">
        <v>6.7287E-2</v>
      </c>
      <c r="F733">
        <v>14.862</v>
      </c>
      <c r="G733">
        <v>618.19000000000005</v>
      </c>
      <c r="H733">
        <v>1.4007000000000001</v>
      </c>
    </row>
    <row r="734" spans="1:8" x14ac:dyDescent="0.25">
      <c r="B734">
        <v>1.4065000000000001</v>
      </c>
      <c r="C734">
        <v>10</v>
      </c>
      <c r="D734">
        <v>19.2</v>
      </c>
      <c r="E734">
        <v>6.6489000000000006E-2</v>
      </c>
      <c r="F734">
        <v>15.04</v>
      </c>
      <c r="G734">
        <v>620.89</v>
      </c>
      <c r="H734">
        <v>1.4065000000000001</v>
      </c>
    </row>
    <row r="735" spans="1:8" x14ac:dyDescent="0.25">
      <c r="B735">
        <v>1.4121999999999999</v>
      </c>
      <c r="C735">
        <v>15</v>
      </c>
      <c r="D735">
        <v>19.2</v>
      </c>
      <c r="E735">
        <v>6.5712999999999994E-2</v>
      </c>
      <c r="F735">
        <v>15.218</v>
      </c>
      <c r="G735">
        <v>623.59</v>
      </c>
      <c r="H735">
        <v>1.4121999999999999</v>
      </c>
    </row>
    <row r="736" spans="1:8" x14ac:dyDescent="0.25">
      <c r="B736">
        <v>1.4177999999999999</v>
      </c>
      <c r="C736">
        <v>20</v>
      </c>
      <c r="D736">
        <v>19.2</v>
      </c>
      <c r="E736">
        <v>6.4959000000000003E-2</v>
      </c>
      <c r="F736">
        <v>15.394</v>
      </c>
      <c r="G736">
        <v>626.26</v>
      </c>
      <c r="H736">
        <v>1.4177999999999999</v>
      </c>
    </row>
    <row r="737" spans="2:8" x14ac:dyDescent="0.25">
      <c r="B737">
        <v>1.4233</v>
      </c>
      <c r="C737">
        <v>25</v>
      </c>
      <c r="D737">
        <v>19.2</v>
      </c>
      <c r="E737">
        <v>6.4225000000000004E-2</v>
      </c>
      <c r="F737">
        <v>15.57</v>
      </c>
      <c r="G737">
        <v>628.92999999999995</v>
      </c>
      <c r="H737">
        <v>1.4233</v>
      </c>
    </row>
    <row r="738" spans="2:8" x14ac:dyDescent="0.25">
      <c r="B738">
        <v>1.4288000000000001</v>
      </c>
      <c r="C738">
        <v>30</v>
      </c>
      <c r="D738">
        <v>19.2</v>
      </c>
      <c r="E738">
        <v>6.3508999999999996E-2</v>
      </c>
      <c r="F738">
        <v>15.746</v>
      </c>
      <c r="G738">
        <v>631.59</v>
      </c>
      <c r="H738">
        <v>1.4288000000000001</v>
      </c>
    </row>
    <row r="739" spans="2:8" x14ac:dyDescent="0.25">
      <c r="B739">
        <v>1.4341999999999999</v>
      </c>
      <c r="C739">
        <v>35</v>
      </c>
      <c r="D739">
        <v>19.2</v>
      </c>
      <c r="E739">
        <v>6.2812000000000007E-2</v>
      </c>
      <c r="F739">
        <v>15.920999999999999</v>
      </c>
      <c r="G739">
        <v>634.24</v>
      </c>
      <c r="H739">
        <v>1.4341999999999999</v>
      </c>
    </row>
    <row r="740" spans="2:8" x14ac:dyDescent="0.25">
      <c r="B740">
        <v>1.4395</v>
      </c>
      <c r="C740">
        <v>40</v>
      </c>
      <c r="D740">
        <v>19.2</v>
      </c>
      <c r="E740">
        <v>6.2132E-2</v>
      </c>
      <c r="F740">
        <v>16.094999999999999</v>
      </c>
      <c r="G740">
        <v>636.89</v>
      </c>
      <c r="H740">
        <v>1.4395</v>
      </c>
    </row>
    <row r="741" spans="2:8" x14ac:dyDescent="0.25">
      <c r="B741">
        <v>1.4447000000000001</v>
      </c>
      <c r="C741">
        <v>45</v>
      </c>
      <c r="D741">
        <v>19.2</v>
      </c>
      <c r="E741">
        <v>6.1469000000000003E-2</v>
      </c>
      <c r="F741">
        <v>16.268000000000001</v>
      </c>
      <c r="G741">
        <v>639.52</v>
      </c>
      <c r="H741">
        <v>1.4447000000000001</v>
      </c>
    </row>
    <row r="742" spans="2:8" x14ac:dyDescent="0.25">
      <c r="B742">
        <v>1.4499</v>
      </c>
      <c r="C742">
        <v>50</v>
      </c>
      <c r="D742">
        <v>19.2</v>
      </c>
      <c r="E742">
        <v>6.0821E-2</v>
      </c>
      <c r="F742">
        <v>16.442</v>
      </c>
      <c r="G742">
        <v>642.15</v>
      </c>
      <c r="H742">
        <v>1.4499</v>
      </c>
    </row>
    <row r="743" spans="2:8" x14ac:dyDescent="0.25">
      <c r="B743">
        <v>1.4550000000000001</v>
      </c>
      <c r="C743">
        <v>55</v>
      </c>
      <c r="D743">
        <v>19.2</v>
      </c>
      <c r="E743">
        <v>6.0187999999999998E-2</v>
      </c>
      <c r="F743">
        <v>16.614000000000001</v>
      </c>
      <c r="G743">
        <v>644.78</v>
      </c>
      <c r="H743">
        <v>1.4550000000000001</v>
      </c>
    </row>
    <row r="744" spans="2:8" x14ac:dyDescent="0.25">
      <c r="B744">
        <v>1.4601</v>
      </c>
      <c r="C744">
        <v>60</v>
      </c>
      <c r="D744">
        <v>19.2</v>
      </c>
      <c r="E744">
        <v>5.9569999999999998E-2</v>
      </c>
      <c r="F744">
        <v>16.786999999999999</v>
      </c>
      <c r="G744">
        <v>647.41</v>
      </c>
      <c r="H744">
        <v>1.4601</v>
      </c>
    </row>
    <row r="745" spans="2:8" x14ac:dyDescent="0.25">
      <c r="B745">
        <v>1.4651000000000001</v>
      </c>
      <c r="C745">
        <v>65</v>
      </c>
      <c r="D745">
        <v>19.2</v>
      </c>
      <c r="E745">
        <v>5.8965999999999998E-2</v>
      </c>
      <c r="F745">
        <v>16.959</v>
      </c>
      <c r="G745">
        <v>650.03</v>
      </c>
      <c r="H745">
        <v>1.4651000000000001</v>
      </c>
    </row>
    <row r="746" spans="2:8" x14ac:dyDescent="0.25">
      <c r="B746">
        <v>1.4701</v>
      </c>
      <c r="C746">
        <v>70</v>
      </c>
      <c r="D746">
        <v>19.2</v>
      </c>
      <c r="E746">
        <v>5.8375999999999997E-2</v>
      </c>
      <c r="F746">
        <v>17.13</v>
      </c>
      <c r="G746">
        <v>652.64</v>
      </c>
      <c r="H746">
        <v>1.4701</v>
      </c>
    </row>
    <row r="747" spans="2:8" x14ac:dyDescent="0.25">
      <c r="B747">
        <v>1.4750000000000001</v>
      </c>
      <c r="C747">
        <v>75</v>
      </c>
      <c r="D747">
        <v>19.2</v>
      </c>
      <c r="E747">
        <v>5.7798000000000002E-2</v>
      </c>
      <c r="F747">
        <v>17.302</v>
      </c>
      <c r="G747">
        <v>655.26</v>
      </c>
      <c r="H747">
        <v>1.4750000000000001</v>
      </c>
    </row>
    <row r="748" spans="2:8" x14ac:dyDescent="0.25">
      <c r="B748">
        <v>1.4799</v>
      </c>
      <c r="C748">
        <v>80</v>
      </c>
      <c r="D748">
        <v>19.2</v>
      </c>
      <c r="E748">
        <v>5.7231999999999998E-2</v>
      </c>
      <c r="F748">
        <v>17.472999999999999</v>
      </c>
      <c r="G748">
        <v>657.87</v>
      </c>
      <c r="H748">
        <v>1.4799</v>
      </c>
    </row>
    <row r="749" spans="2:8" x14ac:dyDescent="0.25">
      <c r="B749">
        <v>1.4846999999999999</v>
      </c>
      <c r="C749">
        <v>85</v>
      </c>
      <c r="D749">
        <v>19.2</v>
      </c>
      <c r="E749">
        <v>5.6679E-2</v>
      </c>
      <c r="F749">
        <v>17.643000000000001</v>
      </c>
      <c r="G749">
        <v>660.49</v>
      </c>
      <c r="H749">
        <v>1.4846999999999999</v>
      </c>
    </row>
    <row r="750" spans="2:8" x14ac:dyDescent="0.25">
      <c r="B750">
        <v>1.4895</v>
      </c>
      <c r="C750">
        <v>90</v>
      </c>
      <c r="D750">
        <v>19.2</v>
      </c>
      <c r="E750">
        <v>5.6135999999999998E-2</v>
      </c>
      <c r="F750">
        <v>17.814</v>
      </c>
      <c r="G750">
        <v>663.1</v>
      </c>
      <c r="H750">
        <v>1.4895</v>
      </c>
    </row>
    <row r="751" spans="2:8" x14ac:dyDescent="0.25">
      <c r="B751">
        <v>1.4942</v>
      </c>
      <c r="C751">
        <v>95</v>
      </c>
      <c r="D751">
        <v>19.2</v>
      </c>
      <c r="E751">
        <v>5.5605000000000002E-2</v>
      </c>
      <c r="F751">
        <v>17.984000000000002</v>
      </c>
      <c r="G751">
        <v>665.71</v>
      </c>
      <c r="H751">
        <v>1.4942</v>
      </c>
    </row>
    <row r="752" spans="2:8" x14ac:dyDescent="0.25">
      <c r="B752">
        <v>1.4988999999999999</v>
      </c>
      <c r="C752">
        <v>100</v>
      </c>
      <c r="D752">
        <v>19.2</v>
      </c>
      <c r="E752">
        <v>5.5085000000000002E-2</v>
      </c>
      <c r="F752">
        <v>18.154</v>
      </c>
      <c r="G752">
        <v>668.32</v>
      </c>
      <c r="H752">
        <v>1.4988999999999999</v>
      </c>
    </row>
    <row r="753" spans="2:8" x14ac:dyDescent="0.25">
      <c r="B753">
        <v>1.5035000000000001</v>
      </c>
      <c r="C753">
        <v>105</v>
      </c>
      <c r="D753">
        <v>19.2</v>
      </c>
      <c r="E753">
        <v>5.4574999999999999E-2</v>
      </c>
      <c r="F753">
        <v>18.323</v>
      </c>
      <c r="G753">
        <v>670.94</v>
      </c>
      <c r="H753">
        <v>1.5035000000000001</v>
      </c>
    </row>
    <row r="754" spans="2:8" x14ac:dyDescent="0.25">
      <c r="B754">
        <v>1.5082</v>
      </c>
      <c r="C754">
        <v>110</v>
      </c>
      <c r="D754">
        <v>19.2</v>
      </c>
      <c r="E754">
        <v>5.4074999999999998E-2</v>
      </c>
      <c r="F754">
        <v>18.492999999999999</v>
      </c>
      <c r="G754">
        <v>673.55</v>
      </c>
      <c r="H754">
        <v>1.5082</v>
      </c>
    </row>
    <row r="755" spans="2:8" x14ac:dyDescent="0.25">
      <c r="B755">
        <v>1.5126999999999999</v>
      </c>
      <c r="C755">
        <v>115</v>
      </c>
      <c r="D755">
        <v>19.2</v>
      </c>
      <c r="E755">
        <v>5.3585000000000001E-2</v>
      </c>
      <c r="F755">
        <v>18.661999999999999</v>
      </c>
      <c r="G755">
        <v>676.16</v>
      </c>
      <c r="H755">
        <v>1.5126999999999999</v>
      </c>
    </row>
    <row r="756" spans="2:8" x14ac:dyDescent="0.25">
      <c r="B756">
        <v>1.5173000000000001</v>
      </c>
      <c r="C756">
        <v>120</v>
      </c>
      <c r="D756">
        <v>19.2</v>
      </c>
      <c r="E756">
        <v>5.3103999999999998E-2</v>
      </c>
      <c r="F756">
        <v>18.831</v>
      </c>
      <c r="G756">
        <v>678.78</v>
      </c>
      <c r="H756">
        <v>1.5173000000000001</v>
      </c>
    </row>
    <row r="757" spans="2:8" x14ac:dyDescent="0.25">
      <c r="B757">
        <v>1.5218</v>
      </c>
      <c r="C757">
        <v>125</v>
      </c>
      <c r="D757">
        <v>19.2</v>
      </c>
      <c r="E757">
        <v>5.2631999999999998E-2</v>
      </c>
      <c r="F757">
        <v>19</v>
      </c>
      <c r="G757">
        <v>681.4</v>
      </c>
      <c r="H757">
        <v>1.5218</v>
      </c>
    </row>
    <row r="758" spans="2:8" x14ac:dyDescent="0.25">
      <c r="B758">
        <v>1.5262</v>
      </c>
      <c r="C758">
        <v>130</v>
      </c>
      <c r="D758">
        <v>19.2</v>
      </c>
      <c r="E758">
        <v>5.2169E-2</v>
      </c>
      <c r="F758">
        <v>19.167999999999999</v>
      </c>
      <c r="G758">
        <v>684.02</v>
      </c>
      <c r="H758">
        <v>1.5262</v>
      </c>
    </row>
    <row r="759" spans="2:8" x14ac:dyDescent="0.25">
      <c r="B759">
        <v>1.5306</v>
      </c>
      <c r="C759">
        <v>135</v>
      </c>
      <c r="D759">
        <v>19.2</v>
      </c>
      <c r="E759">
        <v>5.1714999999999997E-2</v>
      </c>
      <c r="F759">
        <v>19.337</v>
      </c>
      <c r="G759">
        <v>686.64</v>
      </c>
      <c r="H759">
        <v>1.5306</v>
      </c>
    </row>
    <row r="760" spans="2:8" x14ac:dyDescent="0.25">
      <c r="B760">
        <v>1.5349999999999999</v>
      </c>
      <c r="C760">
        <v>140</v>
      </c>
      <c r="D760">
        <v>19.2</v>
      </c>
      <c r="E760">
        <v>5.1268000000000001E-2</v>
      </c>
      <c r="F760">
        <v>19.504999999999999</v>
      </c>
      <c r="G760">
        <v>689.27</v>
      </c>
      <c r="H760">
        <v>1.5349999999999999</v>
      </c>
    </row>
    <row r="761" spans="2:8" x14ac:dyDescent="0.25">
      <c r="B761">
        <v>1.5394000000000001</v>
      </c>
      <c r="C761">
        <v>145</v>
      </c>
      <c r="D761">
        <v>19.2</v>
      </c>
      <c r="E761">
        <v>5.083E-2</v>
      </c>
      <c r="F761">
        <v>19.672999999999998</v>
      </c>
      <c r="G761">
        <v>691.9</v>
      </c>
      <c r="H761">
        <v>1.5394000000000001</v>
      </c>
    </row>
    <row r="762" spans="2:8" x14ac:dyDescent="0.25">
      <c r="B762">
        <v>1.5437000000000001</v>
      </c>
      <c r="C762">
        <v>150</v>
      </c>
      <c r="D762">
        <v>19.2</v>
      </c>
      <c r="E762">
        <v>5.04E-2</v>
      </c>
      <c r="F762">
        <v>19.841000000000001</v>
      </c>
      <c r="G762">
        <v>694.53</v>
      </c>
      <c r="H762">
        <v>1.5437000000000001</v>
      </c>
    </row>
    <row r="763" spans="2:8" x14ac:dyDescent="0.25">
      <c r="B763">
        <v>1.548</v>
      </c>
      <c r="C763">
        <v>155</v>
      </c>
      <c r="D763">
        <v>19.2</v>
      </c>
      <c r="E763">
        <v>4.9977000000000001E-2</v>
      </c>
      <c r="F763">
        <v>20.009</v>
      </c>
      <c r="G763">
        <v>697.16</v>
      </c>
      <c r="H763">
        <v>1.548</v>
      </c>
    </row>
    <row r="764" spans="2:8" x14ac:dyDescent="0.25">
      <c r="B764">
        <v>1.5523</v>
      </c>
      <c r="C764">
        <v>160</v>
      </c>
      <c r="D764">
        <v>19.2</v>
      </c>
      <c r="E764">
        <v>4.9561000000000001E-2</v>
      </c>
      <c r="F764">
        <v>20.177</v>
      </c>
      <c r="G764">
        <v>699.8</v>
      </c>
      <c r="H764">
        <v>1.5523</v>
      </c>
    </row>
    <row r="765" spans="2:8" x14ac:dyDescent="0.25">
      <c r="B765">
        <v>1.5566</v>
      </c>
      <c r="C765">
        <v>165</v>
      </c>
      <c r="D765">
        <v>19.2</v>
      </c>
      <c r="E765">
        <v>4.9153000000000002E-2</v>
      </c>
      <c r="F765">
        <v>20.344999999999999</v>
      </c>
      <c r="G765">
        <v>702.44</v>
      </c>
      <c r="H765">
        <v>1.5566</v>
      </c>
    </row>
    <row r="766" spans="2:8" x14ac:dyDescent="0.25">
      <c r="B766">
        <v>1.5608</v>
      </c>
      <c r="C766">
        <v>170</v>
      </c>
      <c r="D766">
        <v>19.2</v>
      </c>
      <c r="E766">
        <v>4.8751000000000003E-2</v>
      </c>
      <c r="F766">
        <v>20.512</v>
      </c>
      <c r="G766">
        <v>705.09</v>
      </c>
      <c r="H766">
        <v>1.5608</v>
      </c>
    </row>
    <row r="767" spans="2:8" x14ac:dyDescent="0.25">
      <c r="B767">
        <v>1.5649999999999999</v>
      </c>
      <c r="C767">
        <v>175</v>
      </c>
      <c r="D767">
        <v>19.2</v>
      </c>
      <c r="E767">
        <v>4.8356999999999997E-2</v>
      </c>
      <c r="F767">
        <v>20.68</v>
      </c>
      <c r="G767">
        <v>707.74</v>
      </c>
      <c r="H767">
        <v>1.5649999999999999</v>
      </c>
    </row>
    <row r="768" spans="2:8" x14ac:dyDescent="0.25">
      <c r="B768">
        <v>1.5690999999999999</v>
      </c>
      <c r="C768">
        <v>180</v>
      </c>
      <c r="D768">
        <v>19.2</v>
      </c>
      <c r="E768">
        <v>4.7968999999999998E-2</v>
      </c>
      <c r="F768">
        <v>20.847000000000001</v>
      </c>
      <c r="G768">
        <v>710.39</v>
      </c>
      <c r="H768">
        <v>1.5690999999999999</v>
      </c>
    </row>
    <row r="769" spans="2:8" x14ac:dyDescent="0.25">
      <c r="B769">
        <v>1.5732999999999999</v>
      </c>
      <c r="C769">
        <v>185</v>
      </c>
      <c r="D769">
        <v>19.2</v>
      </c>
      <c r="E769">
        <v>4.7586999999999997E-2</v>
      </c>
      <c r="F769">
        <v>21.013999999999999</v>
      </c>
      <c r="G769">
        <v>713.05</v>
      </c>
      <c r="H769">
        <v>1.5732999999999999</v>
      </c>
    </row>
    <row r="770" spans="2:8" x14ac:dyDescent="0.25">
      <c r="B770">
        <v>1.5773999999999999</v>
      </c>
      <c r="C770">
        <v>190</v>
      </c>
      <c r="D770">
        <v>19.2</v>
      </c>
      <c r="E770">
        <v>4.7211999999999997E-2</v>
      </c>
      <c r="F770">
        <v>21.181000000000001</v>
      </c>
      <c r="G770">
        <v>715.71</v>
      </c>
      <c r="H770">
        <v>1.5773999999999999</v>
      </c>
    </row>
    <row r="771" spans="2:8" x14ac:dyDescent="0.25">
      <c r="B771">
        <v>1.5814999999999999</v>
      </c>
      <c r="C771">
        <v>195</v>
      </c>
      <c r="D771">
        <v>19.2</v>
      </c>
      <c r="E771">
        <v>4.6842000000000002E-2</v>
      </c>
      <c r="F771">
        <v>21.347999999999999</v>
      </c>
      <c r="G771">
        <v>718.37</v>
      </c>
      <c r="H771">
        <v>1.5814999999999999</v>
      </c>
    </row>
    <row r="772" spans="2:8" x14ac:dyDescent="0.25">
      <c r="B772">
        <v>1.5854999999999999</v>
      </c>
      <c r="C772">
        <v>200</v>
      </c>
      <c r="D772">
        <v>19.2</v>
      </c>
      <c r="E772">
        <v>4.6478999999999999E-2</v>
      </c>
      <c r="F772">
        <v>21.515000000000001</v>
      </c>
      <c r="G772">
        <v>721.04</v>
      </c>
      <c r="H772">
        <v>1.5854999999999999</v>
      </c>
    </row>
    <row r="773" spans="2:8" x14ac:dyDescent="0.25">
      <c r="B773">
        <v>1.5895999999999999</v>
      </c>
      <c r="C773">
        <v>205</v>
      </c>
      <c r="D773">
        <v>19.2</v>
      </c>
      <c r="E773">
        <v>4.6121000000000002E-2</v>
      </c>
      <c r="F773">
        <v>21.681999999999999</v>
      </c>
      <c r="G773">
        <v>723.72</v>
      </c>
      <c r="H773">
        <v>1.5895999999999999</v>
      </c>
    </row>
    <row r="774" spans="2:8" x14ac:dyDescent="0.25">
      <c r="B774">
        <v>1.5935999999999999</v>
      </c>
      <c r="C774">
        <v>210</v>
      </c>
      <c r="D774">
        <v>19.2</v>
      </c>
      <c r="E774">
        <v>4.5768999999999997E-2</v>
      </c>
      <c r="F774">
        <v>21.849</v>
      </c>
      <c r="G774">
        <v>726.4</v>
      </c>
      <c r="H774">
        <v>1.5935999999999999</v>
      </c>
    </row>
    <row r="775" spans="2:8" x14ac:dyDescent="0.25">
      <c r="B775">
        <v>1.5975999999999999</v>
      </c>
      <c r="C775">
        <v>215</v>
      </c>
      <c r="D775">
        <v>19.2</v>
      </c>
      <c r="E775">
        <v>4.5422999999999998E-2</v>
      </c>
      <c r="F775">
        <v>22.015000000000001</v>
      </c>
      <c r="G775">
        <v>729.08</v>
      </c>
      <c r="H775">
        <v>1.5975999999999999</v>
      </c>
    </row>
    <row r="776" spans="2:8" x14ac:dyDescent="0.25">
      <c r="B776">
        <v>1.6015999999999999</v>
      </c>
      <c r="C776">
        <v>220</v>
      </c>
      <c r="D776">
        <v>19.2</v>
      </c>
      <c r="E776">
        <v>4.5081999999999997E-2</v>
      </c>
      <c r="F776">
        <v>22.181999999999999</v>
      </c>
      <c r="G776">
        <v>731.77</v>
      </c>
      <c r="H776">
        <v>1.6015999999999999</v>
      </c>
    </row>
    <row r="777" spans="2:8" x14ac:dyDescent="0.25">
      <c r="B777">
        <v>1.6054999999999999</v>
      </c>
      <c r="C777">
        <v>225</v>
      </c>
      <c r="D777">
        <v>19.2</v>
      </c>
      <c r="E777">
        <v>4.4746000000000001E-2</v>
      </c>
      <c r="F777">
        <v>22.349</v>
      </c>
      <c r="G777">
        <v>734.46</v>
      </c>
      <c r="H777">
        <v>1.6054999999999999</v>
      </c>
    </row>
    <row r="778" spans="2:8" x14ac:dyDescent="0.25">
      <c r="B778">
        <v>1.6093999999999999</v>
      </c>
      <c r="C778">
        <v>230</v>
      </c>
      <c r="D778">
        <v>19.2</v>
      </c>
      <c r="E778">
        <v>4.4415000000000003E-2</v>
      </c>
      <c r="F778">
        <v>22.515000000000001</v>
      </c>
      <c r="G778">
        <v>737.16</v>
      </c>
      <c r="H778">
        <v>1.6093999999999999</v>
      </c>
    </row>
    <row r="779" spans="2:8" x14ac:dyDescent="0.25">
      <c r="B779">
        <v>1.6133</v>
      </c>
      <c r="C779">
        <v>235</v>
      </c>
      <c r="D779">
        <v>19.2</v>
      </c>
      <c r="E779">
        <v>4.4089000000000003E-2</v>
      </c>
      <c r="F779">
        <v>22.681000000000001</v>
      </c>
      <c r="G779">
        <v>739.87</v>
      </c>
      <c r="H779">
        <v>1.6133</v>
      </c>
    </row>
    <row r="780" spans="2:8" x14ac:dyDescent="0.25">
      <c r="B780">
        <v>1.6172</v>
      </c>
      <c r="C780">
        <v>240</v>
      </c>
      <c r="D780">
        <v>19.2</v>
      </c>
      <c r="E780">
        <v>4.3768000000000001E-2</v>
      </c>
      <c r="F780">
        <v>22.847999999999999</v>
      </c>
      <c r="G780">
        <v>742.58</v>
      </c>
      <c r="H780">
        <v>1.6172</v>
      </c>
    </row>
    <row r="781" spans="2:8" x14ac:dyDescent="0.25">
      <c r="B781">
        <v>1.6211</v>
      </c>
      <c r="C781">
        <v>245</v>
      </c>
      <c r="D781">
        <v>19.2</v>
      </c>
      <c r="E781">
        <v>4.3451999999999998E-2</v>
      </c>
      <c r="F781">
        <v>23.013999999999999</v>
      </c>
      <c r="G781">
        <v>745.29</v>
      </c>
      <c r="H781">
        <v>1.6211</v>
      </c>
    </row>
    <row r="782" spans="2:8" x14ac:dyDescent="0.25">
      <c r="B782">
        <v>1.6249</v>
      </c>
      <c r="C782">
        <v>250</v>
      </c>
      <c r="D782">
        <v>19.2</v>
      </c>
      <c r="E782">
        <v>4.3139999999999998E-2</v>
      </c>
      <c r="F782">
        <v>23.18</v>
      </c>
      <c r="G782">
        <v>748.01</v>
      </c>
      <c r="H782">
        <v>1.6249</v>
      </c>
    </row>
    <row r="783" spans="2:8" x14ac:dyDescent="0.25">
      <c r="B783">
        <v>1.6288</v>
      </c>
      <c r="C783">
        <v>255</v>
      </c>
      <c r="D783">
        <v>19.2</v>
      </c>
      <c r="E783">
        <v>4.2833000000000003E-2</v>
      </c>
      <c r="F783">
        <v>23.346</v>
      </c>
      <c r="G783">
        <v>750.74</v>
      </c>
      <c r="H783">
        <v>1.6288</v>
      </c>
    </row>
    <row r="784" spans="2:8" x14ac:dyDescent="0.25">
      <c r="B784">
        <v>1.6326000000000001</v>
      </c>
      <c r="C784">
        <v>260</v>
      </c>
      <c r="D784">
        <v>19.2</v>
      </c>
      <c r="E784">
        <v>4.2530999999999999E-2</v>
      </c>
      <c r="F784">
        <v>23.512</v>
      </c>
      <c r="G784">
        <v>753.47</v>
      </c>
      <c r="H784">
        <v>1.6326000000000001</v>
      </c>
    </row>
    <row r="785" spans="1:8" x14ac:dyDescent="0.25">
      <c r="B785">
        <v>1.6364000000000001</v>
      </c>
      <c r="C785">
        <v>265</v>
      </c>
      <c r="D785">
        <v>19.2</v>
      </c>
      <c r="E785">
        <v>4.2231999999999999E-2</v>
      </c>
      <c r="F785">
        <v>23.678999999999998</v>
      </c>
      <c r="G785">
        <v>756.21</v>
      </c>
      <c r="H785">
        <v>1.6364000000000001</v>
      </c>
    </row>
    <row r="786" spans="1:8" x14ac:dyDescent="0.25">
      <c r="B786">
        <v>1.6400999999999999</v>
      </c>
      <c r="C786">
        <v>270</v>
      </c>
      <c r="D786">
        <v>19.2</v>
      </c>
      <c r="E786">
        <v>4.1938000000000003E-2</v>
      </c>
      <c r="F786">
        <v>23.844999999999999</v>
      </c>
      <c r="G786">
        <v>758.95</v>
      </c>
      <c r="H786">
        <v>1.6400999999999999</v>
      </c>
    </row>
    <row r="787" spans="1:8" x14ac:dyDescent="0.25">
      <c r="B787">
        <v>1.6438999999999999</v>
      </c>
      <c r="C787">
        <v>275</v>
      </c>
      <c r="D787">
        <v>19.2</v>
      </c>
      <c r="E787">
        <v>4.1647999999999998E-2</v>
      </c>
      <c r="F787">
        <v>24.01</v>
      </c>
      <c r="G787">
        <v>761.7</v>
      </c>
      <c r="H787">
        <v>1.6438999999999999</v>
      </c>
    </row>
    <row r="788" spans="1:8" x14ac:dyDescent="0.25">
      <c r="B788">
        <v>1.6476</v>
      </c>
      <c r="C788">
        <v>280</v>
      </c>
      <c r="D788">
        <v>19.2</v>
      </c>
      <c r="E788">
        <v>4.1362999999999997E-2</v>
      </c>
      <c r="F788">
        <v>24.175999999999998</v>
      </c>
      <c r="G788">
        <v>764.46</v>
      </c>
      <c r="H788">
        <v>1.6476</v>
      </c>
    </row>
    <row r="789" spans="1:8" x14ac:dyDescent="0.25">
      <c r="B789">
        <v>1.6514</v>
      </c>
      <c r="C789">
        <v>285</v>
      </c>
      <c r="D789">
        <v>19.2</v>
      </c>
      <c r="E789">
        <v>4.1080999999999999E-2</v>
      </c>
      <c r="F789">
        <v>24.341999999999999</v>
      </c>
      <c r="G789">
        <v>767.22</v>
      </c>
      <c r="H789">
        <v>1.6514</v>
      </c>
    </row>
    <row r="790" spans="1:8" x14ac:dyDescent="0.25">
      <c r="B790">
        <v>1.6551</v>
      </c>
      <c r="C790">
        <v>290</v>
      </c>
      <c r="D790">
        <v>19.2</v>
      </c>
      <c r="E790">
        <v>4.0802999999999999E-2</v>
      </c>
      <c r="F790">
        <v>24.507999999999999</v>
      </c>
      <c r="G790">
        <v>769.98</v>
      </c>
      <c r="H790">
        <v>1.6551</v>
      </c>
    </row>
    <row r="791" spans="1:8" x14ac:dyDescent="0.25">
      <c r="B791">
        <v>1.6587000000000001</v>
      </c>
      <c r="C791">
        <v>295</v>
      </c>
      <c r="D791">
        <v>19.2</v>
      </c>
      <c r="E791">
        <v>4.0529000000000003E-2</v>
      </c>
      <c r="F791">
        <v>24.673999999999999</v>
      </c>
      <c r="G791">
        <v>772.76</v>
      </c>
      <c r="H791">
        <v>1.6587000000000001</v>
      </c>
    </row>
    <row r="792" spans="1:8" x14ac:dyDescent="0.25">
      <c r="B792">
        <v>1.6624000000000001</v>
      </c>
      <c r="C792">
        <v>300</v>
      </c>
      <c r="D792">
        <v>19.2</v>
      </c>
      <c r="E792">
        <v>4.0258000000000002E-2</v>
      </c>
      <c r="F792">
        <v>24.84</v>
      </c>
      <c r="G792">
        <v>775.54</v>
      </c>
      <c r="H792">
        <v>1.6624000000000001</v>
      </c>
    </row>
    <row r="794" spans="1:8" x14ac:dyDescent="0.25">
      <c r="A794">
        <v>20.3</v>
      </c>
      <c r="B794">
        <v>-2.5395999999999998E-2</v>
      </c>
      <c r="C794">
        <v>-50</v>
      </c>
      <c r="D794">
        <v>20.3</v>
      </c>
      <c r="E794">
        <v>43.503999999999998</v>
      </c>
      <c r="F794">
        <v>2.2985999999999999E-2</v>
      </c>
      <c r="G794">
        <v>-10.488</v>
      </c>
      <c r="H794">
        <v>-2.5395999999999998E-2</v>
      </c>
    </row>
    <row r="795" spans="1:8" x14ac:dyDescent="0.25">
      <c r="B795">
        <v>-1.2663000000000001E-2</v>
      </c>
      <c r="C795">
        <v>-45</v>
      </c>
      <c r="D795">
        <v>20.3</v>
      </c>
      <c r="E795">
        <v>43.295999999999999</v>
      </c>
      <c r="F795">
        <v>2.3096999999999999E-2</v>
      </c>
      <c r="G795">
        <v>-5.2403000000000004</v>
      </c>
      <c r="H795">
        <v>-1.2663000000000001E-2</v>
      </c>
    </row>
    <row r="796" spans="1:8" x14ac:dyDescent="0.25">
      <c r="B796">
        <v>-4.1609000000000001E-5</v>
      </c>
      <c r="C796">
        <v>-40</v>
      </c>
      <c r="D796">
        <v>20.3</v>
      </c>
      <c r="E796">
        <v>43.087000000000003</v>
      </c>
      <c r="F796">
        <v>2.3209E-2</v>
      </c>
      <c r="G796">
        <v>2.5094999999999999E-2</v>
      </c>
      <c r="H796">
        <v>-4.1609000000000001E-5</v>
      </c>
    </row>
    <row r="797" spans="1:8" x14ac:dyDescent="0.25">
      <c r="B797">
        <v>1.2472E-2</v>
      </c>
      <c r="C797">
        <v>-35</v>
      </c>
      <c r="D797">
        <v>20.3</v>
      </c>
      <c r="E797">
        <v>42.875</v>
      </c>
      <c r="F797">
        <v>2.3324000000000001E-2</v>
      </c>
      <c r="G797">
        <v>5.3079000000000001</v>
      </c>
      <c r="H797">
        <v>1.2472E-2</v>
      </c>
    </row>
    <row r="798" spans="1:8" x14ac:dyDescent="0.25">
      <c r="B798">
        <v>2.4878999999999998E-2</v>
      </c>
      <c r="C798">
        <v>-30</v>
      </c>
      <c r="D798">
        <v>20.3</v>
      </c>
      <c r="E798">
        <v>42.661999999999999</v>
      </c>
      <c r="F798">
        <v>2.3439999999999999E-2</v>
      </c>
      <c r="G798">
        <v>10.608000000000001</v>
      </c>
      <c r="H798">
        <v>2.4878999999999998E-2</v>
      </c>
    </row>
    <row r="799" spans="1:8" x14ac:dyDescent="0.25">
      <c r="B799">
        <v>3.7182E-2</v>
      </c>
      <c r="C799">
        <v>-25</v>
      </c>
      <c r="D799">
        <v>20.3</v>
      </c>
      <c r="E799">
        <v>42.445999999999998</v>
      </c>
      <c r="F799">
        <v>2.3559E-2</v>
      </c>
      <c r="G799">
        <v>15.925000000000001</v>
      </c>
      <c r="H799">
        <v>3.7182E-2</v>
      </c>
    </row>
    <row r="800" spans="1:8" x14ac:dyDescent="0.25">
      <c r="B800">
        <v>4.9382000000000002E-2</v>
      </c>
      <c r="C800">
        <v>-20</v>
      </c>
      <c r="D800">
        <v>20.3</v>
      </c>
      <c r="E800">
        <v>42.228999999999999</v>
      </c>
      <c r="F800">
        <v>2.368E-2</v>
      </c>
      <c r="G800">
        <v>21.257999999999999</v>
      </c>
      <c r="H800">
        <v>4.9382000000000002E-2</v>
      </c>
    </row>
    <row r="801" spans="2:8" x14ac:dyDescent="0.25">
      <c r="B801">
        <v>1.3692</v>
      </c>
      <c r="C801">
        <v>-15</v>
      </c>
      <c r="D801">
        <v>20.3</v>
      </c>
      <c r="E801">
        <v>7.4926000000000006E-2</v>
      </c>
      <c r="F801">
        <v>13.347</v>
      </c>
      <c r="G801">
        <v>606.77</v>
      </c>
      <c r="H801">
        <v>1.3692</v>
      </c>
    </row>
    <row r="802" spans="2:8" x14ac:dyDescent="0.25">
      <c r="B802">
        <v>1.3754999999999999</v>
      </c>
      <c r="C802">
        <v>-10</v>
      </c>
      <c r="D802">
        <v>20.3</v>
      </c>
      <c r="E802">
        <v>7.3963000000000001E-2</v>
      </c>
      <c r="F802">
        <v>13.52</v>
      </c>
      <c r="G802">
        <v>609.57000000000005</v>
      </c>
      <c r="H802">
        <v>1.3754999999999999</v>
      </c>
    </row>
    <row r="803" spans="2:8" x14ac:dyDescent="0.25">
      <c r="B803">
        <v>1.3815999999999999</v>
      </c>
      <c r="C803">
        <v>-5</v>
      </c>
      <c r="D803">
        <v>20.3</v>
      </c>
      <c r="E803">
        <v>7.3030999999999999E-2</v>
      </c>
      <c r="F803">
        <v>13.693</v>
      </c>
      <c r="G803">
        <v>612.34</v>
      </c>
      <c r="H803">
        <v>1.3815999999999999</v>
      </c>
    </row>
    <row r="804" spans="2:8" x14ac:dyDescent="0.25">
      <c r="B804">
        <v>1.3876999999999999</v>
      </c>
      <c r="C804">
        <v>0</v>
      </c>
      <c r="D804">
        <v>20.3</v>
      </c>
      <c r="E804">
        <v>7.2127999999999998E-2</v>
      </c>
      <c r="F804">
        <v>13.864000000000001</v>
      </c>
      <c r="G804">
        <v>615.1</v>
      </c>
      <c r="H804">
        <v>1.3876999999999999</v>
      </c>
    </row>
    <row r="805" spans="2:8" x14ac:dyDescent="0.25">
      <c r="B805">
        <v>1.3935999999999999</v>
      </c>
      <c r="C805">
        <v>5</v>
      </c>
      <c r="D805">
        <v>20.3</v>
      </c>
      <c r="E805">
        <v>7.1252999999999997E-2</v>
      </c>
      <c r="F805">
        <v>14.035</v>
      </c>
      <c r="G805">
        <v>617.83000000000004</v>
      </c>
      <c r="H805">
        <v>1.3935999999999999</v>
      </c>
    </row>
    <row r="806" spans="2:8" x14ac:dyDescent="0.25">
      <c r="B806">
        <v>1.3994</v>
      </c>
      <c r="C806">
        <v>10</v>
      </c>
      <c r="D806">
        <v>20.3</v>
      </c>
      <c r="E806">
        <v>7.0402000000000006E-2</v>
      </c>
      <c r="F806">
        <v>14.204000000000001</v>
      </c>
      <c r="G806">
        <v>620.54999999999995</v>
      </c>
      <c r="H806">
        <v>1.3994</v>
      </c>
    </row>
    <row r="807" spans="2:8" x14ac:dyDescent="0.25">
      <c r="B807">
        <v>1.4051</v>
      </c>
      <c r="C807">
        <v>15</v>
      </c>
      <c r="D807">
        <v>20.3</v>
      </c>
      <c r="E807">
        <v>6.9575999999999999E-2</v>
      </c>
      <c r="F807">
        <v>14.372999999999999</v>
      </c>
      <c r="G807">
        <v>623.26</v>
      </c>
      <c r="H807">
        <v>1.4051</v>
      </c>
    </row>
    <row r="808" spans="2:8" x14ac:dyDescent="0.25">
      <c r="B808">
        <v>1.4108000000000001</v>
      </c>
      <c r="C808">
        <v>20</v>
      </c>
      <c r="D808">
        <v>20.3</v>
      </c>
      <c r="E808">
        <v>6.8773000000000001E-2</v>
      </c>
      <c r="F808">
        <v>14.541</v>
      </c>
      <c r="G808">
        <v>625.95000000000005</v>
      </c>
      <c r="H808">
        <v>1.4108000000000001</v>
      </c>
    </row>
    <row r="809" spans="2:8" x14ac:dyDescent="0.25">
      <c r="B809">
        <v>1.4162999999999999</v>
      </c>
      <c r="C809">
        <v>25</v>
      </c>
      <c r="D809">
        <v>20.3</v>
      </c>
      <c r="E809">
        <v>6.7990999999999996E-2</v>
      </c>
      <c r="F809">
        <v>14.708</v>
      </c>
      <c r="G809">
        <v>628.63</v>
      </c>
      <c r="H809">
        <v>1.4162999999999999</v>
      </c>
    </row>
    <row r="810" spans="2:8" x14ac:dyDescent="0.25">
      <c r="B810">
        <v>1.4218</v>
      </c>
      <c r="C810">
        <v>30</v>
      </c>
      <c r="D810">
        <v>20.3</v>
      </c>
      <c r="E810">
        <v>6.7229999999999998E-2</v>
      </c>
      <c r="F810">
        <v>14.874000000000001</v>
      </c>
      <c r="G810">
        <v>631.30999999999995</v>
      </c>
      <c r="H810">
        <v>1.4218</v>
      </c>
    </row>
    <row r="811" spans="2:8" x14ac:dyDescent="0.25">
      <c r="B811">
        <v>1.4272</v>
      </c>
      <c r="C811">
        <v>35</v>
      </c>
      <c r="D811">
        <v>20.3</v>
      </c>
      <c r="E811">
        <v>6.6488000000000005E-2</v>
      </c>
      <c r="F811">
        <v>15.04</v>
      </c>
      <c r="G811">
        <v>633.97</v>
      </c>
      <c r="H811">
        <v>1.4272</v>
      </c>
    </row>
    <row r="812" spans="2:8" x14ac:dyDescent="0.25">
      <c r="B812">
        <v>1.4326000000000001</v>
      </c>
      <c r="C812">
        <v>40</v>
      </c>
      <c r="D812">
        <v>20.3</v>
      </c>
      <c r="E812">
        <v>6.5765000000000004E-2</v>
      </c>
      <c r="F812">
        <v>15.206</v>
      </c>
      <c r="G812">
        <v>636.62</v>
      </c>
      <c r="H812">
        <v>1.4326000000000001</v>
      </c>
    </row>
    <row r="813" spans="2:8" x14ac:dyDescent="0.25">
      <c r="B813">
        <v>1.4378</v>
      </c>
      <c r="C813">
        <v>45</v>
      </c>
      <c r="D813">
        <v>20.3</v>
      </c>
      <c r="E813">
        <v>6.5059000000000006E-2</v>
      </c>
      <c r="F813">
        <v>15.371</v>
      </c>
      <c r="G813">
        <v>639.27</v>
      </c>
      <c r="H813">
        <v>1.4378</v>
      </c>
    </row>
    <row r="814" spans="2:8" x14ac:dyDescent="0.25">
      <c r="B814">
        <v>1.4430000000000001</v>
      </c>
      <c r="C814">
        <v>50</v>
      </c>
      <c r="D814">
        <v>20.3</v>
      </c>
      <c r="E814">
        <v>6.4370999999999998E-2</v>
      </c>
      <c r="F814">
        <v>15.535</v>
      </c>
      <c r="G814">
        <v>641.91</v>
      </c>
      <c r="H814">
        <v>1.4430000000000001</v>
      </c>
    </row>
    <row r="815" spans="2:8" x14ac:dyDescent="0.25">
      <c r="B815">
        <v>1.4481999999999999</v>
      </c>
      <c r="C815">
        <v>55</v>
      </c>
      <c r="D815">
        <v>20.3</v>
      </c>
      <c r="E815">
        <v>6.3699000000000006E-2</v>
      </c>
      <c r="F815">
        <v>15.699</v>
      </c>
      <c r="G815">
        <v>644.54999999999995</v>
      </c>
      <c r="H815">
        <v>1.4481999999999999</v>
      </c>
    </row>
    <row r="816" spans="2:8" x14ac:dyDescent="0.25">
      <c r="B816">
        <v>1.4533</v>
      </c>
      <c r="C816">
        <v>60</v>
      </c>
      <c r="D816">
        <v>20.3</v>
      </c>
      <c r="E816">
        <v>6.3042000000000001E-2</v>
      </c>
      <c r="F816">
        <v>15.862</v>
      </c>
      <c r="G816">
        <v>647.17999999999995</v>
      </c>
      <c r="H816">
        <v>1.4533</v>
      </c>
    </row>
    <row r="817" spans="2:8" x14ac:dyDescent="0.25">
      <c r="B817">
        <v>1.4582999999999999</v>
      </c>
      <c r="C817">
        <v>65</v>
      </c>
      <c r="D817">
        <v>20.3</v>
      </c>
      <c r="E817">
        <v>6.2400999999999998E-2</v>
      </c>
      <c r="F817">
        <v>16.026</v>
      </c>
      <c r="G817">
        <v>649.80999999999995</v>
      </c>
      <c r="H817">
        <v>1.4582999999999999</v>
      </c>
    </row>
    <row r="818" spans="2:8" x14ac:dyDescent="0.25">
      <c r="B818">
        <v>1.4633</v>
      </c>
      <c r="C818">
        <v>70</v>
      </c>
      <c r="D818">
        <v>20.3</v>
      </c>
      <c r="E818">
        <v>6.1773000000000002E-2</v>
      </c>
      <c r="F818">
        <v>16.187999999999999</v>
      </c>
      <c r="G818">
        <v>652.42999999999995</v>
      </c>
      <c r="H818">
        <v>1.4633</v>
      </c>
    </row>
    <row r="819" spans="2:8" x14ac:dyDescent="0.25">
      <c r="B819">
        <v>1.4681999999999999</v>
      </c>
      <c r="C819">
        <v>75</v>
      </c>
      <c r="D819">
        <v>20.3</v>
      </c>
      <c r="E819">
        <v>6.1159999999999999E-2</v>
      </c>
      <c r="F819">
        <v>16.350999999999999</v>
      </c>
      <c r="G819">
        <v>655.05999999999995</v>
      </c>
      <c r="H819">
        <v>1.4681999999999999</v>
      </c>
    </row>
    <row r="820" spans="2:8" x14ac:dyDescent="0.25">
      <c r="B820">
        <v>1.4731000000000001</v>
      </c>
      <c r="C820">
        <v>80</v>
      </c>
      <c r="D820">
        <v>20.3</v>
      </c>
      <c r="E820">
        <v>6.0559000000000002E-2</v>
      </c>
      <c r="F820">
        <v>16.513000000000002</v>
      </c>
      <c r="G820">
        <v>657.68</v>
      </c>
      <c r="H820">
        <v>1.4731000000000001</v>
      </c>
    </row>
    <row r="821" spans="2:8" x14ac:dyDescent="0.25">
      <c r="B821">
        <v>1.4779</v>
      </c>
      <c r="C821">
        <v>85</v>
      </c>
      <c r="D821">
        <v>20.3</v>
      </c>
      <c r="E821">
        <v>5.9971999999999998E-2</v>
      </c>
      <c r="F821">
        <v>16.675000000000001</v>
      </c>
      <c r="G821">
        <v>660.3</v>
      </c>
      <c r="H821">
        <v>1.4779</v>
      </c>
    </row>
    <row r="822" spans="2:8" x14ac:dyDescent="0.25">
      <c r="B822">
        <v>1.4826999999999999</v>
      </c>
      <c r="C822">
        <v>90</v>
      </c>
      <c r="D822">
        <v>20.3</v>
      </c>
      <c r="E822">
        <v>5.9395999999999997E-2</v>
      </c>
      <c r="F822">
        <v>16.835999999999999</v>
      </c>
      <c r="G822">
        <v>662.91</v>
      </c>
      <c r="H822">
        <v>1.4826999999999999</v>
      </c>
    </row>
    <row r="823" spans="2:8" x14ac:dyDescent="0.25">
      <c r="B823">
        <v>1.4875</v>
      </c>
      <c r="C823">
        <v>95</v>
      </c>
      <c r="D823">
        <v>20.3</v>
      </c>
      <c r="E823">
        <v>5.8833000000000003E-2</v>
      </c>
      <c r="F823">
        <v>16.997</v>
      </c>
      <c r="G823">
        <v>665.53</v>
      </c>
      <c r="H823">
        <v>1.4875</v>
      </c>
    </row>
    <row r="824" spans="2:8" x14ac:dyDescent="0.25">
      <c r="B824">
        <v>1.4922</v>
      </c>
      <c r="C824">
        <v>100</v>
      </c>
      <c r="D824">
        <v>20.3</v>
      </c>
      <c r="E824">
        <v>5.8280999999999999E-2</v>
      </c>
      <c r="F824">
        <v>17.158000000000001</v>
      </c>
      <c r="G824">
        <v>668.15</v>
      </c>
      <c r="H824">
        <v>1.4922</v>
      </c>
    </row>
    <row r="825" spans="2:8" x14ac:dyDescent="0.25">
      <c r="B825">
        <v>1.4967999999999999</v>
      </c>
      <c r="C825">
        <v>105</v>
      </c>
      <c r="D825">
        <v>20.3</v>
      </c>
      <c r="E825">
        <v>5.774E-2</v>
      </c>
      <c r="F825">
        <v>17.318999999999999</v>
      </c>
      <c r="G825">
        <v>670.77</v>
      </c>
      <c r="H825">
        <v>1.4967999999999999</v>
      </c>
    </row>
    <row r="826" spans="2:8" x14ac:dyDescent="0.25">
      <c r="B826">
        <v>1.5014000000000001</v>
      </c>
      <c r="C826">
        <v>110</v>
      </c>
      <c r="D826">
        <v>20.3</v>
      </c>
      <c r="E826">
        <v>5.7209999999999997E-2</v>
      </c>
      <c r="F826">
        <v>17.48</v>
      </c>
      <c r="G826">
        <v>673.39</v>
      </c>
      <c r="H826">
        <v>1.5014000000000001</v>
      </c>
    </row>
    <row r="827" spans="2:8" x14ac:dyDescent="0.25">
      <c r="B827">
        <v>1.506</v>
      </c>
      <c r="C827">
        <v>115</v>
      </c>
      <c r="D827">
        <v>20.3</v>
      </c>
      <c r="E827">
        <v>5.6689999999999997E-2</v>
      </c>
      <c r="F827">
        <v>17.64</v>
      </c>
      <c r="G827">
        <v>676.01</v>
      </c>
      <c r="H827">
        <v>1.506</v>
      </c>
    </row>
    <row r="828" spans="2:8" x14ac:dyDescent="0.25">
      <c r="B828">
        <v>1.5105999999999999</v>
      </c>
      <c r="C828">
        <v>120</v>
      </c>
      <c r="D828">
        <v>20.3</v>
      </c>
      <c r="E828">
        <v>5.6180000000000001E-2</v>
      </c>
      <c r="F828">
        <v>17.8</v>
      </c>
      <c r="G828">
        <v>678.63</v>
      </c>
      <c r="H828">
        <v>1.5105999999999999</v>
      </c>
    </row>
    <row r="829" spans="2:8" x14ac:dyDescent="0.25">
      <c r="B829">
        <v>1.5150999999999999</v>
      </c>
      <c r="C829">
        <v>125</v>
      </c>
      <c r="D829">
        <v>20.3</v>
      </c>
      <c r="E829">
        <v>5.568E-2</v>
      </c>
      <c r="F829">
        <v>17.96</v>
      </c>
      <c r="G829">
        <v>681.25</v>
      </c>
      <c r="H829">
        <v>1.5150999999999999</v>
      </c>
    </row>
    <row r="830" spans="2:8" x14ac:dyDescent="0.25">
      <c r="B830">
        <v>1.5195000000000001</v>
      </c>
      <c r="C830">
        <v>130</v>
      </c>
      <c r="D830">
        <v>20.3</v>
      </c>
      <c r="E830">
        <v>5.5189000000000002E-2</v>
      </c>
      <c r="F830">
        <v>18.12</v>
      </c>
      <c r="G830">
        <v>683.88</v>
      </c>
      <c r="H830">
        <v>1.5195000000000001</v>
      </c>
    </row>
    <row r="831" spans="2:8" x14ac:dyDescent="0.25">
      <c r="B831">
        <v>1.524</v>
      </c>
      <c r="C831">
        <v>135</v>
      </c>
      <c r="D831">
        <v>20.3</v>
      </c>
      <c r="E831">
        <v>5.4706999999999999E-2</v>
      </c>
      <c r="F831">
        <v>18.279</v>
      </c>
      <c r="G831">
        <v>686.5</v>
      </c>
      <c r="H831">
        <v>1.524</v>
      </c>
    </row>
    <row r="832" spans="2:8" x14ac:dyDescent="0.25">
      <c r="B832">
        <v>1.5284</v>
      </c>
      <c r="C832">
        <v>140</v>
      </c>
      <c r="D832">
        <v>20.3</v>
      </c>
      <c r="E832">
        <v>5.4233999999999997E-2</v>
      </c>
      <c r="F832">
        <v>18.439</v>
      </c>
      <c r="G832">
        <v>689.13</v>
      </c>
      <c r="H832">
        <v>1.5284</v>
      </c>
    </row>
    <row r="833" spans="2:8" x14ac:dyDescent="0.25">
      <c r="B833">
        <v>1.5327</v>
      </c>
      <c r="C833">
        <v>145</v>
      </c>
      <c r="D833">
        <v>20.3</v>
      </c>
      <c r="E833">
        <v>5.3768999999999997E-2</v>
      </c>
      <c r="F833">
        <v>18.597999999999999</v>
      </c>
      <c r="G833">
        <v>691.76</v>
      </c>
      <c r="H833">
        <v>1.5327</v>
      </c>
    </row>
    <row r="834" spans="2:8" x14ac:dyDescent="0.25">
      <c r="B834">
        <v>1.5370999999999999</v>
      </c>
      <c r="C834">
        <v>150</v>
      </c>
      <c r="D834">
        <v>20.3</v>
      </c>
      <c r="E834">
        <v>5.3312999999999999E-2</v>
      </c>
      <c r="F834">
        <v>18.757000000000001</v>
      </c>
      <c r="G834">
        <v>694.4</v>
      </c>
      <c r="H834">
        <v>1.5370999999999999</v>
      </c>
    </row>
    <row r="835" spans="2:8" x14ac:dyDescent="0.25">
      <c r="B835">
        <v>1.5414000000000001</v>
      </c>
      <c r="C835">
        <v>155</v>
      </c>
      <c r="D835">
        <v>20.3</v>
      </c>
      <c r="E835">
        <v>5.2865000000000002E-2</v>
      </c>
      <c r="F835">
        <v>18.916</v>
      </c>
      <c r="G835">
        <v>697.04</v>
      </c>
      <c r="H835">
        <v>1.5414000000000001</v>
      </c>
    </row>
    <row r="836" spans="2:8" x14ac:dyDescent="0.25">
      <c r="B836">
        <v>1.5457000000000001</v>
      </c>
      <c r="C836">
        <v>160</v>
      </c>
      <c r="D836">
        <v>20.3</v>
      </c>
      <c r="E836">
        <v>5.2424999999999999E-2</v>
      </c>
      <c r="F836">
        <v>19.074999999999999</v>
      </c>
      <c r="G836">
        <v>699.68</v>
      </c>
      <c r="H836">
        <v>1.5457000000000001</v>
      </c>
    </row>
    <row r="837" spans="2:8" x14ac:dyDescent="0.25">
      <c r="B837">
        <v>1.5499000000000001</v>
      </c>
      <c r="C837">
        <v>165</v>
      </c>
      <c r="D837">
        <v>20.3</v>
      </c>
      <c r="E837">
        <v>5.1991999999999997E-2</v>
      </c>
      <c r="F837">
        <v>19.234000000000002</v>
      </c>
      <c r="G837">
        <v>702.32</v>
      </c>
      <c r="H837">
        <v>1.5499000000000001</v>
      </c>
    </row>
    <row r="838" spans="2:8" x14ac:dyDescent="0.25">
      <c r="B838">
        <v>1.5541</v>
      </c>
      <c r="C838">
        <v>170</v>
      </c>
      <c r="D838">
        <v>20.3</v>
      </c>
      <c r="E838">
        <v>5.1567000000000002E-2</v>
      </c>
      <c r="F838">
        <v>19.391999999999999</v>
      </c>
      <c r="G838">
        <v>704.97</v>
      </c>
      <c r="H838">
        <v>1.5541</v>
      </c>
    </row>
    <row r="839" spans="2:8" x14ac:dyDescent="0.25">
      <c r="B839">
        <v>1.5583</v>
      </c>
      <c r="C839">
        <v>175</v>
      </c>
      <c r="D839">
        <v>20.3</v>
      </c>
      <c r="E839">
        <v>5.1149E-2</v>
      </c>
      <c r="F839">
        <v>19.550999999999998</v>
      </c>
      <c r="G839">
        <v>707.62</v>
      </c>
      <c r="H839">
        <v>1.5583</v>
      </c>
    </row>
    <row r="840" spans="2:8" x14ac:dyDescent="0.25">
      <c r="B840">
        <v>1.5625</v>
      </c>
      <c r="C840">
        <v>180</v>
      </c>
      <c r="D840">
        <v>20.3</v>
      </c>
      <c r="E840">
        <v>5.0737999999999998E-2</v>
      </c>
      <c r="F840">
        <v>19.709</v>
      </c>
      <c r="G840">
        <v>710.28</v>
      </c>
      <c r="H840">
        <v>1.5625</v>
      </c>
    </row>
    <row r="841" spans="2:8" x14ac:dyDescent="0.25">
      <c r="B841">
        <v>1.5666</v>
      </c>
      <c r="C841">
        <v>185</v>
      </c>
      <c r="D841">
        <v>20.3</v>
      </c>
      <c r="E841">
        <v>5.0333000000000003E-2</v>
      </c>
      <c r="F841">
        <v>19.867999999999999</v>
      </c>
      <c r="G841">
        <v>712.94</v>
      </c>
      <c r="H841">
        <v>1.5666</v>
      </c>
    </row>
    <row r="842" spans="2:8" x14ac:dyDescent="0.25">
      <c r="B842">
        <v>1.5708</v>
      </c>
      <c r="C842">
        <v>190</v>
      </c>
      <c r="D842">
        <v>20.3</v>
      </c>
      <c r="E842">
        <v>4.9936000000000001E-2</v>
      </c>
      <c r="F842">
        <v>20.026</v>
      </c>
      <c r="G842">
        <v>715.6</v>
      </c>
      <c r="H842">
        <v>1.5708</v>
      </c>
    </row>
    <row r="843" spans="2:8" x14ac:dyDescent="0.25">
      <c r="B843">
        <v>1.5749</v>
      </c>
      <c r="C843">
        <v>195</v>
      </c>
      <c r="D843">
        <v>20.3</v>
      </c>
      <c r="E843">
        <v>4.9543999999999998E-2</v>
      </c>
      <c r="F843">
        <v>20.184000000000001</v>
      </c>
      <c r="G843">
        <v>718.27</v>
      </c>
      <c r="H843">
        <v>1.5749</v>
      </c>
    </row>
    <row r="844" spans="2:8" x14ac:dyDescent="0.25">
      <c r="B844">
        <v>1.5789</v>
      </c>
      <c r="C844">
        <v>200</v>
      </c>
      <c r="D844">
        <v>20.3</v>
      </c>
      <c r="E844">
        <v>4.9160000000000002E-2</v>
      </c>
      <c r="F844">
        <v>20.341999999999999</v>
      </c>
      <c r="G844">
        <v>720.94</v>
      </c>
      <c r="H844">
        <v>1.5789</v>
      </c>
    </row>
    <row r="845" spans="2:8" x14ac:dyDescent="0.25">
      <c r="B845">
        <v>1.583</v>
      </c>
      <c r="C845">
        <v>205</v>
      </c>
      <c r="D845">
        <v>20.3</v>
      </c>
      <c r="E845">
        <v>4.8780999999999998E-2</v>
      </c>
      <c r="F845">
        <v>20.5</v>
      </c>
      <c r="G845">
        <v>723.62</v>
      </c>
      <c r="H845">
        <v>1.583</v>
      </c>
    </row>
    <row r="846" spans="2:8" x14ac:dyDescent="0.25">
      <c r="B846">
        <v>1.587</v>
      </c>
      <c r="C846">
        <v>210</v>
      </c>
      <c r="D846">
        <v>20.3</v>
      </c>
      <c r="E846">
        <v>4.8408E-2</v>
      </c>
      <c r="F846">
        <v>20.658000000000001</v>
      </c>
      <c r="G846">
        <v>726.3</v>
      </c>
      <c r="H846">
        <v>1.587</v>
      </c>
    </row>
    <row r="847" spans="2:8" x14ac:dyDescent="0.25">
      <c r="B847">
        <v>1.591</v>
      </c>
      <c r="C847">
        <v>215</v>
      </c>
      <c r="D847">
        <v>20.3</v>
      </c>
      <c r="E847">
        <v>4.8041E-2</v>
      </c>
      <c r="F847">
        <v>20.815999999999999</v>
      </c>
      <c r="G847">
        <v>728.99</v>
      </c>
      <c r="H847">
        <v>1.591</v>
      </c>
    </row>
    <row r="848" spans="2:8" x14ac:dyDescent="0.25">
      <c r="B848">
        <v>1.595</v>
      </c>
      <c r="C848">
        <v>220</v>
      </c>
      <c r="D848">
        <v>20.3</v>
      </c>
      <c r="E848">
        <v>4.768E-2</v>
      </c>
      <c r="F848">
        <v>20.972999999999999</v>
      </c>
      <c r="G848">
        <v>731.68</v>
      </c>
      <c r="H848">
        <v>1.595</v>
      </c>
    </row>
    <row r="849" spans="2:8" x14ac:dyDescent="0.25">
      <c r="B849">
        <v>1.5989</v>
      </c>
      <c r="C849">
        <v>225</v>
      </c>
      <c r="D849">
        <v>20.3</v>
      </c>
      <c r="E849">
        <v>4.7323999999999998E-2</v>
      </c>
      <c r="F849">
        <v>21.131</v>
      </c>
      <c r="G849">
        <v>734.37</v>
      </c>
      <c r="H849">
        <v>1.5989</v>
      </c>
    </row>
    <row r="850" spans="2:8" x14ac:dyDescent="0.25">
      <c r="B850">
        <v>1.6028</v>
      </c>
      <c r="C850">
        <v>230</v>
      </c>
      <c r="D850">
        <v>20.3</v>
      </c>
      <c r="E850">
        <v>4.6974000000000002E-2</v>
      </c>
      <c r="F850">
        <v>21.288</v>
      </c>
      <c r="G850">
        <v>737.07</v>
      </c>
      <c r="H850">
        <v>1.6028</v>
      </c>
    </row>
    <row r="851" spans="2:8" x14ac:dyDescent="0.25">
      <c r="B851">
        <v>1.6067</v>
      </c>
      <c r="C851">
        <v>235</v>
      </c>
      <c r="D851">
        <v>20.3</v>
      </c>
      <c r="E851">
        <v>4.6628999999999997E-2</v>
      </c>
      <c r="F851">
        <v>21.446000000000002</v>
      </c>
      <c r="G851">
        <v>739.78</v>
      </c>
      <c r="H851">
        <v>1.6067</v>
      </c>
    </row>
    <row r="852" spans="2:8" x14ac:dyDescent="0.25">
      <c r="B852">
        <v>1.6106</v>
      </c>
      <c r="C852">
        <v>240</v>
      </c>
      <c r="D852">
        <v>20.3</v>
      </c>
      <c r="E852">
        <v>4.6288999999999997E-2</v>
      </c>
      <c r="F852">
        <v>21.603000000000002</v>
      </c>
      <c r="G852">
        <v>742.49</v>
      </c>
      <c r="H852">
        <v>1.6106</v>
      </c>
    </row>
    <row r="853" spans="2:8" x14ac:dyDescent="0.25">
      <c r="B853">
        <v>1.6145</v>
      </c>
      <c r="C853">
        <v>245</v>
      </c>
      <c r="D853">
        <v>20.3</v>
      </c>
      <c r="E853">
        <v>4.5954000000000002E-2</v>
      </c>
      <c r="F853">
        <v>21.760999999999999</v>
      </c>
      <c r="G853">
        <v>745.21</v>
      </c>
      <c r="H853">
        <v>1.6145</v>
      </c>
    </row>
    <row r="854" spans="2:8" x14ac:dyDescent="0.25">
      <c r="B854">
        <v>1.6184000000000001</v>
      </c>
      <c r="C854">
        <v>250</v>
      </c>
      <c r="D854">
        <v>20.3</v>
      </c>
      <c r="E854">
        <v>4.5623999999999998E-2</v>
      </c>
      <c r="F854">
        <v>21.917999999999999</v>
      </c>
      <c r="G854">
        <v>747.93</v>
      </c>
      <c r="H854">
        <v>1.6184000000000001</v>
      </c>
    </row>
    <row r="855" spans="2:8" x14ac:dyDescent="0.25">
      <c r="B855">
        <v>1.6222000000000001</v>
      </c>
      <c r="C855">
        <v>255</v>
      </c>
      <c r="D855">
        <v>20.3</v>
      </c>
      <c r="E855">
        <v>4.5298999999999999E-2</v>
      </c>
      <c r="F855">
        <v>22.074999999999999</v>
      </c>
      <c r="G855">
        <v>750.66</v>
      </c>
      <c r="H855">
        <v>1.6222000000000001</v>
      </c>
    </row>
    <row r="856" spans="2:8" x14ac:dyDescent="0.25">
      <c r="B856">
        <v>1.6259999999999999</v>
      </c>
      <c r="C856">
        <v>260</v>
      </c>
      <c r="D856">
        <v>20.3</v>
      </c>
      <c r="E856">
        <v>4.4978999999999998E-2</v>
      </c>
      <c r="F856">
        <v>22.233000000000001</v>
      </c>
      <c r="G856">
        <v>753.39</v>
      </c>
      <c r="H856">
        <v>1.6259999999999999</v>
      </c>
    </row>
    <row r="857" spans="2:8" x14ac:dyDescent="0.25">
      <c r="B857">
        <v>1.6297999999999999</v>
      </c>
      <c r="C857">
        <v>265</v>
      </c>
      <c r="D857">
        <v>20.3</v>
      </c>
      <c r="E857">
        <v>4.4663000000000001E-2</v>
      </c>
      <c r="F857">
        <v>22.39</v>
      </c>
      <c r="G857">
        <v>756.13</v>
      </c>
      <c r="H857">
        <v>1.6297999999999999</v>
      </c>
    </row>
    <row r="858" spans="2:8" x14ac:dyDescent="0.25">
      <c r="B858">
        <v>1.6335999999999999</v>
      </c>
      <c r="C858">
        <v>270</v>
      </c>
      <c r="D858">
        <v>20.3</v>
      </c>
      <c r="E858">
        <v>4.4352000000000003E-2</v>
      </c>
      <c r="F858">
        <v>22.547000000000001</v>
      </c>
      <c r="G858">
        <v>758.88</v>
      </c>
      <c r="H858">
        <v>1.6335999999999999</v>
      </c>
    </row>
    <row r="859" spans="2:8" x14ac:dyDescent="0.25">
      <c r="B859">
        <v>1.6373</v>
      </c>
      <c r="C859">
        <v>275</v>
      </c>
      <c r="D859">
        <v>20.3</v>
      </c>
      <c r="E859">
        <v>4.4045000000000001E-2</v>
      </c>
      <c r="F859">
        <v>22.704000000000001</v>
      </c>
      <c r="G859">
        <v>761.63</v>
      </c>
      <c r="H859">
        <v>1.6373</v>
      </c>
    </row>
    <row r="860" spans="2:8" x14ac:dyDescent="0.25">
      <c r="B860">
        <v>1.6411</v>
      </c>
      <c r="C860">
        <v>280</v>
      </c>
      <c r="D860">
        <v>20.3</v>
      </c>
      <c r="E860">
        <v>4.3742999999999997E-2</v>
      </c>
      <c r="F860">
        <v>22.861000000000001</v>
      </c>
      <c r="G860">
        <v>764.38</v>
      </c>
      <c r="H860">
        <v>1.6411</v>
      </c>
    </row>
    <row r="861" spans="2:8" x14ac:dyDescent="0.25">
      <c r="B861">
        <v>1.6448</v>
      </c>
      <c r="C861">
        <v>285</v>
      </c>
      <c r="D861">
        <v>20.3</v>
      </c>
      <c r="E861">
        <v>4.3444000000000003E-2</v>
      </c>
      <c r="F861">
        <v>23.018000000000001</v>
      </c>
      <c r="G861">
        <v>767.14</v>
      </c>
      <c r="H861">
        <v>1.6448</v>
      </c>
    </row>
    <row r="862" spans="2:8" x14ac:dyDescent="0.25">
      <c r="B862">
        <v>1.6485000000000001</v>
      </c>
      <c r="C862">
        <v>290</v>
      </c>
      <c r="D862">
        <v>20.3</v>
      </c>
      <c r="E862">
        <v>4.3150000000000001E-2</v>
      </c>
      <c r="F862">
        <v>23.175000000000001</v>
      </c>
      <c r="G862">
        <v>769.91</v>
      </c>
      <c r="H862">
        <v>1.6485000000000001</v>
      </c>
    </row>
    <row r="863" spans="2:8" x14ac:dyDescent="0.25">
      <c r="B863">
        <v>1.6521999999999999</v>
      </c>
      <c r="C863">
        <v>295</v>
      </c>
      <c r="D863">
        <v>20.3</v>
      </c>
      <c r="E863">
        <v>4.2860000000000002E-2</v>
      </c>
      <c r="F863">
        <v>23.332000000000001</v>
      </c>
      <c r="G863">
        <v>772.69</v>
      </c>
      <c r="H863">
        <v>1.6521999999999999</v>
      </c>
    </row>
    <row r="864" spans="2:8" x14ac:dyDescent="0.25">
      <c r="B864">
        <v>1.6557999999999999</v>
      </c>
      <c r="C864">
        <v>300</v>
      </c>
      <c r="D864">
        <v>20.3</v>
      </c>
      <c r="E864">
        <v>4.2574000000000001E-2</v>
      </c>
      <c r="F864">
        <v>23.489000000000001</v>
      </c>
      <c r="G864">
        <v>775.47</v>
      </c>
      <c r="H864">
        <v>1.6557999999999999</v>
      </c>
    </row>
    <row r="866" spans="1:8" x14ac:dyDescent="0.25">
      <c r="A866">
        <v>21.4</v>
      </c>
      <c r="B866">
        <v>-2.5399999999999999E-2</v>
      </c>
      <c r="C866">
        <v>-50</v>
      </c>
      <c r="D866">
        <v>21.4</v>
      </c>
      <c r="E866">
        <v>43.503999999999998</v>
      </c>
      <c r="F866">
        <v>2.2985999999999999E-2</v>
      </c>
      <c r="G866">
        <v>-10.484999999999999</v>
      </c>
      <c r="H866">
        <v>-2.5399999999999999E-2</v>
      </c>
    </row>
    <row r="867" spans="1:8" x14ac:dyDescent="0.25">
      <c r="B867">
        <v>-1.2668E-2</v>
      </c>
      <c r="C867">
        <v>-45</v>
      </c>
      <c r="D867">
        <v>21.4</v>
      </c>
      <c r="E867">
        <v>43.296999999999997</v>
      </c>
      <c r="F867">
        <v>2.3096999999999999E-2</v>
      </c>
      <c r="G867">
        <v>-5.2374999999999998</v>
      </c>
      <c r="H867">
        <v>-1.2668E-2</v>
      </c>
    </row>
    <row r="868" spans="1:8" x14ac:dyDescent="0.25">
      <c r="B868">
        <v>-4.6230999999999998E-5</v>
      </c>
      <c r="C868">
        <v>-40</v>
      </c>
      <c r="D868">
        <v>21.4</v>
      </c>
      <c r="E868">
        <v>43.087000000000003</v>
      </c>
      <c r="F868">
        <v>2.3209E-2</v>
      </c>
      <c r="G868">
        <v>2.7882000000000001E-2</v>
      </c>
      <c r="H868">
        <v>-4.6230999999999998E-5</v>
      </c>
    </row>
    <row r="869" spans="1:8" x14ac:dyDescent="0.25">
      <c r="B869">
        <v>1.2467000000000001E-2</v>
      </c>
      <c r="C869">
        <v>-35</v>
      </c>
      <c r="D869">
        <v>21.4</v>
      </c>
      <c r="E869">
        <v>42.875</v>
      </c>
      <c r="F869">
        <v>2.3323E-2</v>
      </c>
      <c r="G869">
        <v>5.3106</v>
      </c>
      <c r="H869">
        <v>1.2467000000000001E-2</v>
      </c>
    </row>
    <row r="870" spans="1:8" x14ac:dyDescent="0.25">
      <c r="B870">
        <v>2.4874E-2</v>
      </c>
      <c r="C870">
        <v>-30</v>
      </c>
      <c r="D870">
        <v>21.4</v>
      </c>
      <c r="E870">
        <v>42.661999999999999</v>
      </c>
      <c r="F870">
        <v>2.3439999999999999E-2</v>
      </c>
      <c r="G870">
        <v>10.61</v>
      </c>
      <c r="H870">
        <v>2.4874E-2</v>
      </c>
    </row>
    <row r="871" spans="1:8" x14ac:dyDescent="0.25">
      <c r="B871">
        <v>3.7177000000000002E-2</v>
      </c>
      <c r="C871">
        <v>-25</v>
      </c>
      <c r="D871">
        <v>21.4</v>
      </c>
      <c r="E871">
        <v>42.447000000000003</v>
      </c>
      <c r="F871">
        <v>2.3559E-2</v>
      </c>
      <c r="G871">
        <v>15.927</v>
      </c>
      <c r="H871">
        <v>3.7177000000000002E-2</v>
      </c>
    </row>
    <row r="872" spans="1:8" x14ac:dyDescent="0.25">
      <c r="B872">
        <v>4.9376999999999997E-2</v>
      </c>
      <c r="C872">
        <v>-20</v>
      </c>
      <c r="D872">
        <v>21.4</v>
      </c>
      <c r="E872">
        <v>42.228999999999999</v>
      </c>
      <c r="F872">
        <v>2.368E-2</v>
      </c>
      <c r="G872">
        <v>21.260999999999999</v>
      </c>
      <c r="H872">
        <v>4.9376999999999997E-2</v>
      </c>
    </row>
    <row r="873" spans="1:8" x14ac:dyDescent="0.25">
      <c r="B873">
        <v>6.1476000000000003E-2</v>
      </c>
      <c r="C873">
        <v>-15</v>
      </c>
      <c r="D873">
        <v>21.4</v>
      </c>
      <c r="E873">
        <v>42.01</v>
      </c>
      <c r="F873">
        <v>2.3803999999999999E-2</v>
      </c>
      <c r="G873">
        <v>26.611000000000001</v>
      </c>
      <c r="H873">
        <v>6.1476000000000003E-2</v>
      </c>
    </row>
    <row r="874" spans="1:8" x14ac:dyDescent="0.25">
      <c r="B874">
        <v>1.3686</v>
      </c>
      <c r="C874">
        <v>-10</v>
      </c>
      <c r="D874">
        <v>21.4</v>
      </c>
      <c r="E874">
        <v>7.8115000000000004E-2</v>
      </c>
      <c r="F874">
        <v>12.802</v>
      </c>
      <c r="G874">
        <v>609.15</v>
      </c>
      <c r="H874">
        <v>1.3686</v>
      </c>
    </row>
    <row r="875" spans="1:8" x14ac:dyDescent="0.25">
      <c r="B875">
        <v>1.3748</v>
      </c>
      <c r="C875">
        <v>-5</v>
      </c>
      <c r="D875">
        <v>21.4</v>
      </c>
      <c r="E875">
        <v>7.7122999999999997E-2</v>
      </c>
      <c r="F875">
        <v>12.965999999999999</v>
      </c>
      <c r="G875">
        <v>611.94000000000005</v>
      </c>
      <c r="H875">
        <v>1.3748</v>
      </c>
    </row>
    <row r="876" spans="1:8" x14ac:dyDescent="0.25">
      <c r="B876">
        <v>1.3809</v>
      </c>
      <c r="C876">
        <v>0</v>
      </c>
      <c r="D876">
        <v>21.4</v>
      </c>
      <c r="E876">
        <v>7.6161999999999994E-2</v>
      </c>
      <c r="F876">
        <v>13.13</v>
      </c>
      <c r="G876">
        <v>614.72</v>
      </c>
      <c r="H876">
        <v>1.3809</v>
      </c>
    </row>
    <row r="877" spans="1:8" x14ac:dyDescent="0.25">
      <c r="B877">
        <v>1.3868</v>
      </c>
      <c r="C877">
        <v>5</v>
      </c>
      <c r="D877">
        <v>21.4</v>
      </c>
      <c r="E877">
        <v>7.5231000000000006E-2</v>
      </c>
      <c r="F877">
        <v>13.292</v>
      </c>
      <c r="G877">
        <v>617.47</v>
      </c>
      <c r="H877">
        <v>1.3868</v>
      </c>
    </row>
    <row r="878" spans="1:8" x14ac:dyDescent="0.25">
      <c r="B878">
        <v>1.3927</v>
      </c>
      <c r="C878">
        <v>10</v>
      </c>
      <c r="D878">
        <v>21.4</v>
      </c>
      <c r="E878">
        <v>7.4328000000000005E-2</v>
      </c>
      <c r="F878">
        <v>13.454000000000001</v>
      </c>
      <c r="G878">
        <v>620.21</v>
      </c>
      <c r="H878">
        <v>1.3927</v>
      </c>
    </row>
    <row r="879" spans="1:8" x14ac:dyDescent="0.25">
      <c r="B879">
        <v>1.3984000000000001</v>
      </c>
      <c r="C879">
        <v>15</v>
      </c>
      <c r="D879">
        <v>21.4</v>
      </c>
      <c r="E879">
        <v>7.3450000000000001E-2</v>
      </c>
      <c r="F879">
        <v>13.615</v>
      </c>
      <c r="G879">
        <v>622.92999999999995</v>
      </c>
      <c r="H879">
        <v>1.3984000000000001</v>
      </c>
    </row>
    <row r="880" spans="1:8" x14ac:dyDescent="0.25">
      <c r="B880">
        <v>1.4040999999999999</v>
      </c>
      <c r="C880">
        <v>20</v>
      </c>
      <c r="D880">
        <v>21.4</v>
      </c>
      <c r="E880">
        <v>7.2596999999999995E-2</v>
      </c>
      <c r="F880">
        <v>13.775</v>
      </c>
      <c r="G880">
        <v>625.64</v>
      </c>
      <c r="H880">
        <v>1.4040999999999999</v>
      </c>
    </row>
    <row r="881" spans="2:8" x14ac:dyDescent="0.25">
      <c r="B881">
        <v>1.4097</v>
      </c>
      <c r="C881">
        <v>25</v>
      </c>
      <c r="D881">
        <v>21.4</v>
      </c>
      <c r="E881">
        <v>7.1766999999999997E-2</v>
      </c>
      <c r="F881">
        <v>13.933999999999999</v>
      </c>
      <c r="G881">
        <v>628.33000000000004</v>
      </c>
      <c r="H881">
        <v>1.4097</v>
      </c>
    </row>
    <row r="882" spans="2:8" x14ac:dyDescent="0.25">
      <c r="B882">
        <v>1.4152</v>
      </c>
      <c r="C882">
        <v>30</v>
      </c>
      <c r="D882">
        <v>21.4</v>
      </c>
      <c r="E882">
        <v>7.0958999999999994E-2</v>
      </c>
      <c r="F882">
        <v>14.093</v>
      </c>
      <c r="G882">
        <v>631.02</v>
      </c>
      <c r="H882">
        <v>1.4152</v>
      </c>
    </row>
    <row r="883" spans="2:8" x14ac:dyDescent="0.25">
      <c r="B883">
        <v>1.4206000000000001</v>
      </c>
      <c r="C883">
        <v>35</v>
      </c>
      <c r="D883">
        <v>21.4</v>
      </c>
      <c r="E883">
        <v>7.0171999999999998E-2</v>
      </c>
      <c r="F883">
        <v>14.250999999999999</v>
      </c>
      <c r="G883">
        <v>633.69000000000005</v>
      </c>
      <c r="H883">
        <v>1.4206000000000001</v>
      </c>
    </row>
    <row r="884" spans="2:8" x14ac:dyDescent="0.25">
      <c r="B884">
        <v>1.4259999999999999</v>
      </c>
      <c r="C884">
        <v>40</v>
      </c>
      <c r="D884">
        <v>21.4</v>
      </c>
      <c r="E884">
        <v>6.9405999999999995E-2</v>
      </c>
      <c r="F884">
        <v>14.407999999999999</v>
      </c>
      <c r="G884">
        <v>636.36</v>
      </c>
      <c r="H884">
        <v>1.4259999999999999</v>
      </c>
    </row>
    <row r="885" spans="2:8" x14ac:dyDescent="0.25">
      <c r="B885">
        <v>1.4313</v>
      </c>
      <c r="C885">
        <v>45</v>
      </c>
      <c r="D885">
        <v>21.4</v>
      </c>
      <c r="E885">
        <v>6.8657999999999997E-2</v>
      </c>
      <c r="F885">
        <v>14.565</v>
      </c>
      <c r="G885">
        <v>639.02</v>
      </c>
      <c r="H885">
        <v>1.4313</v>
      </c>
    </row>
    <row r="886" spans="2:8" x14ac:dyDescent="0.25">
      <c r="B886">
        <v>1.4365000000000001</v>
      </c>
      <c r="C886">
        <v>50</v>
      </c>
      <c r="D886">
        <v>21.4</v>
      </c>
      <c r="E886">
        <v>6.7928000000000002E-2</v>
      </c>
      <c r="F886">
        <v>14.721</v>
      </c>
      <c r="G886">
        <v>641.66999999999996</v>
      </c>
      <c r="H886">
        <v>1.4365000000000001</v>
      </c>
    </row>
    <row r="887" spans="2:8" x14ac:dyDescent="0.25">
      <c r="B887">
        <v>1.4417</v>
      </c>
      <c r="C887">
        <v>55</v>
      </c>
      <c r="D887">
        <v>21.4</v>
      </c>
      <c r="E887">
        <v>6.7215999999999998E-2</v>
      </c>
      <c r="F887">
        <v>14.877000000000001</v>
      </c>
      <c r="G887">
        <v>644.30999999999995</v>
      </c>
      <c r="H887">
        <v>1.4417</v>
      </c>
    </row>
    <row r="888" spans="2:8" x14ac:dyDescent="0.25">
      <c r="B888">
        <v>1.4468000000000001</v>
      </c>
      <c r="C888">
        <v>60</v>
      </c>
      <c r="D888">
        <v>21.4</v>
      </c>
      <c r="E888">
        <v>6.6520999999999997E-2</v>
      </c>
      <c r="F888">
        <v>15.032999999999999</v>
      </c>
      <c r="G888">
        <v>646.95000000000005</v>
      </c>
      <c r="H888">
        <v>1.4468000000000001</v>
      </c>
    </row>
    <row r="889" spans="2:8" x14ac:dyDescent="0.25">
      <c r="B889">
        <v>1.4518</v>
      </c>
      <c r="C889">
        <v>65</v>
      </c>
      <c r="D889">
        <v>21.4</v>
      </c>
      <c r="E889">
        <v>6.5840999999999997E-2</v>
      </c>
      <c r="F889">
        <v>15.188000000000001</v>
      </c>
      <c r="G889">
        <v>649.59</v>
      </c>
      <c r="H889">
        <v>1.4518</v>
      </c>
    </row>
    <row r="890" spans="2:8" x14ac:dyDescent="0.25">
      <c r="B890">
        <v>1.4568000000000001</v>
      </c>
      <c r="C890">
        <v>70</v>
      </c>
      <c r="D890">
        <v>21.4</v>
      </c>
      <c r="E890">
        <v>6.5176999999999999E-2</v>
      </c>
      <c r="F890">
        <v>15.343</v>
      </c>
      <c r="G890">
        <v>652.22</v>
      </c>
      <c r="H890">
        <v>1.4568000000000001</v>
      </c>
    </row>
    <row r="891" spans="2:8" x14ac:dyDescent="0.25">
      <c r="B891">
        <v>1.4618</v>
      </c>
      <c r="C891">
        <v>75</v>
      </c>
      <c r="D891">
        <v>21.4</v>
      </c>
      <c r="E891">
        <v>6.4527000000000001E-2</v>
      </c>
      <c r="F891">
        <v>15.497</v>
      </c>
      <c r="G891">
        <v>654.85</v>
      </c>
      <c r="H891">
        <v>1.4618</v>
      </c>
    </row>
    <row r="892" spans="2:8" x14ac:dyDescent="0.25">
      <c r="B892">
        <v>1.4666999999999999</v>
      </c>
      <c r="C892">
        <v>80</v>
      </c>
      <c r="D892">
        <v>21.4</v>
      </c>
      <c r="E892">
        <v>6.3892000000000004E-2</v>
      </c>
      <c r="F892">
        <v>15.651</v>
      </c>
      <c r="G892">
        <v>657.48</v>
      </c>
      <c r="H892">
        <v>1.4666999999999999</v>
      </c>
    </row>
    <row r="893" spans="2:8" x14ac:dyDescent="0.25">
      <c r="B893">
        <v>1.4715</v>
      </c>
      <c r="C893">
        <v>85</v>
      </c>
      <c r="D893">
        <v>21.4</v>
      </c>
      <c r="E893">
        <v>6.3270000000000007E-2</v>
      </c>
      <c r="F893">
        <v>15.805</v>
      </c>
      <c r="G893">
        <v>660.11</v>
      </c>
      <c r="H893">
        <v>1.4715</v>
      </c>
    </row>
    <row r="894" spans="2:8" x14ac:dyDescent="0.25">
      <c r="B894">
        <v>1.4762999999999999</v>
      </c>
      <c r="C894">
        <v>90</v>
      </c>
      <c r="D894">
        <v>21.4</v>
      </c>
      <c r="E894">
        <v>6.2660999999999994E-2</v>
      </c>
      <c r="F894">
        <v>15.959</v>
      </c>
      <c r="G894">
        <v>662.73</v>
      </c>
      <c r="H894">
        <v>1.4762999999999999</v>
      </c>
    </row>
    <row r="895" spans="2:8" x14ac:dyDescent="0.25">
      <c r="B895">
        <v>1.4811000000000001</v>
      </c>
      <c r="C895">
        <v>95</v>
      </c>
      <c r="D895">
        <v>21.4</v>
      </c>
      <c r="E895">
        <v>6.2065000000000002E-2</v>
      </c>
      <c r="F895">
        <v>16.111999999999998</v>
      </c>
      <c r="G895">
        <v>665.35</v>
      </c>
      <c r="H895">
        <v>1.4811000000000001</v>
      </c>
    </row>
    <row r="896" spans="2:8" x14ac:dyDescent="0.25">
      <c r="B896">
        <v>1.4858</v>
      </c>
      <c r="C896">
        <v>100</v>
      </c>
      <c r="D896">
        <v>21.4</v>
      </c>
      <c r="E896">
        <v>6.1481000000000001E-2</v>
      </c>
      <c r="F896">
        <v>16.265000000000001</v>
      </c>
      <c r="G896">
        <v>667.98</v>
      </c>
      <c r="H896">
        <v>1.4858</v>
      </c>
    </row>
    <row r="897" spans="2:8" x14ac:dyDescent="0.25">
      <c r="B897">
        <v>1.4903999999999999</v>
      </c>
      <c r="C897">
        <v>105</v>
      </c>
      <c r="D897">
        <v>21.4</v>
      </c>
      <c r="E897">
        <v>6.0908999999999998E-2</v>
      </c>
      <c r="F897">
        <v>16.417999999999999</v>
      </c>
      <c r="G897">
        <v>670.6</v>
      </c>
      <c r="H897">
        <v>1.4903999999999999</v>
      </c>
    </row>
    <row r="898" spans="2:8" x14ac:dyDescent="0.25">
      <c r="B898">
        <v>1.4951000000000001</v>
      </c>
      <c r="C898">
        <v>110</v>
      </c>
      <c r="D898">
        <v>21.4</v>
      </c>
      <c r="E898">
        <v>6.0347999999999999E-2</v>
      </c>
      <c r="F898">
        <v>16.57</v>
      </c>
      <c r="G898">
        <v>673.22</v>
      </c>
      <c r="H898">
        <v>1.4951000000000001</v>
      </c>
    </row>
    <row r="899" spans="2:8" x14ac:dyDescent="0.25">
      <c r="B899">
        <v>1.4997</v>
      </c>
      <c r="C899">
        <v>115</v>
      </c>
      <c r="D899">
        <v>21.4</v>
      </c>
      <c r="E899">
        <v>5.9798999999999998E-2</v>
      </c>
      <c r="F899">
        <v>16.722999999999999</v>
      </c>
      <c r="G899">
        <v>675.85</v>
      </c>
      <c r="H899">
        <v>1.4997</v>
      </c>
    </row>
    <row r="900" spans="2:8" x14ac:dyDescent="0.25">
      <c r="B900">
        <v>1.5042</v>
      </c>
      <c r="C900">
        <v>120</v>
      </c>
      <c r="D900">
        <v>21.4</v>
      </c>
      <c r="E900">
        <v>5.926E-2</v>
      </c>
      <c r="F900">
        <v>16.875</v>
      </c>
      <c r="G900">
        <v>678.48</v>
      </c>
      <c r="H900">
        <v>1.5042</v>
      </c>
    </row>
    <row r="901" spans="2:8" x14ac:dyDescent="0.25">
      <c r="B901">
        <v>1.5086999999999999</v>
      </c>
      <c r="C901">
        <v>125</v>
      </c>
      <c r="D901">
        <v>21.4</v>
      </c>
      <c r="E901">
        <v>5.8730999999999998E-2</v>
      </c>
      <c r="F901">
        <v>17.027000000000001</v>
      </c>
      <c r="G901">
        <v>681.1</v>
      </c>
      <c r="H901">
        <v>1.5086999999999999</v>
      </c>
    </row>
    <row r="902" spans="2:8" x14ac:dyDescent="0.25">
      <c r="B902">
        <v>1.5132000000000001</v>
      </c>
      <c r="C902">
        <v>130</v>
      </c>
      <c r="D902">
        <v>21.4</v>
      </c>
      <c r="E902">
        <v>5.8212E-2</v>
      </c>
      <c r="F902">
        <v>17.178999999999998</v>
      </c>
      <c r="G902">
        <v>683.73</v>
      </c>
      <c r="H902">
        <v>1.5132000000000001</v>
      </c>
    </row>
    <row r="903" spans="2:8" x14ac:dyDescent="0.25">
      <c r="B903">
        <v>1.5176000000000001</v>
      </c>
      <c r="C903">
        <v>135</v>
      </c>
      <c r="D903">
        <v>21.4</v>
      </c>
      <c r="E903">
        <v>5.7702000000000003E-2</v>
      </c>
      <c r="F903">
        <v>17.329999999999998</v>
      </c>
      <c r="G903">
        <v>686.36</v>
      </c>
      <c r="H903">
        <v>1.5176000000000001</v>
      </c>
    </row>
    <row r="904" spans="2:8" x14ac:dyDescent="0.25">
      <c r="B904">
        <v>1.522</v>
      </c>
      <c r="C904">
        <v>140</v>
      </c>
      <c r="D904">
        <v>21.4</v>
      </c>
      <c r="E904">
        <v>5.7202999999999997E-2</v>
      </c>
      <c r="F904">
        <v>17.481999999999999</v>
      </c>
      <c r="G904">
        <v>689</v>
      </c>
      <c r="H904">
        <v>1.522</v>
      </c>
    </row>
    <row r="905" spans="2:8" x14ac:dyDescent="0.25">
      <c r="B905">
        <v>1.5264</v>
      </c>
      <c r="C905">
        <v>145</v>
      </c>
      <c r="D905">
        <v>21.4</v>
      </c>
      <c r="E905">
        <v>5.6711999999999999E-2</v>
      </c>
      <c r="F905">
        <v>17.632999999999999</v>
      </c>
      <c r="G905">
        <v>691.63</v>
      </c>
      <c r="H905">
        <v>1.5264</v>
      </c>
    </row>
    <row r="906" spans="2:8" x14ac:dyDescent="0.25">
      <c r="B906">
        <v>1.5307999999999999</v>
      </c>
      <c r="C906">
        <v>150</v>
      </c>
      <c r="D906">
        <v>21.4</v>
      </c>
      <c r="E906">
        <v>5.6230000000000002E-2</v>
      </c>
      <c r="F906">
        <v>17.783999999999999</v>
      </c>
      <c r="G906">
        <v>694.27</v>
      </c>
      <c r="H906">
        <v>1.5307999999999999</v>
      </c>
    </row>
    <row r="907" spans="2:8" x14ac:dyDescent="0.25">
      <c r="B907">
        <v>1.5350999999999999</v>
      </c>
      <c r="C907">
        <v>155</v>
      </c>
      <c r="D907">
        <v>21.4</v>
      </c>
      <c r="E907">
        <v>5.5756E-2</v>
      </c>
      <c r="F907">
        <v>17.934999999999999</v>
      </c>
      <c r="G907">
        <v>696.91</v>
      </c>
      <c r="H907">
        <v>1.5350999999999999</v>
      </c>
    </row>
    <row r="908" spans="2:8" x14ac:dyDescent="0.25">
      <c r="B908">
        <v>1.5394000000000001</v>
      </c>
      <c r="C908">
        <v>160</v>
      </c>
      <c r="D908">
        <v>21.4</v>
      </c>
      <c r="E908">
        <v>5.5291E-2</v>
      </c>
      <c r="F908">
        <v>18.085999999999999</v>
      </c>
      <c r="G908">
        <v>699.55</v>
      </c>
      <c r="H908">
        <v>1.5394000000000001</v>
      </c>
    </row>
    <row r="909" spans="2:8" x14ac:dyDescent="0.25">
      <c r="B909">
        <v>1.5436000000000001</v>
      </c>
      <c r="C909">
        <v>165</v>
      </c>
      <c r="D909">
        <v>21.4</v>
      </c>
      <c r="E909">
        <v>5.4834000000000001E-2</v>
      </c>
      <c r="F909">
        <v>18.236999999999998</v>
      </c>
      <c r="G909">
        <v>702.2</v>
      </c>
      <c r="H909">
        <v>1.5436000000000001</v>
      </c>
    </row>
    <row r="910" spans="2:8" x14ac:dyDescent="0.25">
      <c r="B910">
        <v>1.5478000000000001</v>
      </c>
      <c r="C910">
        <v>170</v>
      </c>
      <c r="D910">
        <v>21.4</v>
      </c>
      <c r="E910">
        <v>5.4385000000000003E-2</v>
      </c>
      <c r="F910">
        <v>18.388000000000002</v>
      </c>
      <c r="G910">
        <v>704.85</v>
      </c>
      <c r="H910">
        <v>1.5478000000000001</v>
      </c>
    </row>
    <row r="911" spans="2:8" x14ac:dyDescent="0.25">
      <c r="B911">
        <v>1.552</v>
      </c>
      <c r="C911">
        <v>175</v>
      </c>
      <c r="D911">
        <v>21.4</v>
      </c>
      <c r="E911">
        <v>5.3942999999999998E-2</v>
      </c>
      <c r="F911">
        <v>18.538</v>
      </c>
      <c r="G911">
        <v>707.51</v>
      </c>
      <c r="H911">
        <v>1.552</v>
      </c>
    </row>
    <row r="912" spans="2:8" x14ac:dyDescent="0.25">
      <c r="B912">
        <v>1.5562</v>
      </c>
      <c r="C912">
        <v>180</v>
      </c>
      <c r="D912">
        <v>21.4</v>
      </c>
      <c r="E912">
        <v>5.3509000000000001E-2</v>
      </c>
      <c r="F912">
        <v>18.689</v>
      </c>
      <c r="G912">
        <v>710.17</v>
      </c>
      <c r="H912">
        <v>1.5562</v>
      </c>
    </row>
    <row r="913" spans="2:8" x14ac:dyDescent="0.25">
      <c r="B913">
        <v>1.5604</v>
      </c>
      <c r="C913">
        <v>185</v>
      </c>
      <c r="D913">
        <v>21.4</v>
      </c>
      <c r="E913">
        <v>5.3081999999999997E-2</v>
      </c>
      <c r="F913">
        <v>18.838999999999999</v>
      </c>
      <c r="G913">
        <v>712.83</v>
      </c>
      <c r="H913">
        <v>1.5604</v>
      </c>
    </row>
    <row r="914" spans="2:8" x14ac:dyDescent="0.25">
      <c r="B914">
        <v>1.5645</v>
      </c>
      <c r="C914">
        <v>190</v>
      </c>
      <c r="D914">
        <v>21.4</v>
      </c>
      <c r="E914">
        <v>5.2662E-2</v>
      </c>
      <c r="F914">
        <v>18.989000000000001</v>
      </c>
      <c r="G914">
        <v>715.49</v>
      </c>
      <c r="H914">
        <v>1.5645</v>
      </c>
    </row>
    <row r="915" spans="2:8" x14ac:dyDescent="0.25">
      <c r="B915">
        <v>1.5686</v>
      </c>
      <c r="C915">
        <v>195</v>
      </c>
      <c r="D915">
        <v>21.4</v>
      </c>
      <c r="E915">
        <v>5.2248999999999997E-2</v>
      </c>
      <c r="F915">
        <v>19.138999999999999</v>
      </c>
      <c r="G915">
        <v>718.16</v>
      </c>
      <c r="H915">
        <v>1.5686</v>
      </c>
    </row>
    <row r="916" spans="2:8" x14ac:dyDescent="0.25">
      <c r="B916">
        <v>1.5727</v>
      </c>
      <c r="C916">
        <v>200</v>
      </c>
      <c r="D916">
        <v>21.4</v>
      </c>
      <c r="E916">
        <v>5.1841999999999999E-2</v>
      </c>
      <c r="F916">
        <v>19.289000000000001</v>
      </c>
      <c r="G916">
        <v>720.84</v>
      </c>
      <c r="H916">
        <v>1.5727</v>
      </c>
    </row>
    <row r="917" spans="2:8" x14ac:dyDescent="0.25">
      <c r="B917">
        <v>1.5767</v>
      </c>
      <c r="C917">
        <v>205</v>
      </c>
      <c r="D917">
        <v>21.4</v>
      </c>
      <c r="E917">
        <v>5.1442000000000002E-2</v>
      </c>
      <c r="F917">
        <v>19.439</v>
      </c>
      <c r="G917">
        <v>723.52</v>
      </c>
      <c r="H917">
        <v>1.5767</v>
      </c>
    </row>
    <row r="918" spans="2:8" x14ac:dyDescent="0.25">
      <c r="B918">
        <v>1.5807</v>
      </c>
      <c r="C918">
        <v>210</v>
      </c>
      <c r="D918">
        <v>21.4</v>
      </c>
      <c r="E918">
        <v>5.1048999999999997E-2</v>
      </c>
      <c r="F918">
        <v>19.588999999999999</v>
      </c>
      <c r="G918">
        <v>726.2</v>
      </c>
      <c r="H918">
        <v>1.5807</v>
      </c>
    </row>
    <row r="919" spans="2:8" x14ac:dyDescent="0.25">
      <c r="B919">
        <v>1.5847</v>
      </c>
      <c r="C919">
        <v>215</v>
      </c>
      <c r="D919">
        <v>21.4</v>
      </c>
      <c r="E919">
        <v>5.0660999999999998E-2</v>
      </c>
      <c r="F919">
        <v>19.739000000000001</v>
      </c>
      <c r="G919">
        <v>728.89</v>
      </c>
      <c r="H919">
        <v>1.5847</v>
      </c>
    </row>
    <row r="920" spans="2:8" x14ac:dyDescent="0.25">
      <c r="B920">
        <v>1.5887</v>
      </c>
      <c r="C920">
        <v>220</v>
      </c>
      <c r="D920">
        <v>21.4</v>
      </c>
      <c r="E920">
        <v>5.0279999999999998E-2</v>
      </c>
      <c r="F920">
        <v>19.888999999999999</v>
      </c>
      <c r="G920">
        <v>731.58</v>
      </c>
      <c r="H920">
        <v>1.5887</v>
      </c>
    </row>
    <row r="921" spans="2:8" x14ac:dyDescent="0.25">
      <c r="B921">
        <v>1.5927</v>
      </c>
      <c r="C921">
        <v>225</v>
      </c>
      <c r="D921">
        <v>21.4</v>
      </c>
      <c r="E921">
        <v>4.9903999999999997E-2</v>
      </c>
      <c r="F921">
        <v>20.038</v>
      </c>
      <c r="G921">
        <v>734.28</v>
      </c>
      <c r="H921">
        <v>1.5927</v>
      </c>
    </row>
    <row r="922" spans="2:8" x14ac:dyDescent="0.25">
      <c r="B922">
        <v>1.5966</v>
      </c>
      <c r="C922">
        <v>230</v>
      </c>
      <c r="D922">
        <v>21.4</v>
      </c>
      <c r="E922">
        <v>4.9534000000000002E-2</v>
      </c>
      <c r="F922">
        <v>20.187999999999999</v>
      </c>
      <c r="G922">
        <v>736.98</v>
      </c>
      <c r="H922">
        <v>1.5966</v>
      </c>
    </row>
    <row r="923" spans="2:8" x14ac:dyDescent="0.25">
      <c r="B923">
        <v>1.6005</v>
      </c>
      <c r="C923">
        <v>235</v>
      </c>
      <c r="D923">
        <v>21.4</v>
      </c>
      <c r="E923">
        <v>4.9169999999999998E-2</v>
      </c>
      <c r="F923">
        <v>20.337</v>
      </c>
      <c r="G923">
        <v>739.69</v>
      </c>
      <c r="H923">
        <v>1.6005</v>
      </c>
    </row>
    <row r="924" spans="2:8" x14ac:dyDescent="0.25">
      <c r="B924">
        <v>1.6044</v>
      </c>
      <c r="C924">
        <v>240</v>
      </c>
      <c r="D924">
        <v>21.4</v>
      </c>
      <c r="E924">
        <v>4.8812000000000001E-2</v>
      </c>
      <c r="F924">
        <v>20.486999999999998</v>
      </c>
      <c r="G924">
        <v>742.41</v>
      </c>
      <c r="H924">
        <v>1.6044</v>
      </c>
    </row>
    <row r="925" spans="2:8" x14ac:dyDescent="0.25">
      <c r="B925">
        <v>1.6083000000000001</v>
      </c>
      <c r="C925">
        <v>245</v>
      </c>
      <c r="D925">
        <v>21.4</v>
      </c>
      <c r="E925">
        <v>4.8458000000000001E-2</v>
      </c>
      <c r="F925">
        <v>20.635999999999999</v>
      </c>
      <c r="G925">
        <v>745.12</v>
      </c>
      <c r="H925">
        <v>1.6083000000000001</v>
      </c>
    </row>
    <row r="926" spans="2:8" x14ac:dyDescent="0.25">
      <c r="B926">
        <v>1.6121000000000001</v>
      </c>
      <c r="C926">
        <v>250</v>
      </c>
      <c r="D926">
        <v>21.4</v>
      </c>
      <c r="E926">
        <v>4.811E-2</v>
      </c>
      <c r="F926">
        <v>20.786000000000001</v>
      </c>
      <c r="G926">
        <v>747.85</v>
      </c>
      <c r="H926">
        <v>1.6121000000000001</v>
      </c>
    </row>
    <row r="927" spans="2:8" x14ac:dyDescent="0.25">
      <c r="B927">
        <v>1.6158999999999999</v>
      </c>
      <c r="C927">
        <v>255</v>
      </c>
      <c r="D927">
        <v>21.4</v>
      </c>
      <c r="E927">
        <v>4.7766999999999997E-2</v>
      </c>
      <c r="F927">
        <v>20.934999999999999</v>
      </c>
      <c r="G927">
        <v>750.58</v>
      </c>
      <c r="H927">
        <v>1.6158999999999999</v>
      </c>
    </row>
    <row r="928" spans="2:8" x14ac:dyDescent="0.25">
      <c r="B928">
        <v>1.6197999999999999</v>
      </c>
      <c r="C928">
        <v>260</v>
      </c>
      <c r="D928">
        <v>21.4</v>
      </c>
      <c r="E928">
        <v>4.7428999999999999E-2</v>
      </c>
      <c r="F928">
        <v>21.084</v>
      </c>
      <c r="G928">
        <v>753.31</v>
      </c>
      <c r="H928">
        <v>1.6197999999999999</v>
      </c>
    </row>
    <row r="929" spans="1:8" x14ac:dyDescent="0.25">
      <c r="B929">
        <v>1.6235999999999999</v>
      </c>
      <c r="C929">
        <v>265</v>
      </c>
      <c r="D929">
        <v>21.4</v>
      </c>
      <c r="E929">
        <v>4.7095999999999999E-2</v>
      </c>
      <c r="F929">
        <v>21.233000000000001</v>
      </c>
      <c r="G929">
        <v>756.05</v>
      </c>
      <c r="H929">
        <v>1.6235999999999999</v>
      </c>
    </row>
    <row r="930" spans="1:8" x14ac:dyDescent="0.25">
      <c r="B930">
        <v>1.6273</v>
      </c>
      <c r="C930">
        <v>270</v>
      </c>
      <c r="D930">
        <v>21.4</v>
      </c>
      <c r="E930">
        <v>4.6767000000000003E-2</v>
      </c>
      <c r="F930">
        <v>21.382999999999999</v>
      </c>
      <c r="G930">
        <v>758.8</v>
      </c>
      <c r="H930">
        <v>1.6273</v>
      </c>
    </row>
    <row r="931" spans="1:8" x14ac:dyDescent="0.25">
      <c r="B931">
        <v>1.6311</v>
      </c>
      <c r="C931">
        <v>275</v>
      </c>
      <c r="D931">
        <v>21.4</v>
      </c>
      <c r="E931">
        <v>4.6442999999999998E-2</v>
      </c>
      <c r="F931">
        <v>21.532</v>
      </c>
      <c r="G931">
        <v>761.55</v>
      </c>
      <c r="H931">
        <v>1.6311</v>
      </c>
    </row>
    <row r="932" spans="1:8" x14ac:dyDescent="0.25">
      <c r="B932">
        <v>1.6348</v>
      </c>
      <c r="C932">
        <v>280</v>
      </c>
      <c r="D932">
        <v>21.4</v>
      </c>
      <c r="E932">
        <v>4.6123999999999998E-2</v>
      </c>
      <c r="F932">
        <v>21.681000000000001</v>
      </c>
      <c r="G932">
        <v>764.31</v>
      </c>
      <c r="H932">
        <v>1.6348</v>
      </c>
    </row>
    <row r="933" spans="1:8" x14ac:dyDescent="0.25">
      <c r="B933">
        <v>1.6386000000000001</v>
      </c>
      <c r="C933">
        <v>285</v>
      </c>
      <c r="D933">
        <v>21.4</v>
      </c>
      <c r="E933">
        <v>4.5809000000000002E-2</v>
      </c>
      <c r="F933">
        <v>21.83</v>
      </c>
      <c r="G933">
        <v>767.07</v>
      </c>
      <c r="H933">
        <v>1.6386000000000001</v>
      </c>
    </row>
    <row r="934" spans="1:8" x14ac:dyDescent="0.25">
      <c r="B934">
        <v>1.6423000000000001</v>
      </c>
      <c r="C934">
        <v>290</v>
      </c>
      <c r="D934">
        <v>21.4</v>
      </c>
      <c r="E934">
        <v>4.5498999999999998E-2</v>
      </c>
      <c r="F934">
        <v>21.978999999999999</v>
      </c>
      <c r="G934">
        <v>769.84</v>
      </c>
      <c r="H934">
        <v>1.6423000000000001</v>
      </c>
    </row>
    <row r="935" spans="1:8" x14ac:dyDescent="0.25">
      <c r="B935">
        <v>1.6458999999999999</v>
      </c>
      <c r="C935">
        <v>295</v>
      </c>
      <c r="D935">
        <v>21.4</v>
      </c>
      <c r="E935">
        <v>4.5192999999999997E-2</v>
      </c>
      <c r="F935">
        <v>22.128</v>
      </c>
      <c r="G935">
        <v>772.62</v>
      </c>
      <c r="H935">
        <v>1.6458999999999999</v>
      </c>
    </row>
    <row r="936" spans="1:8" x14ac:dyDescent="0.25">
      <c r="B936">
        <v>1.6496</v>
      </c>
      <c r="C936">
        <v>300</v>
      </c>
      <c r="D936">
        <v>21.4</v>
      </c>
      <c r="E936">
        <v>4.4891E-2</v>
      </c>
      <c r="F936">
        <v>22.276</v>
      </c>
      <c r="G936">
        <v>775.4</v>
      </c>
      <c r="H936">
        <v>1.6496</v>
      </c>
    </row>
    <row r="938" spans="1:8" x14ac:dyDescent="0.25">
      <c r="A938">
        <v>22.5</v>
      </c>
      <c r="B938">
        <v>-2.5403999999999999E-2</v>
      </c>
      <c r="C938">
        <v>-50</v>
      </c>
      <c r="D938">
        <v>22.5</v>
      </c>
      <c r="E938">
        <v>43.503999999999998</v>
      </c>
      <c r="F938">
        <v>2.2985999999999999E-2</v>
      </c>
      <c r="G938">
        <v>-10.481999999999999</v>
      </c>
      <c r="H938">
        <v>-2.5403999999999999E-2</v>
      </c>
    </row>
    <row r="939" spans="1:8" x14ac:dyDescent="0.25">
      <c r="B939">
        <v>-1.2673E-2</v>
      </c>
      <c r="C939">
        <v>-45</v>
      </c>
      <c r="D939">
        <v>22.5</v>
      </c>
      <c r="E939">
        <v>43.296999999999997</v>
      </c>
      <c r="F939">
        <v>2.3095999999999998E-2</v>
      </c>
      <c r="G939">
        <v>-5.2347000000000001</v>
      </c>
      <c r="H939">
        <v>-1.2673E-2</v>
      </c>
    </row>
    <row r="940" spans="1:8" x14ac:dyDescent="0.25">
      <c r="B940">
        <v>-5.0852E-5</v>
      </c>
      <c r="C940">
        <v>-40</v>
      </c>
      <c r="D940">
        <v>22.5</v>
      </c>
      <c r="E940">
        <v>43.087000000000003</v>
      </c>
      <c r="F940">
        <v>2.3209E-2</v>
      </c>
      <c r="G940">
        <v>3.0671E-2</v>
      </c>
      <c r="H940">
        <v>-5.0852E-5</v>
      </c>
    </row>
    <row r="941" spans="1:8" x14ac:dyDescent="0.25">
      <c r="B941">
        <v>1.2462000000000001E-2</v>
      </c>
      <c r="C941">
        <v>-35</v>
      </c>
      <c r="D941">
        <v>22.5</v>
      </c>
      <c r="E941">
        <v>42.875999999999998</v>
      </c>
      <c r="F941">
        <v>2.3323E-2</v>
      </c>
      <c r="G941">
        <v>5.3133999999999997</v>
      </c>
      <c r="H941">
        <v>1.2462000000000001E-2</v>
      </c>
    </row>
    <row r="942" spans="1:8" x14ac:dyDescent="0.25">
      <c r="B942">
        <v>2.4868999999999999E-2</v>
      </c>
      <c r="C942">
        <v>-30</v>
      </c>
      <c r="D942">
        <v>22.5</v>
      </c>
      <c r="E942">
        <v>42.661999999999999</v>
      </c>
      <c r="F942">
        <v>2.3439999999999999E-2</v>
      </c>
      <c r="G942">
        <v>10.613</v>
      </c>
      <c r="H942">
        <v>2.4868999999999999E-2</v>
      </c>
    </row>
    <row r="943" spans="1:8" x14ac:dyDescent="0.25">
      <c r="B943">
        <v>3.7171999999999997E-2</v>
      </c>
      <c r="C943">
        <v>-25</v>
      </c>
      <c r="D943">
        <v>22.5</v>
      </c>
      <c r="E943">
        <v>42.447000000000003</v>
      </c>
      <c r="F943">
        <v>2.3559E-2</v>
      </c>
      <c r="G943">
        <v>15.93</v>
      </c>
      <c r="H943">
        <v>3.7171999999999997E-2</v>
      </c>
    </row>
    <row r="944" spans="1:8" x14ac:dyDescent="0.25">
      <c r="B944">
        <v>4.9371999999999999E-2</v>
      </c>
      <c r="C944">
        <v>-20</v>
      </c>
      <c r="D944">
        <v>22.5</v>
      </c>
      <c r="E944">
        <v>42.23</v>
      </c>
      <c r="F944">
        <v>2.368E-2</v>
      </c>
      <c r="G944">
        <v>21.263000000000002</v>
      </c>
      <c r="H944">
        <v>4.9371999999999999E-2</v>
      </c>
    </row>
    <row r="945" spans="2:8" x14ac:dyDescent="0.25">
      <c r="B945">
        <v>6.1470999999999998E-2</v>
      </c>
      <c r="C945">
        <v>-15</v>
      </c>
      <c r="D945">
        <v>22.5</v>
      </c>
      <c r="E945">
        <v>42.011000000000003</v>
      </c>
      <c r="F945">
        <v>2.3803999999999999E-2</v>
      </c>
      <c r="G945">
        <v>26.613</v>
      </c>
      <c r="H945">
        <v>6.1470999999999998E-2</v>
      </c>
    </row>
    <row r="946" spans="2:8" x14ac:dyDescent="0.25">
      <c r="B946">
        <v>1.3620000000000001</v>
      </c>
      <c r="C946">
        <v>-10</v>
      </c>
      <c r="D946">
        <v>22.5</v>
      </c>
      <c r="E946">
        <v>8.2282999999999995E-2</v>
      </c>
      <c r="F946">
        <v>12.153</v>
      </c>
      <c r="G946">
        <v>608.73</v>
      </c>
      <c r="H946">
        <v>1.3620000000000001</v>
      </c>
    </row>
    <row r="947" spans="2:8" x14ac:dyDescent="0.25">
      <c r="B947">
        <v>1.3683000000000001</v>
      </c>
      <c r="C947">
        <v>-5</v>
      </c>
      <c r="D947">
        <v>22.5</v>
      </c>
      <c r="E947">
        <v>8.1229999999999997E-2</v>
      </c>
      <c r="F947">
        <v>12.311</v>
      </c>
      <c r="G947">
        <v>611.54999999999995</v>
      </c>
      <c r="H947">
        <v>1.3683000000000001</v>
      </c>
    </row>
    <row r="948" spans="2:8" x14ac:dyDescent="0.25">
      <c r="B948">
        <v>1.3744000000000001</v>
      </c>
      <c r="C948">
        <v>0</v>
      </c>
      <c r="D948">
        <v>22.5</v>
      </c>
      <c r="E948">
        <v>8.0211000000000005E-2</v>
      </c>
      <c r="F948">
        <v>12.467000000000001</v>
      </c>
      <c r="G948">
        <v>614.34</v>
      </c>
      <c r="H948">
        <v>1.3744000000000001</v>
      </c>
    </row>
    <row r="949" spans="2:8" x14ac:dyDescent="0.25">
      <c r="B949">
        <v>1.3804000000000001</v>
      </c>
      <c r="C949">
        <v>5</v>
      </c>
      <c r="D949">
        <v>22.5</v>
      </c>
      <c r="E949">
        <v>7.9223000000000002E-2</v>
      </c>
      <c r="F949">
        <v>12.622999999999999</v>
      </c>
      <c r="G949">
        <v>617.11</v>
      </c>
      <c r="H949">
        <v>1.3804000000000001</v>
      </c>
    </row>
    <row r="950" spans="2:8" x14ac:dyDescent="0.25">
      <c r="B950">
        <v>1.3863000000000001</v>
      </c>
      <c r="C950">
        <v>10</v>
      </c>
      <c r="D950">
        <v>22.5</v>
      </c>
      <c r="E950">
        <v>7.8265000000000001E-2</v>
      </c>
      <c r="F950">
        <v>12.776999999999999</v>
      </c>
      <c r="G950">
        <v>619.87</v>
      </c>
      <c r="H950">
        <v>1.3863000000000001</v>
      </c>
    </row>
    <row r="951" spans="2:8" x14ac:dyDescent="0.25">
      <c r="B951">
        <v>1.3920999999999999</v>
      </c>
      <c r="C951">
        <v>15</v>
      </c>
      <c r="D951">
        <v>22.5</v>
      </c>
      <c r="E951">
        <v>7.7335000000000001E-2</v>
      </c>
      <c r="F951">
        <v>12.930999999999999</v>
      </c>
      <c r="G951">
        <v>622.6</v>
      </c>
      <c r="H951">
        <v>1.3920999999999999</v>
      </c>
    </row>
    <row r="952" spans="2:8" x14ac:dyDescent="0.25">
      <c r="B952">
        <v>1.3977999999999999</v>
      </c>
      <c r="C952">
        <v>20</v>
      </c>
      <c r="D952">
        <v>22.5</v>
      </c>
      <c r="E952">
        <v>7.6430999999999999E-2</v>
      </c>
      <c r="F952">
        <v>13.084</v>
      </c>
      <c r="G952">
        <v>625.33000000000004</v>
      </c>
      <c r="H952">
        <v>1.3977999999999999</v>
      </c>
    </row>
    <row r="953" spans="2:8" x14ac:dyDescent="0.25">
      <c r="B953">
        <v>1.4034</v>
      </c>
      <c r="C953">
        <v>25</v>
      </c>
      <c r="D953">
        <v>22.5</v>
      </c>
      <c r="E953">
        <v>7.5552999999999995E-2</v>
      </c>
      <c r="F953">
        <v>13.236000000000001</v>
      </c>
      <c r="G953">
        <v>628.03</v>
      </c>
      <c r="H953">
        <v>1.4034</v>
      </c>
    </row>
    <row r="954" spans="2:8" x14ac:dyDescent="0.25">
      <c r="B954">
        <v>1.4089</v>
      </c>
      <c r="C954">
        <v>30</v>
      </c>
      <c r="D954">
        <v>22.5</v>
      </c>
      <c r="E954">
        <v>7.4698000000000001E-2</v>
      </c>
      <c r="F954">
        <v>13.387</v>
      </c>
      <c r="G954">
        <v>630.73</v>
      </c>
      <c r="H954">
        <v>1.4089</v>
      </c>
    </row>
    <row r="955" spans="2:8" x14ac:dyDescent="0.25">
      <c r="B955">
        <v>1.4144000000000001</v>
      </c>
      <c r="C955">
        <v>35</v>
      </c>
      <c r="D955">
        <v>22.5</v>
      </c>
      <c r="E955">
        <v>7.3866000000000001E-2</v>
      </c>
      <c r="F955">
        <v>13.538</v>
      </c>
      <c r="G955">
        <v>633.41999999999996</v>
      </c>
      <c r="H955">
        <v>1.4144000000000001</v>
      </c>
    </row>
    <row r="956" spans="2:8" x14ac:dyDescent="0.25">
      <c r="B956">
        <v>1.4198</v>
      </c>
      <c r="C956">
        <v>40</v>
      </c>
      <c r="D956">
        <v>22.5</v>
      </c>
      <c r="E956">
        <v>7.3054999999999995E-2</v>
      </c>
      <c r="F956">
        <v>13.688000000000001</v>
      </c>
      <c r="G956">
        <v>636.09</v>
      </c>
      <c r="H956">
        <v>1.4198</v>
      </c>
    </row>
    <row r="957" spans="2:8" x14ac:dyDescent="0.25">
      <c r="B957">
        <v>1.4251</v>
      </c>
      <c r="C957">
        <v>45</v>
      </c>
      <c r="D957">
        <v>22.5</v>
      </c>
      <c r="E957">
        <v>7.2263999999999995E-2</v>
      </c>
      <c r="F957">
        <v>13.837999999999999</v>
      </c>
      <c r="G957">
        <v>638.76</v>
      </c>
      <c r="H957">
        <v>1.4251</v>
      </c>
    </row>
    <row r="958" spans="2:8" x14ac:dyDescent="0.25">
      <c r="B958">
        <v>1.4302999999999999</v>
      </c>
      <c r="C958">
        <v>50</v>
      </c>
      <c r="D958">
        <v>22.5</v>
      </c>
      <c r="E958">
        <v>7.1493000000000001E-2</v>
      </c>
      <c r="F958">
        <v>13.987</v>
      </c>
      <c r="G958">
        <v>641.41999999999996</v>
      </c>
      <c r="H958">
        <v>1.4302999999999999</v>
      </c>
    </row>
    <row r="959" spans="2:8" x14ac:dyDescent="0.25">
      <c r="B959">
        <v>1.4355</v>
      </c>
      <c r="C959">
        <v>55</v>
      </c>
      <c r="D959">
        <v>22.5</v>
      </c>
      <c r="E959">
        <v>7.0739999999999997E-2</v>
      </c>
      <c r="F959">
        <v>14.135999999999999</v>
      </c>
      <c r="G959">
        <v>644.08000000000004</v>
      </c>
      <c r="H959">
        <v>1.4355</v>
      </c>
    </row>
    <row r="960" spans="2:8" x14ac:dyDescent="0.25">
      <c r="B960">
        <v>1.4406000000000001</v>
      </c>
      <c r="C960">
        <v>60</v>
      </c>
      <c r="D960">
        <v>22.5</v>
      </c>
      <c r="E960">
        <v>7.0005999999999999E-2</v>
      </c>
      <c r="F960">
        <v>14.285</v>
      </c>
      <c r="G960">
        <v>646.73</v>
      </c>
      <c r="H960">
        <v>1.4406000000000001</v>
      </c>
    </row>
    <row r="961" spans="2:8" x14ac:dyDescent="0.25">
      <c r="B961">
        <v>1.4457</v>
      </c>
      <c r="C961">
        <v>65</v>
      </c>
      <c r="D961">
        <v>22.5</v>
      </c>
      <c r="E961">
        <v>6.9288000000000002E-2</v>
      </c>
      <c r="F961">
        <v>14.433</v>
      </c>
      <c r="G961">
        <v>649.37</v>
      </c>
      <c r="H961">
        <v>1.4457</v>
      </c>
    </row>
    <row r="962" spans="2:8" x14ac:dyDescent="0.25">
      <c r="B962">
        <v>1.4507000000000001</v>
      </c>
      <c r="C962">
        <v>70</v>
      </c>
      <c r="D962">
        <v>22.5</v>
      </c>
      <c r="E962">
        <v>6.8585999999999994E-2</v>
      </c>
      <c r="F962">
        <v>14.58</v>
      </c>
      <c r="G962">
        <v>652.01</v>
      </c>
      <c r="H962">
        <v>1.4507000000000001</v>
      </c>
    </row>
    <row r="963" spans="2:8" x14ac:dyDescent="0.25">
      <c r="B963">
        <v>1.4556</v>
      </c>
      <c r="C963">
        <v>75</v>
      </c>
      <c r="D963">
        <v>22.5</v>
      </c>
      <c r="E963">
        <v>6.7901000000000003E-2</v>
      </c>
      <c r="F963">
        <v>14.727</v>
      </c>
      <c r="G963">
        <v>654.65</v>
      </c>
      <c r="H963">
        <v>1.4556</v>
      </c>
    </row>
    <row r="964" spans="2:8" x14ac:dyDescent="0.25">
      <c r="B964">
        <v>1.4605999999999999</v>
      </c>
      <c r="C964">
        <v>80</v>
      </c>
      <c r="D964">
        <v>22.5</v>
      </c>
      <c r="E964">
        <v>6.7229999999999998E-2</v>
      </c>
      <c r="F964">
        <v>14.874000000000001</v>
      </c>
      <c r="G964">
        <v>657.28</v>
      </c>
      <c r="H964">
        <v>1.4605999999999999</v>
      </c>
    </row>
    <row r="965" spans="2:8" x14ac:dyDescent="0.25">
      <c r="B965">
        <v>1.4654</v>
      </c>
      <c r="C965">
        <v>85</v>
      </c>
      <c r="D965">
        <v>22.5</v>
      </c>
      <c r="E965">
        <v>6.6573999999999994E-2</v>
      </c>
      <c r="F965">
        <v>15.021000000000001</v>
      </c>
      <c r="G965">
        <v>659.91</v>
      </c>
      <c r="H965">
        <v>1.4654</v>
      </c>
    </row>
    <row r="966" spans="2:8" x14ac:dyDescent="0.25">
      <c r="B966">
        <v>1.4702</v>
      </c>
      <c r="C966">
        <v>90</v>
      </c>
      <c r="D966">
        <v>22.5</v>
      </c>
      <c r="E966">
        <v>6.5931000000000003E-2</v>
      </c>
      <c r="F966">
        <v>15.167</v>
      </c>
      <c r="G966">
        <v>662.55</v>
      </c>
      <c r="H966">
        <v>1.4702</v>
      </c>
    </row>
    <row r="967" spans="2:8" x14ac:dyDescent="0.25">
      <c r="B967">
        <v>1.4750000000000001</v>
      </c>
      <c r="C967">
        <v>95</v>
      </c>
      <c r="D967">
        <v>22.5</v>
      </c>
      <c r="E967">
        <v>6.5301999999999999E-2</v>
      </c>
      <c r="F967">
        <v>15.313000000000001</v>
      </c>
      <c r="G967">
        <v>665.17</v>
      </c>
      <c r="H967">
        <v>1.4750000000000001</v>
      </c>
    </row>
    <row r="968" spans="2:8" x14ac:dyDescent="0.25">
      <c r="B968">
        <v>1.4797</v>
      </c>
      <c r="C968">
        <v>100</v>
      </c>
      <c r="D968">
        <v>22.5</v>
      </c>
      <c r="E968">
        <v>6.4685999999999994E-2</v>
      </c>
      <c r="F968">
        <v>15.459</v>
      </c>
      <c r="G968">
        <v>667.8</v>
      </c>
      <c r="H968">
        <v>1.4797</v>
      </c>
    </row>
    <row r="969" spans="2:8" x14ac:dyDescent="0.25">
      <c r="B969">
        <v>1.4843999999999999</v>
      </c>
      <c r="C969">
        <v>105</v>
      </c>
      <c r="D969">
        <v>22.5</v>
      </c>
      <c r="E969">
        <v>6.4083000000000001E-2</v>
      </c>
      <c r="F969">
        <v>15.605</v>
      </c>
      <c r="G969">
        <v>670.43</v>
      </c>
      <c r="H969">
        <v>1.4843999999999999</v>
      </c>
    </row>
    <row r="970" spans="2:8" x14ac:dyDescent="0.25">
      <c r="B970">
        <v>1.4890000000000001</v>
      </c>
      <c r="C970">
        <v>110</v>
      </c>
      <c r="D970">
        <v>22.5</v>
      </c>
      <c r="E970">
        <v>6.3491000000000006E-2</v>
      </c>
      <c r="F970">
        <v>15.75</v>
      </c>
      <c r="G970">
        <v>673.06</v>
      </c>
      <c r="H970">
        <v>1.4890000000000001</v>
      </c>
    </row>
    <row r="971" spans="2:8" x14ac:dyDescent="0.25">
      <c r="B971">
        <v>1.4936</v>
      </c>
      <c r="C971">
        <v>115</v>
      </c>
      <c r="D971">
        <v>22.5</v>
      </c>
      <c r="E971">
        <v>6.2910999999999995E-2</v>
      </c>
      <c r="F971">
        <v>15.895</v>
      </c>
      <c r="G971">
        <v>675.69</v>
      </c>
      <c r="H971">
        <v>1.4936</v>
      </c>
    </row>
    <row r="972" spans="2:8" x14ac:dyDescent="0.25">
      <c r="B972">
        <v>1.4982</v>
      </c>
      <c r="C972">
        <v>120</v>
      </c>
      <c r="D972">
        <v>22.5</v>
      </c>
      <c r="E972">
        <v>6.2343000000000003E-2</v>
      </c>
      <c r="F972">
        <v>16.04</v>
      </c>
      <c r="G972">
        <v>678.32</v>
      </c>
      <c r="H972">
        <v>1.4982</v>
      </c>
    </row>
    <row r="973" spans="2:8" x14ac:dyDescent="0.25">
      <c r="B973">
        <v>1.5026999999999999</v>
      </c>
      <c r="C973">
        <v>125</v>
      </c>
      <c r="D973">
        <v>22.5</v>
      </c>
      <c r="E973">
        <v>6.1785E-2</v>
      </c>
      <c r="F973">
        <v>16.184999999999999</v>
      </c>
      <c r="G973">
        <v>680.95</v>
      </c>
      <c r="H973">
        <v>1.5026999999999999</v>
      </c>
    </row>
    <row r="974" spans="2:8" x14ac:dyDescent="0.25">
      <c r="B974">
        <v>1.5072000000000001</v>
      </c>
      <c r="C974">
        <v>130</v>
      </c>
      <c r="D974">
        <v>22.5</v>
      </c>
      <c r="E974">
        <v>6.1238000000000001E-2</v>
      </c>
      <c r="F974">
        <v>16.329999999999998</v>
      </c>
      <c r="G974">
        <v>683.59</v>
      </c>
      <c r="H974">
        <v>1.5072000000000001</v>
      </c>
    </row>
    <row r="975" spans="2:8" x14ac:dyDescent="0.25">
      <c r="B975">
        <v>1.5116000000000001</v>
      </c>
      <c r="C975">
        <v>135</v>
      </c>
      <c r="D975">
        <v>22.5</v>
      </c>
      <c r="E975">
        <v>6.0700999999999998E-2</v>
      </c>
      <c r="F975">
        <v>16.474</v>
      </c>
      <c r="G975">
        <v>686.22</v>
      </c>
      <c r="H975">
        <v>1.5116000000000001</v>
      </c>
    </row>
    <row r="976" spans="2:8" x14ac:dyDescent="0.25">
      <c r="B976">
        <v>1.516</v>
      </c>
      <c r="C976">
        <v>140</v>
      </c>
      <c r="D976">
        <v>22.5</v>
      </c>
      <c r="E976">
        <v>6.0173999999999998E-2</v>
      </c>
      <c r="F976">
        <v>16.617999999999999</v>
      </c>
      <c r="G976">
        <v>688.86</v>
      </c>
      <c r="H976">
        <v>1.516</v>
      </c>
    </row>
    <row r="977" spans="2:8" x14ac:dyDescent="0.25">
      <c r="B977">
        <v>1.5204</v>
      </c>
      <c r="C977">
        <v>145</v>
      </c>
      <c r="D977">
        <v>22.5</v>
      </c>
      <c r="E977">
        <v>5.9657000000000002E-2</v>
      </c>
      <c r="F977">
        <v>16.762</v>
      </c>
      <c r="G977">
        <v>691.5</v>
      </c>
      <c r="H977">
        <v>1.5204</v>
      </c>
    </row>
    <row r="978" spans="2:8" x14ac:dyDescent="0.25">
      <c r="B978">
        <v>1.5247999999999999</v>
      </c>
      <c r="C978">
        <v>150</v>
      </c>
      <c r="D978">
        <v>22.5</v>
      </c>
      <c r="E978">
        <v>5.9149E-2</v>
      </c>
      <c r="F978">
        <v>16.905999999999999</v>
      </c>
      <c r="G978">
        <v>694.14</v>
      </c>
      <c r="H978">
        <v>1.5247999999999999</v>
      </c>
    </row>
    <row r="979" spans="2:8" x14ac:dyDescent="0.25">
      <c r="B979">
        <v>1.5290999999999999</v>
      </c>
      <c r="C979">
        <v>155</v>
      </c>
      <c r="D979">
        <v>22.5</v>
      </c>
      <c r="E979">
        <v>5.8650000000000001E-2</v>
      </c>
      <c r="F979">
        <v>17.05</v>
      </c>
      <c r="G979">
        <v>696.78</v>
      </c>
      <c r="H979">
        <v>1.5290999999999999</v>
      </c>
    </row>
    <row r="980" spans="2:8" x14ac:dyDescent="0.25">
      <c r="B980">
        <v>1.5334000000000001</v>
      </c>
      <c r="C980">
        <v>160</v>
      </c>
      <c r="D980">
        <v>22.5</v>
      </c>
      <c r="E980">
        <v>5.8160000000000003E-2</v>
      </c>
      <c r="F980">
        <v>17.193999999999999</v>
      </c>
      <c r="G980">
        <v>699.43</v>
      </c>
      <c r="H980">
        <v>1.5334000000000001</v>
      </c>
    </row>
    <row r="981" spans="2:8" x14ac:dyDescent="0.25">
      <c r="B981">
        <v>1.5376000000000001</v>
      </c>
      <c r="C981">
        <v>165</v>
      </c>
      <c r="D981">
        <v>22.5</v>
      </c>
      <c r="E981">
        <v>5.7678E-2</v>
      </c>
      <c r="F981">
        <v>17.338000000000001</v>
      </c>
      <c r="G981">
        <v>702.08</v>
      </c>
      <c r="H981">
        <v>1.5376000000000001</v>
      </c>
    </row>
    <row r="982" spans="2:8" x14ac:dyDescent="0.25">
      <c r="B982">
        <v>1.5419</v>
      </c>
      <c r="C982">
        <v>170</v>
      </c>
      <c r="D982">
        <v>22.5</v>
      </c>
      <c r="E982">
        <v>5.7204999999999999E-2</v>
      </c>
      <c r="F982">
        <v>17.481000000000002</v>
      </c>
      <c r="G982">
        <v>704.73</v>
      </c>
      <c r="H982">
        <v>1.5419</v>
      </c>
    </row>
    <row r="983" spans="2:8" x14ac:dyDescent="0.25">
      <c r="B983">
        <v>1.5461</v>
      </c>
      <c r="C983">
        <v>175</v>
      </c>
      <c r="D983">
        <v>22.5</v>
      </c>
      <c r="E983">
        <v>5.6739999999999999E-2</v>
      </c>
      <c r="F983">
        <v>17.623999999999999</v>
      </c>
      <c r="G983">
        <v>707.39</v>
      </c>
      <c r="H983">
        <v>1.5461</v>
      </c>
    </row>
    <row r="984" spans="2:8" x14ac:dyDescent="0.25">
      <c r="B984">
        <v>1.5502</v>
      </c>
      <c r="C984">
        <v>180</v>
      </c>
      <c r="D984">
        <v>22.5</v>
      </c>
      <c r="E984">
        <v>5.6281999999999999E-2</v>
      </c>
      <c r="F984">
        <v>17.768000000000001</v>
      </c>
      <c r="G984">
        <v>710.05</v>
      </c>
      <c r="H984">
        <v>1.5502</v>
      </c>
    </row>
    <row r="985" spans="2:8" x14ac:dyDescent="0.25">
      <c r="B985">
        <v>1.5544</v>
      </c>
      <c r="C985">
        <v>185</v>
      </c>
      <c r="D985">
        <v>22.5</v>
      </c>
      <c r="E985">
        <v>5.5832E-2</v>
      </c>
      <c r="F985">
        <v>17.911000000000001</v>
      </c>
      <c r="G985">
        <v>712.72</v>
      </c>
      <c r="H985">
        <v>1.5544</v>
      </c>
    </row>
    <row r="986" spans="2:8" x14ac:dyDescent="0.25">
      <c r="B986">
        <v>1.5585</v>
      </c>
      <c r="C986">
        <v>190</v>
      </c>
      <c r="D986">
        <v>22.5</v>
      </c>
      <c r="E986">
        <v>5.5390000000000002E-2</v>
      </c>
      <c r="F986">
        <v>18.053999999999998</v>
      </c>
      <c r="G986">
        <v>715.39</v>
      </c>
      <c r="H986">
        <v>1.5585</v>
      </c>
    </row>
    <row r="987" spans="2:8" x14ac:dyDescent="0.25">
      <c r="B987">
        <v>1.5626</v>
      </c>
      <c r="C987">
        <v>195</v>
      </c>
      <c r="D987">
        <v>22.5</v>
      </c>
      <c r="E987">
        <v>5.4954999999999997E-2</v>
      </c>
      <c r="F987">
        <v>18.196999999999999</v>
      </c>
      <c r="G987">
        <v>718.06</v>
      </c>
      <c r="H987">
        <v>1.5626</v>
      </c>
    </row>
    <row r="988" spans="2:8" x14ac:dyDescent="0.25">
      <c r="B988">
        <v>1.5667</v>
      </c>
      <c r="C988">
        <v>200</v>
      </c>
      <c r="D988">
        <v>22.5</v>
      </c>
      <c r="E988">
        <v>5.4526999999999999E-2</v>
      </c>
      <c r="F988">
        <v>18.34</v>
      </c>
      <c r="G988">
        <v>720.74</v>
      </c>
      <c r="H988">
        <v>1.5667</v>
      </c>
    </row>
    <row r="989" spans="2:8" x14ac:dyDescent="0.25">
      <c r="B989">
        <v>1.5707</v>
      </c>
      <c r="C989">
        <v>205</v>
      </c>
      <c r="D989">
        <v>22.5</v>
      </c>
      <c r="E989">
        <v>5.4106000000000001E-2</v>
      </c>
      <c r="F989">
        <v>18.481999999999999</v>
      </c>
      <c r="G989">
        <v>723.42</v>
      </c>
      <c r="H989">
        <v>1.5707</v>
      </c>
    </row>
    <row r="990" spans="2:8" x14ac:dyDescent="0.25">
      <c r="B990">
        <v>1.5748</v>
      </c>
      <c r="C990">
        <v>210</v>
      </c>
      <c r="D990">
        <v>22.5</v>
      </c>
      <c r="E990">
        <v>5.3691000000000003E-2</v>
      </c>
      <c r="F990">
        <v>18.625</v>
      </c>
      <c r="G990">
        <v>726.1</v>
      </c>
      <c r="H990">
        <v>1.5748</v>
      </c>
    </row>
    <row r="991" spans="2:8" x14ac:dyDescent="0.25">
      <c r="B991">
        <v>1.5788</v>
      </c>
      <c r="C991">
        <v>215</v>
      </c>
      <c r="D991">
        <v>22.5</v>
      </c>
      <c r="E991">
        <v>5.3282999999999997E-2</v>
      </c>
      <c r="F991">
        <v>18.768000000000001</v>
      </c>
      <c r="G991">
        <v>728.79</v>
      </c>
      <c r="H991">
        <v>1.5788</v>
      </c>
    </row>
    <row r="992" spans="2:8" x14ac:dyDescent="0.25">
      <c r="B992">
        <v>1.5827</v>
      </c>
      <c r="C992">
        <v>220</v>
      </c>
      <c r="D992">
        <v>22.5</v>
      </c>
      <c r="E992">
        <v>5.2880999999999997E-2</v>
      </c>
      <c r="F992">
        <v>18.91</v>
      </c>
      <c r="G992">
        <v>731.49</v>
      </c>
      <c r="H992">
        <v>1.5827</v>
      </c>
    </row>
    <row r="993" spans="2:8" x14ac:dyDescent="0.25">
      <c r="B993">
        <v>1.5867</v>
      </c>
      <c r="C993">
        <v>225</v>
      </c>
      <c r="D993">
        <v>22.5</v>
      </c>
      <c r="E993">
        <v>5.2485999999999998E-2</v>
      </c>
      <c r="F993">
        <v>19.053000000000001</v>
      </c>
      <c r="G993">
        <v>734.19</v>
      </c>
      <c r="H993">
        <v>1.5867</v>
      </c>
    </row>
    <row r="994" spans="2:8" x14ac:dyDescent="0.25">
      <c r="B994">
        <v>1.5906</v>
      </c>
      <c r="C994">
        <v>230</v>
      </c>
      <c r="D994">
        <v>22.5</v>
      </c>
      <c r="E994">
        <v>5.2096999999999997E-2</v>
      </c>
      <c r="F994">
        <v>19.195</v>
      </c>
      <c r="G994">
        <v>736.89</v>
      </c>
      <c r="H994">
        <v>1.5906</v>
      </c>
    </row>
    <row r="995" spans="2:8" x14ac:dyDescent="0.25">
      <c r="B995">
        <v>1.5946</v>
      </c>
      <c r="C995">
        <v>235</v>
      </c>
      <c r="D995">
        <v>22.5</v>
      </c>
      <c r="E995">
        <v>5.1713000000000002E-2</v>
      </c>
      <c r="F995">
        <v>19.337</v>
      </c>
      <c r="G995">
        <v>739.6</v>
      </c>
      <c r="H995">
        <v>1.5946</v>
      </c>
    </row>
    <row r="996" spans="2:8" x14ac:dyDescent="0.25">
      <c r="B996">
        <v>1.5985</v>
      </c>
      <c r="C996">
        <v>240</v>
      </c>
      <c r="D996">
        <v>22.5</v>
      </c>
      <c r="E996">
        <v>5.1334999999999999E-2</v>
      </c>
      <c r="F996">
        <v>19.48</v>
      </c>
      <c r="G996">
        <v>742.32</v>
      </c>
      <c r="H996">
        <v>1.5985</v>
      </c>
    </row>
    <row r="997" spans="2:8" x14ac:dyDescent="0.25">
      <c r="B997">
        <v>1.6023000000000001</v>
      </c>
      <c r="C997">
        <v>245</v>
      </c>
      <c r="D997">
        <v>22.5</v>
      </c>
      <c r="E997">
        <v>5.0963000000000001E-2</v>
      </c>
      <c r="F997">
        <v>19.622</v>
      </c>
      <c r="G997">
        <v>745.04</v>
      </c>
      <c r="H997">
        <v>1.6023000000000001</v>
      </c>
    </row>
    <row r="998" spans="2:8" x14ac:dyDescent="0.25">
      <c r="B998">
        <v>1.6062000000000001</v>
      </c>
      <c r="C998">
        <v>250</v>
      </c>
      <c r="D998">
        <v>22.5</v>
      </c>
      <c r="E998">
        <v>5.0597000000000003E-2</v>
      </c>
      <c r="F998">
        <v>19.763999999999999</v>
      </c>
      <c r="G998">
        <v>747.77</v>
      </c>
      <c r="H998">
        <v>1.6062000000000001</v>
      </c>
    </row>
    <row r="999" spans="2:8" x14ac:dyDescent="0.25">
      <c r="B999">
        <v>1.61</v>
      </c>
      <c r="C999">
        <v>255</v>
      </c>
      <c r="D999">
        <v>22.5</v>
      </c>
      <c r="E999">
        <v>5.0236000000000003E-2</v>
      </c>
      <c r="F999">
        <v>19.905999999999999</v>
      </c>
      <c r="G999">
        <v>750.5</v>
      </c>
      <c r="H999">
        <v>1.61</v>
      </c>
    </row>
    <row r="1000" spans="2:8" x14ac:dyDescent="0.25">
      <c r="B1000">
        <v>1.6137999999999999</v>
      </c>
      <c r="C1000">
        <v>260</v>
      </c>
      <c r="D1000">
        <v>22.5</v>
      </c>
      <c r="E1000">
        <v>4.9880000000000001E-2</v>
      </c>
      <c r="F1000">
        <v>20.047999999999998</v>
      </c>
      <c r="G1000">
        <v>753.23</v>
      </c>
      <c r="H1000">
        <v>1.6137999999999999</v>
      </c>
    </row>
    <row r="1001" spans="2:8" x14ac:dyDescent="0.25">
      <c r="B1001">
        <v>1.6175999999999999</v>
      </c>
      <c r="C1001">
        <v>265</v>
      </c>
      <c r="D1001">
        <v>22.5</v>
      </c>
      <c r="E1001">
        <v>4.9528999999999997E-2</v>
      </c>
      <c r="F1001">
        <v>20.190000000000001</v>
      </c>
      <c r="G1001">
        <v>755.97</v>
      </c>
      <c r="H1001">
        <v>1.6175999999999999</v>
      </c>
    </row>
    <row r="1002" spans="2:8" x14ac:dyDescent="0.25">
      <c r="B1002">
        <v>1.6214</v>
      </c>
      <c r="C1002">
        <v>270</v>
      </c>
      <c r="D1002">
        <v>22.5</v>
      </c>
      <c r="E1002">
        <v>4.9182999999999998E-2</v>
      </c>
      <c r="F1002">
        <v>20.332000000000001</v>
      </c>
      <c r="G1002">
        <v>758.72</v>
      </c>
      <c r="H1002">
        <v>1.6214</v>
      </c>
    </row>
    <row r="1003" spans="2:8" x14ac:dyDescent="0.25">
      <c r="B1003">
        <v>1.6252</v>
      </c>
      <c r="C1003">
        <v>275</v>
      </c>
      <c r="D1003">
        <v>22.5</v>
      </c>
      <c r="E1003">
        <v>4.8842000000000003E-2</v>
      </c>
      <c r="F1003">
        <v>20.474</v>
      </c>
      <c r="G1003">
        <v>761.48</v>
      </c>
      <c r="H1003">
        <v>1.6252</v>
      </c>
    </row>
    <row r="1004" spans="2:8" x14ac:dyDescent="0.25">
      <c r="B1004">
        <v>1.6289</v>
      </c>
      <c r="C1004">
        <v>280</v>
      </c>
      <c r="D1004">
        <v>22.5</v>
      </c>
      <c r="E1004">
        <v>4.8506000000000001E-2</v>
      </c>
      <c r="F1004">
        <v>20.616</v>
      </c>
      <c r="G1004">
        <v>764.23</v>
      </c>
      <c r="H1004">
        <v>1.6289</v>
      </c>
    </row>
    <row r="1005" spans="2:8" x14ac:dyDescent="0.25">
      <c r="B1005">
        <v>1.6326000000000001</v>
      </c>
      <c r="C1005">
        <v>285</v>
      </c>
      <c r="D1005">
        <v>22.5</v>
      </c>
      <c r="E1005">
        <v>4.8175000000000003E-2</v>
      </c>
      <c r="F1005">
        <v>20.757999999999999</v>
      </c>
      <c r="G1005">
        <v>767</v>
      </c>
      <c r="H1005">
        <v>1.6326000000000001</v>
      </c>
    </row>
    <row r="1006" spans="2:8" x14ac:dyDescent="0.25">
      <c r="B1006">
        <v>1.6363000000000001</v>
      </c>
      <c r="C1006">
        <v>290</v>
      </c>
      <c r="D1006">
        <v>22.5</v>
      </c>
      <c r="E1006">
        <v>4.7848000000000002E-2</v>
      </c>
      <c r="F1006">
        <v>20.899000000000001</v>
      </c>
      <c r="G1006">
        <v>769.77</v>
      </c>
      <c r="H1006">
        <v>1.6363000000000001</v>
      </c>
    </row>
    <row r="1007" spans="2:8" x14ac:dyDescent="0.25">
      <c r="B1007">
        <v>1.64</v>
      </c>
      <c r="C1007">
        <v>295</v>
      </c>
      <c r="D1007">
        <v>22.5</v>
      </c>
      <c r="E1007">
        <v>4.7525999999999999E-2</v>
      </c>
      <c r="F1007">
        <v>21.041</v>
      </c>
      <c r="G1007">
        <v>772.55</v>
      </c>
      <c r="H1007">
        <v>1.64</v>
      </c>
    </row>
    <row r="1008" spans="2:8" x14ac:dyDescent="0.25">
      <c r="B1008">
        <v>1.6436999999999999</v>
      </c>
      <c r="C1008">
        <v>300</v>
      </c>
      <c r="D1008">
        <v>22.5</v>
      </c>
      <c r="E1008">
        <v>4.7208E-2</v>
      </c>
      <c r="F1008">
        <v>21.183</v>
      </c>
      <c r="G1008">
        <v>775.33</v>
      </c>
      <c r="H1008">
        <v>1.6436999999999999</v>
      </c>
    </row>
    <row r="1010" spans="1:8" x14ac:dyDescent="0.25">
      <c r="A1010">
        <v>23.7</v>
      </c>
      <c r="B1010">
        <v>-2.5409000000000001E-2</v>
      </c>
      <c r="C1010">
        <v>-50</v>
      </c>
      <c r="D1010">
        <v>23.7</v>
      </c>
      <c r="E1010">
        <v>43.505000000000003</v>
      </c>
      <c r="F1010">
        <v>2.2985999999999999E-2</v>
      </c>
      <c r="G1010">
        <v>-10.478999999999999</v>
      </c>
      <c r="H1010">
        <v>-2.5409000000000001E-2</v>
      </c>
    </row>
    <row r="1011" spans="1:8" x14ac:dyDescent="0.25">
      <c r="B1011">
        <v>-1.2677000000000001E-2</v>
      </c>
      <c r="C1011">
        <v>-45</v>
      </c>
      <c r="D1011">
        <v>23.7</v>
      </c>
      <c r="E1011">
        <v>43.296999999999997</v>
      </c>
      <c r="F1011">
        <v>2.3095999999999998E-2</v>
      </c>
      <c r="G1011">
        <v>-5.2316000000000003</v>
      </c>
      <c r="H1011">
        <v>-1.2677000000000001E-2</v>
      </c>
    </row>
    <row r="1012" spans="1:8" x14ac:dyDescent="0.25">
      <c r="B1012">
        <v>-5.5893000000000002E-5</v>
      </c>
      <c r="C1012">
        <v>-40</v>
      </c>
      <c r="D1012">
        <v>23.7</v>
      </c>
      <c r="E1012">
        <v>43.087000000000003</v>
      </c>
      <c r="F1012">
        <v>2.3209E-2</v>
      </c>
      <c r="G1012">
        <v>3.3711999999999999E-2</v>
      </c>
      <c r="H1012">
        <v>-5.5893000000000002E-5</v>
      </c>
    </row>
    <row r="1013" spans="1:8" x14ac:dyDescent="0.25">
      <c r="B1013">
        <v>1.2456999999999999E-2</v>
      </c>
      <c r="C1013">
        <v>-35</v>
      </c>
      <c r="D1013">
        <v>23.7</v>
      </c>
      <c r="E1013">
        <v>42.875999999999998</v>
      </c>
      <c r="F1013">
        <v>2.3323E-2</v>
      </c>
      <c r="G1013">
        <v>5.3163999999999998</v>
      </c>
      <c r="H1013">
        <v>1.2456999999999999E-2</v>
      </c>
    </row>
    <row r="1014" spans="1:8" x14ac:dyDescent="0.25">
      <c r="B1014">
        <v>2.4864000000000001E-2</v>
      </c>
      <c r="C1014">
        <v>-30</v>
      </c>
      <c r="D1014">
        <v>23.7</v>
      </c>
      <c r="E1014">
        <v>42.661999999999999</v>
      </c>
      <c r="F1014">
        <v>2.3439999999999999E-2</v>
      </c>
      <c r="G1014">
        <v>10.616</v>
      </c>
      <c r="H1014">
        <v>2.4864000000000001E-2</v>
      </c>
    </row>
    <row r="1015" spans="1:8" x14ac:dyDescent="0.25">
      <c r="B1015">
        <v>3.7165999999999998E-2</v>
      </c>
      <c r="C1015">
        <v>-25</v>
      </c>
      <c r="D1015">
        <v>23.7</v>
      </c>
      <c r="E1015">
        <v>42.447000000000003</v>
      </c>
      <c r="F1015">
        <v>2.3559E-2</v>
      </c>
      <c r="G1015">
        <v>15.933</v>
      </c>
      <c r="H1015">
        <v>3.7165999999999998E-2</v>
      </c>
    </row>
    <row r="1016" spans="1:8" x14ac:dyDescent="0.25">
      <c r="B1016">
        <v>4.9366E-2</v>
      </c>
      <c r="C1016">
        <v>-20</v>
      </c>
      <c r="D1016">
        <v>23.7</v>
      </c>
      <c r="E1016">
        <v>42.23</v>
      </c>
      <c r="F1016">
        <v>2.368E-2</v>
      </c>
      <c r="G1016">
        <v>21.265999999999998</v>
      </c>
      <c r="H1016">
        <v>4.9366E-2</v>
      </c>
    </row>
    <row r="1017" spans="1:8" x14ac:dyDescent="0.25">
      <c r="B1017">
        <v>6.1464999999999999E-2</v>
      </c>
      <c r="C1017">
        <v>-15</v>
      </c>
      <c r="D1017">
        <v>23.7</v>
      </c>
      <c r="E1017">
        <v>42.011000000000003</v>
      </c>
      <c r="F1017">
        <v>2.3803000000000001E-2</v>
      </c>
      <c r="G1017">
        <v>26.616</v>
      </c>
      <c r="H1017">
        <v>6.1464999999999999E-2</v>
      </c>
    </row>
    <row r="1018" spans="1:8" x14ac:dyDescent="0.25">
      <c r="B1018">
        <v>1.3551</v>
      </c>
      <c r="C1018">
        <v>-10</v>
      </c>
      <c r="D1018">
        <v>23.7</v>
      </c>
      <c r="E1018">
        <v>8.6848999999999996E-2</v>
      </c>
      <c r="F1018">
        <v>11.513999999999999</v>
      </c>
      <c r="G1018">
        <v>608.27</v>
      </c>
      <c r="H1018">
        <v>1.3551</v>
      </c>
    </row>
    <row r="1019" spans="1:8" x14ac:dyDescent="0.25">
      <c r="B1019">
        <v>1.3613999999999999</v>
      </c>
      <c r="C1019">
        <v>-5</v>
      </c>
      <c r="D1019">
        <v>23.7</v>
      </c>
      <c r="E1019">
        <v>8.5726999999999998E-2</v>
      </c>
      <c r="F1019">
        <v>11.664999999999999</v>
      </c>
      <c r="G1019">
        <v>611.11</v>
      </c>
      <c r="H1019">
        <v>1.3613999999999999</v>
      </c>
    </row>
    <row r="1020" spans="1:8" x14ac:dyDescent="0.25">
      <c r="B1020">
        <v>1.3675999999999999</v>
      </c>
      <c r="C1020">
        <v>0</v>
      </c>
      <c r="D1020">
        <v>23.7</v>
      </c>
      <c r="E1020">
        <v>8.4642999999999996E-2</v>
      </c>
      <c r="F1020">
        <v>11.814</v>
      </c>
      <c r="G1020">
        <v>613.91999999999996</v>
      </c>
      <c r="H1020">
        <v>1.3675999999999999</v>
      </c>
    </row>
    <row r="1021" spans="1:8" x14ac:dyDescent="0.25">
      <c r="B1021">
        <v>1.3735999999999999</v>
      </c>
      <c r="C1021">
        <v>5</v>
      </c>
      <c r="D1021">
        <v>23.7</v>
      </c>
      <c r="E1021">
        <v>8.3592E-2</v>
      </c>
      <c r="F1021">
        <v>11.962999999999999</v>
      </c>
      <c r="G1021">
        <v>616.72</v>
      </c>
      <c r="H1021">
        <v>1.3735999999999999</v>
      </c>
    </row>
    <row r="1022" spans="1:8" x14ac:dyDescent="0.25">
      <c r="B1022">
        <v>1.3795999999999999</v>
      </c>
      <c r="C1022">
        <v>10</v>
      </c>
      <c r="D1022">
        <v>23.7</v>
      </c>
      <c r="E1022">
        <v>8.2573999999999995E-2</v>
      </c>
      <c r="F1022">
        <v>12.11</v>
      </c>
      <c r="G1022">
        <v>619.49</v>
      </c>
      <c r="H1022">
        <v>1.3795999999999999</v>
      </c>
    </row>
    <row r="1023" spans="1:8" x14ac:dyDescent="0.25">
      <c r="B1023">
        <v>1.3854</v>
      </c>
      <c r="C1023">
        <v>15</v>
      </c>
      <c r="D1023">
        <v>23.7</v>
      </c>
      <c r="E1023">
        <v>8.1586000000000006E-2</v>
      </c>
      <c r="F1023">
        <v>12.257</v>
      </c>
      <c r="G1023">
        <v>622.24</v>
      </c>
      <c r="H1023">
        <v>1.3854</v>
      </c>
    </row>
    <row r="1024" spans="1:8" x14ac:dyDescent="0.25">
      <c r="B1024">
        <v>1.3911</v>
      </c>
      <c r="C1024">
        <v>20</v>
      </c>
      <c r="D1024">
        <v>23.7</v>
      </c>
      <c r="E1024">
        <v>8.0627000000000004E-2</v>
      </c>
      <c r="F1024">
        <v>12.403</v>
      </c>
      <c r="G1024">
        <v>624.98</v>
      </c>
      <c r="H1024">
        <v>1.3911</v>
      </c>
    </row>
    <row r="1025" spans="2:8" x14ac:dyDescent="0.25">
      <c r="B1025">
        <v>1.3968</v>
      </c>
      <c r="C1025">
        <v>25</v>
      </c>
      <c r="D1025">
        <v>23.7</v>
      </c>
      <c r="E1025">
        <v>7.9695000000000002E-2</v>
      </c>
      <c r="F1025">
        <v>12.548</v>
      </c>
      <c r="G1025">
        <v>627.70000000000005</v>
      </c>
      <c r="H1025">
        <v>1.3968</v>
      </c>
    </row>
    <row r="1026" spans="2:8" x14ac:dyDescent="0.25">
      <c r="B1026">
        <v>1.4024000000000001</v>
      </c>
      <c r="C1026">
        <v>30</v>
      </c>
      <c r="D1026">
        <v>23.7</v>
      </c>
      <c r="E1026">
        <v>7.8787999999999997E-2</v>
      </c>
      <c r="F1026">
        <v>12.692</v>
      </c>
      <c r="G1026">
        <v>630.41999999999996</v>
      </c>
      <c r="H1026">
        <v>1.4024000000000001</v>
      </c>
    </row>
    <row r="1027" spans="2:8" x14ac:dyDescent="0.25">
      <c r="B1027">
        <v>1.4077999999999999</v>
      </c>
      <c r="C1027">
        <v>35</v>
      </c>
      <c r="D1027">
        <v>23.7</v>
      </c>
      <c r="E1027">
        <v>7.7905000000000002E-2</v>
      </c>
      <c r="F1027">
        <v>12.836</v>
      </c>
      <c r="G1027">
        <v>633.11</v>
      </c>
      <c r="H1027">
        <v>1.4077999999999999</v>
      </c>
    </row>
    <row r="1028" spans="2:8" x14ac:dyDescent="0.25">
      <c r="B1028">
        <v>1.4132</v>
      </c>
      <c r="C1028">
        <v>40</v>
      </c>
      <c r="D1028">
        <v>23.7</v>
      </c>
      <c r="E1028">
        <v>7.7045000000000002E-2</v>
      </c>
      <c r="F1028">
        <v>12.978999999999999</v>
      </c>
      <c r="G1028">
        <v>635.79999999999995</v>
      </c>
      <c r="H1028">
        <v>1.4132</v>
      </c>
    </row>
    <row r="1029" spans="2:8" x14ac:dyDescent="0.25">
      <c r="B1029">
        <v>1.4186000000000001</v>
      </c>
      <c r="C1029">
        <v>45</v>
      </c>
      <c r="D1029">
        <v>23.7</v>
      </c>
      <c r="E1029">
        <v>7.6206999999999997E-2</v>
      </c>
      <c r="F1029">
        <v>13.122</v>
      </c>
      <c r="G1029">
        <v>638.48</v>
      </c>
      <c r="H1029">
        <v>1.4186000000000001</v>
      </c>
    </row>
    <row r="1030" spans="2:8" x14ac:dyDescent="0.25">
      <c r="B1030">
        <v>1.4238</v>
      </c>
      <c r="C1030">
        <v>50</v>
      </c>
      <c r="D1030">
        <v>23.7</v>
      </c>
      <c r="E1030">
        <v>7.5389999999999999E-2</v>
      </c>
      <c r="F1030">
        <v>13.263999999999999</v>
      </c>
      <c r="G1030">
        <v>641.15</v>
      </c>
      <c r="H1030">
        <v>1.4238</v>
      </c>
    </row>
    <row r="1031" spans="2:8" x14ac:dyDescent="0.25">
      <c r="B1031">
        <v>1.4291</v>
      </c>
      <c r="C1031">
        <v>55</v>
      </c>
      <c r="D1031">
        <v>23.7</v>
      </c>
      <c r="E1031">
        <v>7.4593000000000007E-2</v>
      </c>
      <c r="F1031">
        <v>13.406000000000001</v>
      </c>
      <c r="G1031">
        <v>643.82000000000005</v>
      </c>
      <c r="H1031">
        <v>1.4291</v>
      </c>
    </row>
    <row r="1032" spans="2:8" x14ac:dyDescent="0.25">
      <c r="B1032">
        <v>1.4341999999999999</v>
      </c>
      <c r="C1032">
        <v>60</v>
      </c>
      <c r="D1032">
        <v>23.7</v>
      </c>
      <c r="E1032">
        <v>7.3815000000000006E-2</v>
      </c>
      <c r="F1032">
        <v>13.547000000000001</v>
      </c>
      <c r="G1032">
        <v>646.48</v>
      </c>
      <c r="H1032">
        <v>1.4341999999999999</v>
      </c>
    </row>
    <row r="1033" spans="2:8" x14ac:dyDescent="0.25">
      <c r="B1033">
        <v>1.4393</v>
      </c>
      <c r="C1033">
        <v>65</v>
      </c>
      <c r="D1033">
        <v>23.7</v>
      </c>
      <c r="E1033">
        <v>7.3054999999999995E-2</v>
      </c>
      <c r="F1033">
        <v>13.688000000000001</v>
      </c>
      <c r="G1033">
        <v>649.13</v>
      </c>
      <c r="H1033">
        <v>1.4393</v>
      </c>
    </row>
    <row r="1034" spans="2:8" x14ac:dyDescent="0.25">
      <c r="B1034">
        <v>1.4442999999999999</v>
      </c>
      <c r="C1034">
        <v>70</v>
      </c>
      <c r="D1034">
        <v>23.7</v>
      </c>
      <c r="E1034">
        <v>7.2313000000000002E-2</v>
      </c>
      <c r="F1034">
        <v>13.829000000000001</v>
      </c>
      <c r="G1034">
        <v>651.78</v>
      </c>
      <c r="H1034">
        <v>1.4442999999999999</v>
      </c>
    </row>
    <row r="1035" spans="2:8" x14ac:dyDescent="0.25">
      <c r="B1035">
        <v>1.4493</v>
      </c>
      <c r="C1035">
        <v>75</v>
      </c>
      <c r="D1035">
        <v>23.7</v>
      </c>
      <c r="E1035">
        <v>7.1586999999999998E-2</v>
      </c>
      <c r="F1035">
        <v>13.968999999999999</v>
      </c>
      <c r="G1035">
        <v>654.41999999999996</v>
      </c>
      <c r="H1035">
        <v>1.4493</v>
      </c>
    </row>
    <row r="1036" spans="2:8" x14ac:dyDescent="0.25">
      <c r="B1036">
        <v>1.4541999999999999</v>
      </c>
      <c r="C1036">
        <v>80</v>
      </c>
      <c r="D1036">
        <v>23.7</v>
      </c>
      <c r="E1036">
        <v>7.0876999999999996E-2</v>
      </c>
      <c r="F1036">
        <v>14.109</v>
      </c>
      <c r="G1036">
        <v>657.07</v>
      </c>
      <c r="H1036">
        <v>1.4541999999999999</v>
      </c>
    </row>
    <row r="1037" spans="2:8" x14ac:dyDescent="0.25">
      <c r="B1037">
        <v>1.4591000000000001</v>
      </c>
      <c r="C1037">
        <v>85</v>
      </c>
      <c r="D1037">
        <v>23.7</v>
      </c>
      <c r="E1037">
        <v>7.0182999999999995E-2</v>
      </c>
      <c r="F1037">
        <v>14.247999999999999</v>
      </c>
      <c r="G1037">
        <v>659.71</v>
      </c>
      <c r="H1037">
        <v>1.4591000000000001</v>
      </c>
    </row>
    <row r="1038" spans="2:8" x14ac:dyDescent="0.25">
      <c r="B1038">
        <v>1.4639</v>
      </c>
      <c r="C1038">
        <v>90</v>
      </c>
      <c r="D1038">
        <v>23.7</v>
      </c>
      <c r="E1038">
        <v>6.9503999999999996E-2</v>
      </c>
      <c r="F1038">
        <v>14.388</v>
      </c>
      <c r="G1038">
        <v>662.34</v>
      </c>
      <c r="H1038">
        <v>1.4639</v>
      </c>
    </row>
    <row r="1039" spans="2:8" x14ac:dyDescent="0.25">
      <c r="B1039">
        <v>1.4685999999999999</v>
      </c>
      <c r="C1039">
        <v>95</v>
      </c>
      <c r="D1039">
        <v>23.7</v>
      </c>
      <c r="E1039">
        <v>6.8838999999999997E-2</v>
      </c>
      <c r="F1039">
        <v>14.526999999999999</v>
      </c>
      <c r="G1039">
        <v>664.98</v>
      </c>
      <c r="H1039">
        <v>1.4685999999999999</v>
      </c>
    </row>
    <row r="1040" spans="2:8" x14ac:dyDescent="0.25">
      <c r="B1040">
        <v>1.4734</v>
      </c>
      <c r="C1040">
        <v>100</v>
      </c>
      <c r="D1040">
        <v>23.7</v>
      </c>
      <c r="E1040">
        <v>6.8186999999999998E-2</v>
      </c>
      <c r="F1040">
        <v>14.664999999999999</v>
      </c>
      <c r="G1040">
        <v>667.61</v>
      </c>
      <c r="H1040">
        <v>1.4734</v>
      </c>
    </row>
    <row r="1041" spans="2:8" x14ac:dyDescent="0.25">
      <c r="B1041">
        <v>1.4781</v>
      </c>
      <c r="C1041">
        <v>105</v>
      </c>
      <c r="D1041">
        <v>23.7</v>
      </c>
      <c r="E1041">
        <v>6.7548999999999998E-2</v>
      </c>
      <c r="F1041">
        <v>14.804</v>
      </c>
      <c r="G1041">
        <v>670.25</v>
      </c>
      <c r="H1041">
        <v>1.4781</v>
      </c>
    </row>
    <row r="1042" spans="2:8" x14ac:dyDescent="0.25">
      <c r="B1042">
        <v>1.4826999999999999</v>
      </c>
      <c r="C1042">
        <v>110</v>
      </c>
      <c r="D1042">
        <v>23.7</v>
      </c>
      <c r="E1042">
        <v>6.6923999999999997E-2</v>
      </c>
      <c r="F1042">
        <v>14.942</v>
      </c>
      <c r="G1042">
        <v>672.88</v>
      </c>
      <c r="H1042">
        <v>1.4826999999999999</v>
      </c>
    </row>
    <row r="1043" spans="2:8" x14ac:dyDescent="0.25">
      <c r="B1043">
        <v>1.4873000000000001</v>
      </c>
      <c r="C1043">
        <v>115</v>
      </c>
      <c r="D1043">
        <v>23.7</v>
      </c>
      <c r="E1043">
        <v>6.6311999999999996E-2</v>
      </c>
      <c r="F1043">
        <v>15.08</v>
      </c>
      <c r="G1043">
        <v>675.52</v>
      </c>
      <c r="H1043">
        <v>1.4873000000000001</v>
      </c>
    </row>
    <row r="1044" spans="2:8" x14ac:dyDescent="0.25">
      <c r="B1044">
        <v>1.4919</v>
      </c>
      <c r="C1044">
        <v>120</v>
      </c>
      <c r="D1044">
        <v>23.7</v>
      </c>
      <c r="E1044">
        <v>6.5711000000000006E-2</v>
      </c>
      <c r="F1044">
        <v>15.218</v>
      </c>
      <c r="G1044">
        <v>678.15</v>
      </c>
      <c r="H1044">
        <v>1.4919</v>
      </c>
    </row>
    <row r="1045" spans="2:8" x14ac:dyDescent="0.25">
      <c r="B1045">
        <v>1.4964</v>
      </c>
      <c r="C1045">
        <v>125</v>
      </c>
      <c r="D1045">
        <v>23.7</v>
      </c>
      <c r="E1045">
        <v>6.5121999999999999E-2</v>
      </c>
      <c r="F1045">
        <v>15.356</v>
      </c>
      <c r="G1045">
        <v>680.79</v>
      </c>
      <c r="H1045">
        <v>1.4964</v>
      </c>
    </row>
    <row r="1046" spans="2:8" x14ac:dyDescent="0.25">
      <c r="B1046">
        <v>1.5008999999999999</v>
      </c>
      <c r="C1046">
        <v>130</v>
      </c>
      <c r="D1046">
        <v>23.7</v>
      </c>
      <c r="E1046">
        <v>6.4544000000000004E-2</v>
      </c>
      <c r="F1046">
        <v>15.493</v>
      </c>
      <c r="G1046">
        <v>683.43</v>
      </c>
      <c r="H1046">
        <v>1.5008999999999999</v>
      </c>
    </row>
    <row r="1047" spans="2:8" x14ac:dyDescent="0.25">
      <c r="B1047">
        <v>1.5054000000000001</v>
      </c>
      <c r="C1047">
        <v>135</v>
      </c>
      <c r="D1047">
        <v>23.7</v>
      </c>
      <c r="E1047">
        <v>6.3976000000000005E-2</v>
      </c>
      <c r="F1047">
        <v>15.631</v>
      </c>
      <c r="G1047">
        <v>686.07</v>
      </c>
      <c r="H1047">
        <v>1.5054000000000001</v>
      </c>
    </row>
    <row r="1048" spans="2:8" x14ac:dyDescent="0.25">
      <c r="B1048">
        <v>1.5098</v>
      </c>
      <c r="C1048">
        <v>140</v>
      </c>
      <c r="D1048">
        <v>23.7</v>
      </c>
      <c r="E1048">
        <v>6.3420000000000004E-2</v>
      </c>
      <c r="F1048">
        <v>15.768000000000001</v>
      </c>
      <c r="G1048">
        <v>688.71</v>
      </c>
      <c r="H1048">
        <v>1.5098</v>
      </c>
    </row>
    <row r="1049" spans="2:8" x14ac:dyDescent="0.25">
      <c r="B1049">
        <v>1.5142</v>
      </c>
      <c r="C1049">
        <v>145</v>
      </c>
      <c r="D1049">
        <v>23.7</v>
      </c>
      <c r="E1049">
        <v>6.2872999999999998E-2</v>
      </c>
      <c r="F1049">
        <v>15.904999999999999</v>
      </c>
      <c r="G1049">
        <v>691.35</v>
      </c>
      <c r="H1049">
        <v>1.5142</v>
      </c>
    </row>
    <row r="1050" spans="2:8" x14ac:dyDescent="0.25">
      <c r="B1050">
        <v>1.5185</v>
      </c>
      <c r="C1050">
        <v>150</v>
      </c>
      <c r="D1050">
        <v>23.7</v>
      </c>
      <c r="E1050">
        <v>6.2336999999999997E-2</v>
      </c>
      <c r="F1050">
        <v>16.042000000000002</v>
      </c>
      <c r="G1050">
        <v>694</v>
      </c>
      <c r="H1050">
        <v>1.5185</v>
      </c>
    </row>
    <row r="1051" spans="2:8" x14ac:dyDescent="0.25">
      <c r="B1051">
        <v>1.5228999999999999</v>
      </c>
      <c r="C1051">
        <v>155</v>
      </c>
      <c r="D1051">
        <v>23.7</v>
      </c>
      <c r="E1051">
        <v>6.1809999999999997E-2</v>
      </c>
      <c r="F1051">
        <v>16.178999999999998</v>
      </c>
      <c r="G1051">
        <v>696.64</v>
      </c>
      <c r="H1051">
        <v>1.5228999999999999</v>
      </c>
    </row>
    <row r="1052" spans="2:8" x14ac:dyDescent="0.25">
      <c r="B1052">
        <v>1.5270999999999999</v>
      </c>
      <c r="C1052">
        <v>160</v>
      </c>
      <c r="D1052">
        <v>23.7</v>
      </c>
      <c r="E1052">
        <v>6.1293E-2</v>
      </c>
      <c r="F1052">
        <v>16.315000000000001</v>
      </c>
      <c r="G1052">
        <v>699.3</v>
      </c>
      <c r="H1052">
        <v>1.5270999999999999</v>
      </c>
    </row>
    <row r="1053" spans="2:8" x14ac:dyDescent="0.25">
      <c r="B1053">
        <v>1.5314000000000001</v>
      </c>
      <c r="C1053">
        <v>165</v>
      </c>
      <c r="D1053">
        <v>23.7</v>
      </c>
      <c r="E1053">
        <v>6.0783999999999998E-2</v>
      </c>
      <c r="F1053">
        <v>16.452000000000002</v>
      </c>
      <c r="G1053">
        <v>701.95</v>
      </c>
      <c r="H1053">
        <v>1.5314000000000001</v>
      </c>
    </row>
    <row r="1054" spans="2:8" x14ac:dyDescent="0.25">
      <c r="B1054">
        <v>1.5357000000000001</v>
      </c>
      <c r="C1054">
        <v>170</v>
      </c>
      <c r="D1054">
        <v>23.7</v>
      </c>
      <c r="E1054">
        <v>6.0283999999999997E-2</v>
      </c>
      <c r="F1054">
        <v>16.588000000000001</v>
      </c>
      <c r="G1054">
        <v>704.61</v>
      </c>
      <c r="H1054">
        <v>1.5357000000000001</v>
      </c>
    </row>
    <row r="1055" spans="2:8" x14ac:dyDescent="0.25">
      <c r="B1055">
        <v>1.5399</v>
      </c>
      <c r="C1055">
        <v>175</v>
      </c>
      <c r="D1055">
        <v>23.7</v>
      </c>
      <c r="E1055">
        <v>5.9792999999999999E-2</v>
      </c>
      <c r="F1055">
        <v>16.724</v>
      </c>
      <c r="G1055">
        <v>707.27</v>
      </c>
      <c r="H1055">
        <v>1.5399</v>
      </c>
    </row>
    <row r="1056" spans="2:8" x14ac:dyDescent="0.25">
      <c r="B1056">
        <v>1.544</v>
      </c>
      <c r="C1056">
        <v>180</v>
      </c>
      <c r="D1056">
        <v>23.7</v>
      </c>
      <c r="E1056">
        <v>5.9310000000000002E-2</v>
      </c>
      <c r="F1056">
        <v>16.86</v>
      </c>
      <c r="G1056">
        <v>709.93</v>
      </c>
      <c r="H1056">
        <v>1.544</v>
      </c>
    </row>
    <row r="1057" spans="2:8" x14ac:dyDescent="0.25">
      <c r="B1057">
        <v>1.5482</v>
      </c>
      <c r="C1057">
        <v>185</v>
      </c>
      <c r="D1057">
        <v>23.7</v>
      </c>
      <c r="E1057">
        <v>5.8835999999999999E-2</v>
      </c>
      <c r="F1057">
        <v>16.997</v>
      </c>
      <c r="G1057">
        <v>712.6</v>
      </c>
      <c r="H1057">
        <v>1.5482</v>
      </c>
    </row>
    <row r="1058" spans="2:8" x14ac:dyDescent="0.25">
      <c r="B1058">
        <v>1.5523</v>
      </c>
      <c r="C1058">
        <v>190</v>
      </c>
      <c r="D1058">
        <v>23.7</v>
      </c>
      <c r="E1058">
        <v>5.8368999999999997E-2</v>
      </c>
      <c r="F1058">
        <v>17.132000000000001</v>
      </c>
      <c r="G1058">
        <v>715.27</v>
      </c>
      <c r="H1058">
        <v>1.5523</v>
      </c>
    </row>
    <row r="1059" spans="2:8" x14ac:dyDescent="0.25">
      <c r="B1059">
        <v>1.5564</v>
      </c>
      <c r="C1059">
        <v>195</v>
      </c>
      <c r="D1059">
        <v>23.7</v>
      </c>
      <c r="E1059">
        <v>5.7909000000000002E-2</v>
      </c>
      <c r="F1059">
        <v>17.268000000000001</v>
      </c>
      <c r="G1059">
        <v>717.94</v>
      </c>
      <c r="H1059">
        <v>1.5564</v>
      </c>
    </row>
    <row r="1060" spans="2:8" x14ac:dyDescent="0.25">
      <c r="B1060">
        <v>1.5605</v>
      </c>
      <c r="C1060">
        <v>200</v>
      </c>
      <c r="D1060">
        <v>23.7</v>
      </c>
      <c r="E1060">
        <v>5.7458000000000002E-2</v>
      </c>
      <c r="F1060">
        <v>17.404</v>
      </c>
      <c r="G1060">
        <v>720.62</v>
      </c>
      <c r="H1060">
        <v>1.5605</v>
      </c>
    </row>
    <row r="1061" spans="2:8" x14ac:dyDescent="0.25">
      <c r="B1061">
        <v>1.5646</v>
      </c>
      <c r="C1061">
        <v>205</v>
      </c>
      <c r="D1061">
        <v>23.7</v>
      </c>
      <c r="E1061">
        <v>5.7013000000000001E-2</v>
      </c>
      <c r="F1061">
        <v>17.54</v>
      </c>
      <c r="G1061">
        <v>723.31</v>
      </c>
      <c r="H1061">
        <v>1.5646</v>
      </c>
    </row>
    <row r="1062" spans="2:8" x14ac:dyDescent="0.25">
      <c r="B1062">
        <v>1.5686</v>
      </c>
      <c r="C1062">
        <v>210</v>
      </c>
      <c r="D1062">
        <v>23.7</v>
      </c>
      <c r="E1062">
        <v>5.6576000000000001E-2</v>
      </c>
      <c r="F1062">
        <v>17.675000000000001</v>
      </c>
      <c r="G1062">
        <v>726</v>
      </c>
      <c r="H1062">
        <v>1.5686</v>
      </c>
    </row>
    <row r="1063" spans="2:8" x14ac:dyDescent="0.25">
      <c r="B1063">
        <v>1.5726</v>
      </c>
      <c r="C1063">
        <v>215</v>
      </c>
      <c r="D1063">
        <v>23.7</v>
      </c>
      <c r="E1063">
        <v>5.6145E-2</v>
      </c>
      <c r="F1063">
        <v>17.811</v>
      </c>
      <c r="G1063">
        <v>728.69</v>
      </c>
      <c r="H1063">
        <v>1.5726</v>
      </c>
    </row>
    <row r="1064" spans="2:8" x14ac:dyDescent="0.25">
      <c r="B1064">
        <v>1.5766</v>
      </c>
      <c r="C1064">
        <v>220</v>
      </c>
      <c r="D1064">
        <v>23.7</v>
      </c>
      <c r="E1064">
        <v>5.5722000000000001E-2</v>
      </c>
      <c r="F1064">
        <v>17.946000000000002</v>
      </c>
      <c r="G1064">
        <v>731.39</v>
      </c>
      <c r="H1064">
        <v>1.5766</v>
      </c>
    </row>
    <row r="1065" spans="2:8" x14ac:dyDescent="0.25">
      <c r="B1065">
        <v>1.5805</v>
      </c>
      <c r="C1065">
        <v>225</v>
      </c>
      <c r="D1065">
        <v>23.7</v>
      </c>
      <c r="E1065">
        <v>5.5303999999999999E-2</v>
      </c>
      <c r="F1065">
        <v>18.082000000000001</v>
      </c>
      <c r="G1065">
        <v>734.09</v>
      </c>
      <c r="H1065">
        <v>1.5805</v>
      </c>
    </row>
    <row r="1066" spans="2:8" x14ac:dyDescent="0.25">
      <c r="B1066">
        <v>1.5845</v>
      </c>
      <c r="C1066">
        <v>230</v>
      </c>
      <c r="D1066">
        <v>23.7</v>
      </c>
      <c r="E1066">
        <v>5.4893999999999998E-2</v>
      </c>
      <c r="F1066">
        <v>18.216999999999999</v>
      </c>
      <c r="G1066">
        <v>736.8</v>
      </c>
      <c r="H1066">
        <v>1.5845</v>
      </c>
    </row>
    <row r="1067" spans="2:8" x14ac:dyDescent="0.25">
      <c r="B1067">
        <v>1.5884</v>
      </c>
      <c r="C1067">
        <v>235</v>
      </c>
      <c r="D1067">
        <v>23.7</v>
      </c>
      <c r="E1067">
        <v>5.4489000000000003E-2</v>
      </c>
      <c r="F1067">
        <v>18.352</v>
      </c>
      <c r="G1067">
        <v>739.51</v>
      </c>
      <c r="H1067">
        <v>1.5884</v>
      </c>
    </row>
    <row r="1068" spans="2:8" x14ac:dyDescent="0.25">
      <c r="B1068">
        <v>1.5923</v>
      </c>
      <c r="C1068">
        <v>240</v>
      </c>
      <c r="D1068">
        <v>23.7</v>
      </c>
      <c r="E1068">
        <v>5.4091E-2</v>
      </c>
      <c r="F1068">
        <v>18.488</v>
      </c>
      <c r="G1068">
        <v>742.22</v>
      </c>
      <c r="H1068">
        <v>1.5923</v>
      </c>
    </row>
    <row r="1069" spans="2:8" x14ac:dyDescent="0.25">
      <c r="B1069">
        <v>1.5962000000000001</v>
      </c>
      <c r="C1069">
        <v>245</v>
      </c>
      <c r="D1069">
        <v>23.7</v>
      </c>
      <c r="E1069">
        <v>5.3698000000000003E-2</v>
      </c>
      <c r="F1069">
        <v>18.623000000000001</v>
      </c>
      <c r="G1069">
        <v>744.95</v>
      </c>
      <c r="H1069">
        <v>1.5962000000000001</v>
      </c>
    </row>
    <row r="1070" spans="2:8" x14ac:dyDescent="0.25">
      <c r="B1070">
        <v>1.6</v>
      </c>
      <c r="C1070">
        <v>250</v>
      </c>
      <c r="D1070">
        <v>23.7</v>
      </c>
      <c r="E1070">
        <v>5.3310999999999997E-2</v>
      </c>
      <c r="F1070">
        <v>18.757999999999999</v>
      </c>
      <c r="G1070">
        <v>747.67</v>
      </c>
      <c r="H1070">
        <v>1.6</v>
      </c>
    </row>
    <row r="1071" spans="2:8" x14ac:dyDescent="0.25">
      <c r="B1071">
        <v>1.6039000000000001</v>
      </c>
      <c r="C1071">
        <v>255</v>
      </c>
      <c r="D1071">
        <v>23.7</v>
      </c>
      <c r="E1071">
        <v>5.2930999999999999E-2</v>
      </c>
      <c r="F1071">
        <v>18.893000000000001</v>
      </c>
      <c r="G1071">
        <v>750.41</v>
      </c>
      <c r="H1071">
        <v>1.6039000000000001</v>
      </c>
    </row>
    <row r="1072" spans="2:8" x14ac:dyDescent="0.25">
      <c r="B1072">
        <v>1.6076999999999999</v>
      </c>
      <c r="C1072">
        <v>260</v>
      </c>
      <c r="D1072">
        <v>23.7</v>
      </c>
      <c r="E1072">
        <v>5.2554999999999998E-2</v>
      </c>
      <c r="F1072">
        <v>19.027999999999999</v>
      </c>
      <c r="G1072">
        <v>753.15</v>
      </c>
      <c r="H1072">
        <v>1.6076999999999999</v>
      </c>
    </row>
    <row r="1073" spans="1:8" x14ac:dyDescent="0.25">
      <c r="B1073">
        <v>1.6114999999999999</v>
      </c>
      <c r="C1073">
        <v>265</v>
      </c>
      <c r="D1073">
        <v>23.7</v>
      </c>
      <c r="E1073">
        <v>5.2185000000000002E-2</v>
      </c>
      <c r="F1073">
        <v>19.163</v>
      </c>
      <c r="G1073">
        <v>755.89</v>
      </c>
      <c r="H1073">
        <v>1.6114999999999999</v>
      </c>
    </row>
    <row r="1074" spans="1:8" x14ac:dyDescent="0.25">
      <c r="B1074">
        <v>1.6153</v>
      </c>
      <c r="C1074">
        <v>270</v>
      </c>
      <c r="D1074">
        <v>23.7</v>
      </c>
      <c r="E1074">
        <v>5.1820999999999999E-2</v>
      </c>
      <c r="F1074">
        <v>19.297000000000001</v>
      </c>
      <c r="G1074">
        <v>758.64</v>
      </c>
      <c r="H1074">
        <v>1.6153</v>
      </c>
    </row>
    <row r="1075" spans="1:8" x14ac:dyDescent="0.25">
      <c r="B1075">
        <v>1.619</v>
      </c>
      <c r="C1075">
        <v>275</v>
      </c>
      <c r="D1075">
        <v>23.7</v>
      </c>
      <c r="E1075">
        <v>5.1461E-2</v>
      </c>
      <c r="F1075">
        <v>19.431999999999999</v>
      </c>
      <c r="G1075">
        <v>761.39</v>
      </c>
      <c r="H1075">
        <v>1.619</v>
      </c>
    </row>
    <row r="1076" spans="1:8" x14ac:dyDescent="0.25">
      <c r="B1076">
        <v>1.6228</v>
      </c>
      <c r="C1076">
        <v>280</v>
      </c>
      <c r="D1076">
        <v>23.7</v>
      </c>
      <c r="E1076">
        <v>5.1107E-2</v>
      </c>
      <c r="F1076">
        <v>19.567</v>
      </c>
      <c r="G1076">
        <v>764.15</v>
      </c>
      <c r="H1076">
        <v>1.6228</v>
      </c>
    </row>
    <row r="1077" spans="1:8" x14ac:dyDescent="0.25">
      <c r="B1077">
        <v>1.6265000000000001</v>
      </c>
      <c r="C1077">
        <v>285</v>
      </c>
      <c r="D1077">
        <v>23.7</v>
      </c>
      <c r="E1077">
        <v>5.0756999999999997E-2</v>
      </c>
      <c r="F1077">
        <v>19.702000000000002</v>
      </c>
      <c r="G1077">
        <v>766.92</v>
      </c>
      <c r="H1077">
        <v>1.6265000000000001</v>
      </c>
    </row>
    <row r="1078" spans="1:8" x14ac:dyDescent="0.25">
      <c r="B1078">
        <v>1.6302000000000001</v>
      </c>
      <c r="C1078">
        <v>290</v>
      </c>
      <c r="D1078">
        <v>23.7</v>
      </c>
      <c r="E1078">
        <v>5.0412999999999999E-2</v>
      </c>
      <c r="F1078">
        <v>19.835999999999999</v>
      </c>
      <c r="G1078">
        <v>769.69</v>
      </c>
      <c r="H1078">
        <v>1.6302000000000001</v>
      </c>
    </row>
    <row r="1079" spans="1:8" x14ac:dyDescent="0.25">
      <c r="B1079">
        <v>1.6338999999999999</v>
      </c>
      <c r="C1079">
        <v>295</v>
      </c>
      <c r="D1079">
        <v>23.7</v>
      </c>
      <c r="E1079">
        <v>5.0072999999999999E-2</v>
      </c>
      <c r="F1079">
        <v>19.971</v>
      </c>
      <c r="G1079">
        <v>772.47</v>
      </c>
      <c r="H1079">
        <v>1.6338999999999999</v>
      </c>
    </row>
    <row r="1080" spans="1:8" x14ac:dyDescent="0.25">
      <c r="B1080">
        <v>1.6375999999999999</v>
      </c>
      <c r="C1080">
        <v>300</v>
      </c>
      <c r="D1080">
        <v>23.7</v>
      </c>
      <c r="E1080">
        <v>4.9737999999999997E-2</v>
      </c>
      <c r="F1080">
        <v>20.106000000000002</v>
      </c>
      <c r="G1080">
        <v>775.25</v>
      </c>
      <c r="H1080">
        <v>1.6375999999999999</v>
      </c>
    </row>
    <row r="1082" spans="1:8" x14ac:dyDescent="0.25">
      <c r="A1082">
        <v>24.9</v>
      </c>
      <c r="B1082">
        <v>-2.5413999999999999E-2</v>
      </c>
      <c r="C1082">
        <v>-50</v>
      </c>
      <c r="D1082">
        <v>24.9</v>
      </c>
      <c r="E1082">
        <v>43.505000000000003</v>
      </c>
      <c r="F1082">
        <v>2.2985999999999999E-2</v>
      </c>
      <c r="G1082">
        <v>-10.476000000000001</v>
      </c>
      <c r="H1082">
        <v>-2.5413999999999999E-2</v>
      </c>
    </row>
    <row r="1083" spans="1:8" x14ac:dyDescent="0.25">
      <c r="B1083">
        <v>-1.2682000000000001E-2</v>
      </c>
      <c r="C1083">
        <v>-45</v>
      </c>
      <c r="D1083">
        <v>24.9</v>
      </c>
      <c r="E1083">
        <v>43.296999999999997</v>
      </c>
      <c r="F1083">
        <v>2.3095999999999998E-2</v>
      </c>
      <c r="G1083">
        <v>-5.2285000000000004</v>
      </c>
      <c r="H1083">
        <v>-1.2682000000000001E-2</v>
      </c>
    </row>
    <row r="1084" spans="1:8" x14ac:dyDescent="0.25">
      <c r="B1084">
        <v>-6.0934000000000003E-5</v>
      </c>
      <c r="C1084">
        <v>-40</v>
      </c>
      <c r="D1084">
        <v>24.9</v>
      </c>
      <c r="E1084">
        <v>43.088000000000001</v>
      </c>
      <c r="F1084">
        <v>2.3209E-2</v>
      </c>
      <c r="G1084">
        <v>3.6754000000000002E-2</v>
      </c>
      <c r="H1084">
        <v>-6.0934000000000003E-5</v>
      </c>
    </row>
    <row r="1085" spans="1:8" x14ac:dyDescent="0.25">
      <c r="B1085">
        <v>1.2452E-2</v>
      </c>
      <c r="C1085">
        <v>-35</v>
      </c>
      <c r="D1085">
        <v>24.9</v>
      </c>
      <c r="E1085">
        <v>42.875999999999998</v>
      </c>
      <c r="F1085">
        <v>2.3323E-2</v>
      </c>
      <c r="G1085">
        <v>5.3193999999999999</v>
      </c>
      <c r="H1085">
        <v>1.2452E-2</v>
      </c>
    </row>
    <row r="1086" spans="1:8" x14ac:dyDescent="0.25">
      <c r="B1086">
        <v>2.4858999999999999E-2</v>
      </c>
      <c r="C1086">
        <v>-30</v>
      </c>
      <c r="D1086">
        <v>24.9</v>
      </c>
      <c r="E1086">
        <v>42.662999999999997</v>
      </c>
      <c r="F1086">
        <v>2.3439999999999999E-2</v>
      </c>
      <c r="G1086">
        <v>10.619</v>
      </c>
      <c r="H1086">
        <v>2.4858999999999999E-2</v>
      </c>
    </row>
    <row r="1087" spans="1:8" x14ac:dyDescent="0.25">
      <c r="B1087">
        <v>3.7161E-2</v>
      </c>
      <c r="C1087">
        <v>-25</v>
      </c>
      <c r="D1087">
        <v>24.9</v>
      </c>
      <c r="E1087">
        <v>42.447000000000003</v>
      </c>
      <c r="F1087">
        <v>2.3559E-2</v>
      </c>
      <c r="G1087">
        <v>15.936</v>
      </c>
      <c r="H1087">
        <v>3.7161E-2</v>
      </c>
    </row>
    <row r="1088" spans="1:8" x14ac:dyDescent="0.25">
      <c r="B1088">
        <v>4.9361000000000002E-2</v>
      </c>
      <c r="C1088">
        <v>-20</v>
      </c>
      <c r="D1088">
        <v>24.9</v>
      </c>
      <c r="E1088">
        <v>42.23</v>
      </c>
      <c r="F1088">
        <v>2.368E-2</v>
      </c>
      <c r="G1088">
        <v>21.268999999999998</v>
      </c>
      <c r="H1088">
        <v>4.9361000000000002E-2</v>
      </c>
    </row>
    <row r="1089" spans="2:8" x14ac:dyDescent="0.25">
      <c r="B1089">
        <v>6.1460000000000001E-2</v>
      </c>
      <c r="C1089">
        <v>-15</v>
      </c>
      <c r="D1089">
        <v>24.9</v>
      </c>
      <c r="E1089">
        <v>42.011000000000003</v>
      </c>
      <c r="F1089">
        <v>2.3803000000000001E-2</v>
      </c>
      <c r="G1089">
        <v>26.619</v>
      </c>
      <c r="H1089">
        <v>6.1460000000000001E-2</v>
      </c>
    </row>
    <row r="1090" spans="2:8" x14ac:dyDescent="0.25">
      <c r="B1090">
        <v>7.3460999999999999E-2</v>
      </c>
      <c r="C1090">
        <v>-10</v>
      </c>
      <c r="D1090">
        <v>24.9</v>
      </c>
      <c r="E1090">
        <v>41.79</v>
      </c>
      <c r="F1090">
        <v>2.3928999999999999E-2</v>
      </c>
      <c r="G1090">
        <v>31.984999999999999</v>
      </c>
      <c r="H1090">
        <v>7.3460999999999999E-2</v>
      </c>
    </row>
    <row r="1091" spans="2:8" x14ac:dyDescent="0.25">
      <c r="B1091">
        <v>1.3549</v>
      </c>
      <c r="C1091">
        <v>-5</v>
      </c>
      <c r="D1091">
        <v>24.9</v>
      </c>
      <c r="E1091">
        <v>9.0243000000000004E-2</v>
      </c>
      <c r="F1091">
        <v>11.081</v>
      </c>
      <c r="G1091">
        <v>610.66999999999996</v>
      </c>
      <c r="H1091">
        <v>1.3549</v>
      </c>
    </row>
    <row r="1092" spans="2:8" x14ac:dyDescent="0.25">
      <c r="B1092">
        <v>1.3611</v>
      </c>
      <c r="C1092">
        <v>0</v>
      </c>
      <c r="D1092">
        <v>24.9</v>
      </c>
      <c r="E1092">
        <v>8.9092000000000005E-2</v>
      </c>
      <c r="F1092">
        <v>11.224</v>
      </c>
      <c r="G1092">
        <v>613.5</v>
      </c>
      <c r="H1092">
        <v>1.3611</v>
      </c>
    </row>
    <row r="1093" spans="2:8" x14ac:dyDescent="0.25">
      <c r="B1093">
        <v>1.3672</v>
      </c>
      <c r="C1093">
        <v>5</v>
      </c>
      <c r="D1093">
        <v>24.9</v>
      </c>
      <c r="E1093">
        <v>8.7978000000000001E-2</v>
      </c>
      <c r="F1093">
        <v>11.367000000000001</v>
      </c>
      <c r="G1093">
        <v>616.32000000000005</v>
      </c>
      <c r="H1093">
        <v>1.3672</v>
      </c>
    </row>
    <row r="1094" spans="2:8" x14ac:dyDescent="0.25">
      <c r="B1094">
        <v>1.3732</v>
      </c>
      <c r="C1094">
        <v>10</v>
      </c>
      <c r="D1094">
        <v>24.9</v>
      </c>
      <c r="E1094">
        <v>8.6898000000000003E-2</v>
      </c>
      <c r="F1094">
        <v>11.507999999999999</v>
      </c>
      <c r="G1094">
        <v>619.11</v>
      </c>
      <c r="H1094">
        <v>1.3732</v>
      </c>
    </row>
    <row r="1095" spans="2:8" x14ac:dyDescent="0.25">
      <c r="B1095">
        <v>1.379</v>
      </c>
      <c r="C1095">
        <v>15</v>
      </c>
      <c r="D1095">
        <v>24.9</v>
      </c>
      <c r="E1095">
        <v>8.5851999999999998E-2</v>
      </c>
      <c r="F1095">
        <v>11.648</v>
      </c>
      <c r="G1095">
        <v>621.88</v>
      </c>
      <c r="H1095">
        <v>1.379</v>
      </c>
    </row>
    <row r="1096" spans="2:8" x14ac:dyDescent="0.25">
      <c r="B1096">
        <v>1.3848</v>
      </c>
      <c r="C1096">
        <v>20</v>
      </c>
      <c r="D1096">
        <v>24.9</v>
      </c>
      <c r="E1096">
        <v>8.4835999999999995E-2</v>
      </c>
      <c r="F1096">
        <v>11.787000000000001</v>
      </c>
      <c r="G1096">
        <v>624.64</v>
      </c>
      <c r="H1096">
        <v>1.3848</v>
      </c>
    </row>
    <row r="1097" spans="2:8" x14ac:dyDescent="0.25">
      <c r="B1097">
        <v>1.3905000000000001</v>
      </c>
      <c r="C1097">
        <v>25</v>
      </c>
      <c r="D1097">
        <v>24.9</v>
      </c>
      <c r="E1097">
        <v>8.3849000000000007E-2</v>
      </c>
      <c r="F1097">
        <v>11.926</v>
      </c>
      <c r="G1097">
        <v>627.37</v>
      </c>
      <c r="H1097">
        <v>1.3905000000000001</v>
      </c>
    </row>
    <row r="1098" spans="2:8" x14ac:dyDescent="0.25">
      <c r="B1098">
        <v>1.3960999999999999</v>
      </c>
      <c r="C1098">
        <v>30</v>
      </c>
      <c r="D1098">
        <v>24.9</v>
      </c>
      <c r="E1098">
        <v>8.2889000000000004E-2</v>
      </c>
      <c r="F1098">
        <v>12.064</v>
      </c>
      <c r="G1098">
        <v>630.1</v>
      </c>
      <c r="H1098">
        <v>1.3960999999999999</v>
      </c>
    </row>
    <row r="1099" spans="2:8" x14ac:dyDescent="0.25">
      <c r="B1099">
        <v>1.4016</v>
      </c>
      <c r="C1099">
        <v>35</v>
      </c>
      <c r="D1099">
        <v>24.9</v>
      </c>
      <c r="E1099">
        <v>8.1955E-2</v>
      </c>
      <c r="F1099">
        <v>12.202</v>
      </c>
      <c r="G1099">
        <v>632.80999999999995</v>
      </c>
      <c r="H1099">
        <v>1.4016</v>
      </c>
    </row>
    <row r="1100" spans="2:8" x14ac:dyDescent="0.25">
      <c r="B1100">
        <v>1.407</v>
      </c>
      <c r="C1100">
        <v>40</v>
      </c>
      <c r="D1100">
        <v>24.9</v>
      </c>
      <c r="E1100">
        <v>8.1046000000000007E-2</v>
      </c>
      <c r="F1100">
        <v>12.339</v>
      </c>
      <c r="G1100">
        <v>635.51</v>
      </c>
      <c r="H1100">
        <v>1.407</v>
      </c>
    </row>
    <row r="1101" spans="2:8" x14ac:dyDescent="0.25">
      <c r="B1101">
        <v>1.4124000000000001</v>
      </c>
      <c r="C1101">
        <v>45</v>
      </c>
      <c r="D1101">
        <v>24.9</v>
      </c>
      <c r="E1101">
        <v>8.0159999999999995E-2</v>
      </c>
      <c r="F1101">
        <v>12.475</v>
      </c>
      <c r="G1101">
        <v>638.20000000000005</v>
      </c>
      <c r="H1101">
        <v>1.4124000000000001</v>
      </c>
    </row>
    <row r="1102" spans="2:8" x14ac:dyDescent="0.25">
      <c r="B1102">
        <v>1.4177</v>
      </c>
      <c r="C1102">
        <v>50</v>
      </c>
      <c r="D1102">
        <v>24.9</v>
      </c>
      <c r="E1102">
        <v>7.9297000000000006E-2</v>
      </c>
      <c r="F1102">
        <v>12.611000000000001</v>
      </c>
      <c r="G1102">
        <v>640.89</v>
      </c>
      <c r="H1102">
        <v>1.4177</v>
      </c>
    </row>
    <row r="1103" spans="2:8" x14ac:dyDescent="0.25">
      <c r="B1103">
        <v>1.4229000000000001</v>
      </c>
      <c r="C1103">
        <v>55</v>
      </c>
      <c r="D1103">
        <v>24.9</v>
      </c>
      <c r="E1103">
        <v>7.8454999999999997E-2</v>
      </c>
      <c r="F1103">
        <v>12.746</v>
      </c>
      <c r="G1103">
        <v>643.55999999999995</v>
      </c>
      <c r="H1103">
        <v>1.4229000000000001</v>
      </c>
    </row>
    <row r="1104" spans="2:8" x14ac:dyDescent="0.25">
      <c r="B1104">
        <v>1.4280999999999999</v>
      </c>
      <c r="C1104">
        <v>60</v>
      </c>
      <c r="D1104">
        <v>24.9</v>
      </c>
      <c r="E1104">
        <v>7.7632999999999994E-2</v>
      </c>
      <c r="F1104">
        <v>12.881</v>
      </c>
      <c r="G1104">
        <v>646.23</v>
      </c>
      <c r="H1104">
        <v>1.4280999999999999</v>
      </c>
    </row>
    <row r="1105" spans="2:8" x14ac:dyDescent="0.25">
      <c r="B1105">
        <v>1.4332</v>
      </c>
      <c r="C1105">
        <v>65</v>
      </c>
      <c r="D1105">
        <v>24.9</v>
      </c>
      <c r="E1105">
        <v>7.6829999999999996E-2</v>
      </c>
      <c r="F1105">
        <v>13.016</v>
      </c>
      <c r="G1105">
        <v>648.89</v>
      </c>
      <c r="H1105">
        <v>1.4332</v>
      </c>
    </row>
    <row r="1106" spans="2:8" x14ac:dyDescent="0.25">
      <c r="B1106">
        <v>1.4381999999999999</v>
      </c>
      <c r="C1106">
        <v>70</v>
      </c>
      <c r="D1106">
        <v>24.9</v>
      </c>
      <c r="E1106">
        <v>7.6047000000000003E-2</v>
      </c>
      <c r="F1106">
        <v>13.15</v>
      </c>
      <c r="G1106">
        <v>651.54999999999995</v>
      </c>
      <c r="H1106">
        <v>1.4381999999999999</v>
      </c>
    </row>
    <row r="1107" spans="2:8" x14ac:dyDescent="0.25">
      <c r="B1107">
        <v>1.4432</v>
      </c>
      <c r="C1107">
        <v>75</v>
      </c>
      <c r="D1107">
        <v>24.9</v>
      </c>
      <c r="E1107">
        <v>7.5281000000000001E-2</v>
      </c>
      <c r="F1107">
        <v>13.284000000000001</v>
      </c>
      <c r="G1107">
        <v>654.20000000000005</v>
      </c>
      <c r="H1107">
        <v>1.4432</v>
      </c>
    </row>
    <row r="1108" spans="2:8" x14ac:dyDescent="0.25">
      <c r="B1108">
        <v>1.4480999999999999</v>
      </c>
      <c r="C1108">
        <v>80</v>
      </c>
      <c r="D1108">
        <v>24.9</v>
      </c>
      <c r="E1108">
        <v>7.4532000000000001E-2</v>
      </c>
      <c r="F1108">
        <v>13.417</v>
      </c>
      <c r="G1108">
        <v>656.85</v>
      </c>
      <c r="H1108">
        <v>1.4480999999999999</v>
      </c>
    </row>
    <row r="1109" spans="2:8" x14ac:dyDescent="0.25">
      <c r="B1109">
        <v>1.4530000000000001</v>
      </c>
      <c r="C1109">
        <v>85</v>
      </c>
      <c r="D1109">
        <v>24.9</v>
      </c>
      <c r="E1109">
        <v>7.3799000000000003E-2</v>
      </c>
      <c r="F1109">
        <v>13.55</v>
      </c>
      <c r="G1109">
        <v>659.5</v>
      </c>
      <c r="H1109">
        <v>1.4530000000000001</v>
      </c>
    </row>
    <row r="1110" spans="2:8" x14ac:dyDescent="0.25">
      <c r="B1110">
        <v>1.4578</v>
      </c>
      <c r="C1110">
        <v>90</v>
      </c>
      <c r="D1110">
        <v>24.9</v>
      </c>
      <c r="E1110">
        <v>7.3081999999999994E-2</v>
      </c>
      <c r="F1110">
        <v>13.683</v>
      </c>
      <c r="G1110">
        <v>662.14</v>
      </c>
      <c r="H1110">
        <v>1.4578</v>
      </c>
    </row>
    <row r="1111" spans="2:8" x14ac:dyDescent="0.25">
      <c r="B1111">
        <v>1.4625999999999999</v>
      </c>
      <c r="C1111">
        <v>95</v>
      </c>
      <c r="D1111">
        <v>24.9</v>
      </c>
      <c r="E1111">
        <v>7.2381000000000001E-2</v>
      </c>
      <c r="F1111">
        <v>13.816000000000001</v>
      </c>
      <c r="G1111">
        <v>664.78</v>
      </c>
      <c r="H1111">
        <v>1.4625999999999999</v>
      </c>
    </row>
    <row r="1112" spans="2:8" x14ac:dyDescent="0.25">
      <c r="B1112">
        <v>1.4674</v>
      </c>
      <c r="C1112">
        <v>100</v>
      </c>
      <c r="D1112">
        <v>24.9</v>
      </c>
      <c r="E1112">
        <v>7.1693999999999994E-2</v>
      </c>
      <c r="F1112">
        <v>13.948</v>
      </c>
      <c r="G1112">
        <v>667.43</v>
      </c>
      <c r="H1112">
        <v>1.4674</v>
      </c>
    </row>
    <row r="1113" spans="2:8" x14ac:dyDescent="0.25">
      <c r="B1113">
        <v>1.4721</v>
      </c>
      <c r="C1113">
        <v>105</v>
      </c>
      <c r="D1113">
        <v>24.9</v>
      </c>
      <c r="E1113">
        <v>7.1021000000000001E-2</v>
      </c>
      <c r="F1113">
        <v>14.08</v>
      </c>
      <c r="G1113">
        <v>670.07</v>
      </c>
      <c r="H1113">
        <v>1.4721</v>
      </c>
    </row>
    <row r="1114" spans="2:8" x14ac:dyDescent="0.25">
      <c r="B1114">
        <v>1.4766999999999999</v>
      </c>
      <c r="C1114">
        <v>110</v>
      </c>
      <c r="D1114">
        <v>24.9</v>
      </c>
      <c r="E1114">
        <v>7.0361999999999994E-2</v>
      </c>
      <c r="F1114">
        <v>14.212</v>
      </c>
      <c r="G1114">
        <v>672.71</v>
      </c>
      <c r="H1114">
        <v>1.4766999999999999</v>
      </c>
    </row>
    <row r="1115" spans="2:8" x14ac:dyDescent="0.25">
      <c r="B1115">
        <v>1.4813000000000001</v>
      </c>
      <c r="C1115">
        <v>115</v>
      </c>
      <c r="D1115">
        <v>24.9</v>
      </c>
      <c r="E1115">
        <v>6.9716E-2</v>
      </c>
      <c r="F1115">
        <v>14.343999999999999</v>
      </c>
      <c r="G1115">
        <v>675.35</v>
      </c>
      <c r="H1115">
        <v>1.4813000000000001</v>
      </c>
    </row>
    <row r="1116" spans="2:8" x14ac:dyDescent="0.25">
      <c r="B1116">
        <v>1.4859</v>
      </c>
      <c r="C1116">
        <v>120</v>
      </c>
      <c r="D1116">
        <v>24.9</v>
      </c>
      <c r="E1116">
        <v>6.9083000000000006E-2</v>
      </c>
      <c r="F1116">
        <v>14.475</v>
      </c>
      <c r="G1116">
        <v>677.99</v>
      </c>
      <c r="H1116">
        <v>1.4859</v>
      </c>
    </row>
    <row r="1117" spans="2:8" x14ac:dyDescent="0.25">
      <c r="B1117">
        <v>1.4903999999999999</v>
      </c>
      <c r="C1117">
        <v>125</v>
      </c>
      <c r="D1117">
        <v>24.9</v>
      </c>
      <c r="E1117">
        <v>6.8461999999999995E-2</v>
      </c>
      <c r="F1117">
        <v>14.606999999999999</v>
      </c>
      <c r="G1117">
        <v>680.63</v>
      </c>
      <c r="H1117">
        <v>1.4903999999999999</v>
      </c>
    </row>
    <row r="1118" spans="2:8" x14ac:dyDescent="0.25">
      <c r="B1118">
        <v>1.4948999999999999</v>
      </c>
      <c r="C1118">
        <v>130</v>
      </c>
      <c r="D1118">
        <v>24.9</v>
      </c>
      <c r="E1118">
        <v>6.7852999999999997E-2</v>
      </c>
      <c r="F1118">
        <v>14.738</v>
      </c>
      <c r="G1118">
        <v>683.27</v>
      </c>
      <c r="H1118">
        <v>1.4948999999999999</v>
      </c>
    </row>
    <row r="1119" spans="2:8" x14ac:dyDescent="0.25">
      <c r="B1119">
        <v>1.4994000000000001</v>
      </c>
      <c r="C1119">
        <v>135</v>
      </c>
      <c r="D1119">
        <v>24.9</v>
      </c>
      <c r="E1119">
        <v>6.7255999999999996E-2</v>
      </c>
      <c r="F1119">
        <v>14.869</v>
      </c>
      <c r="G1119">
        <v>685.91</v>
      </c>
      <c r="H1119">
        <v>1.4994000000000001</v>
      </c>
    </row>
    <row r="1120" spans="2:8" x14ac:dyDescent="0.25">
      <c r="B1120">
        <v>1.5038</v>
      </c>
      <c r="C1120">
        <v>140</v>
      </c>
      <c r="D1120">
        <v>24.9</v>
      </c>
      <c r="E1120">
        <v>6.6669000000000006E-2</v>
      </c>
      <c r="F1120">
        <v>14.999000000000001</v>
      </c>
      <c r="G1120">
        <v>688.56</v>
      </c>
      <c r="H1120">
        <v>1.5038</v>
      </c>
    </row>
    <row r="1121" spans="2:8" x14ac:dyDescent="0.25">
      <c r="B1121">
        <v>1.5082</v>
      </c>
      <c r="C1121">
        <v>145</v>
      </c>
      <c r="D1121">
        <v>24.9</v>
      </c>
      <c r="E1121">
        <v>6.6094E-2</v>
      </c>
      <c r="F1121">
        <v>15.13</v>
      </c>
      <c r="G1121">
        <v>691.2</v>
      </c>
      <c r="H1121">
        <v>1.5082</v>
      </c>
    </row>
    <row r="1122" spans="2:8" x14ac:dyDescent="0.25">
      <c r="B1122">
        <v>1.5125999999999999</v>
      </c>
      <c r="C1122">
        <v>150</v>
      </c>
      <c r="D1122">
        <v>24.9</v>
      </c>
      <c r="E1122">
        <v>6.5528000000000003E-2</v>
      </c>
      <c r="F1122">
        <v>15.260999999999999</v>
      </c>
      <c r="G1122">
        <v>693.85</v>
      </c>
      <c r="H1122">
        <v>1.5125999999999999</v>
      </c>
    </row>
    <row r="1123" spans="2:8" x14ac:dyDescent="0.25">
      <c r="B1123">
        <v>1.5168999999999999</v>
      </c>
      <c r="C1123">
        <v>155</v>
      </c>
      <c r="D1123">
        <v>24.9</v>
      </c>
      <c r="E1123">
        <v>6.4973000000000003E-2</v>
      </c>
      <c r="F1123">
        <v>15.391</v>
      </c>
      <c r="G1123">
        <v>696.51</v>
      </c>
      <c r="H1123">
        <v>1.5168999999999999</v>
      </c>
    </row>
    <row r="1124" spans="2:8" x14ac:dyDescent="0.25">
      <c r="B1124">
        <v>1.5212000000000001</v>
      </c>
      <c r="C1124">
        <v>160</v>
      </c>
      <c r="D1124">
        <v>24.9</v>
      </c>
      <c r="E1124">
        <v>6.4427999999999999E-2</v>
      </c>
      <c r="F1124">
        <v>15.521000000000001</v>
      </c>
      <c r="G1124">
        <v>699.16</v>
      </c>
      <c r="H1124">
        <v>1.5212000000000001</v>
      </c>
    </row>
    <row r="1125" spans="2:8" x14ac:dyDescent="0.25">
      <c r="B1125">
        <v>1.5255000000000001</v>
      </c>
      <c r="C1125">
        <v>165</v>
      </c>
      <c r="D1125">
        <v>24.9</v>
      </c>
      <c r="E1125">
        <v>6.3893000000000005E-2</v>
      </c>
      <c r="F1125">
        <v>15.651</v>
      </c>
      <c r="G1125">
        <v>701.82</v>
      </c>
      <c r="H1125">
        <v>1.5255000000000001</v>
      </c>
    </row>
    <row r="1126" spans="2:8" x14ac:dyDescent="0.25">
      <c r="B1126">
        <v>1.5297000000000001</v>
      </c>
      <c r="C1126">
        <v>170</v>
      </c>
      <c r="D1126">
        <v>24.9</v>
      </c>
      <c r="E1126">
        <v>6.3367000000000007E-2</v>
      </c>
      <c r="F1126">
        <v>15.781000000000001</v>
      </c>
      <c r="G1126">
        <v>704.48</v>
      </c>
      <c r="H1126">
        <v>1.5297000000000001</v>
      </c>
    </row>
    <row r="1127" spans="2:8" x14ac:dyDescent="0.25">
      <c r="B1127">
        <v>1.534</v>
      </c>
      <c r="C1127">
        <v>175</v>
      </c>
      <c r="D1127">
        <v>24.9</v>
      </c>
      <c r="E1127">
        <v>6.2849000000000002E-2</v>
      </c>
      <c r="F1127">
        <v>15.911</v>
      </c>
      <c r="G1127">
        <v>707.14</v>
      </c>
      <c r="H1127">
        <v>1.534</v>
      </c>
    </row>
    <row r="1128" spans="2:8" x14ac:dyDescent="0.25">
      <c r="B1128">
        <v>1.5381</v>
      </c>
      <c r="C1128">
        <v>180</v>
      </c>
      <c r="D1128">
        <v>24.9</v>
      </c>
      <c r="E1128">
        <v>6.2341000000000001E-2</v>
      </c>
      <c r="F1128">
        <v>16.041</v>
      </c>
      <c r="G1128">
        <v>709.81</v>
      </c>
      <c r="H1128">
        <v>1.5381</v>
      </c>
    </row>
    <row r="1129" spans="2:8" x14ac:dyDescent="0.25">
      <c r="B1129">
        <v>1.5423</v>
      </c>
      <c r="C1129">
        <v>185</v>
      </c>
      <c r="D1129">
        <v>24.9</v>
      </c>
      <c r="E1129">
        <v>6.1841E-2</v>
      </c>
      <c r="F1129">
        <v>16.170000000000002</v>
      </c>
      <c r="G1129">
        <v>712.48</v>
      </c>
      <c r="H1129">
        <v>1.5423</v>
      </c>
    </row>
    <row r="1130" spans="2:8" x14ac:dyDescent="0.25">
      <c r="B1130">
        <v>1.5464</v>
      </c>
      <c r="C1130">
        <v>190</v>
      </c>
      <c r="D1130">
        <v>24.9</v>
      </c>
      <c r="E1130">
        <v>6.1350000000000002E-2</v>
      </c>
      <c r="F1130">
        <v>16.3</v>
      </c>
      <c r="G1130">
        <v>715.15</v>
      </c>
      <c r="H1130">
        <v>1.5464</v>
      </c>
    </row>
    <row r="1131" spans="2:8" x14ac:dyDescent="0.25">
      <c r="B1131">
        <v>1.5505</v>
      </c>
      <c r="C1131">
        <v>195</v>
      </c>
      <c r="D1131">
        <v>24.9</v>
      </c>
      <c r="E1131">
        <v>6.0866000000000003E-2</v>
      </c>
      <c r="F1131">
        <v>16.428999999999998</v>
      </c>
      <c r="G1131">
        <v>717.83</v>
      </c>
      <c r="H1131">
        <v>1.5505</v>
      </c>
    </row>
    <row r="1132" spans="2:8" x14ac:dyDescent="0.25">
      <c r="B1132">
        <v>1.5546</v>
      </c>
      <c r="C1132">
        <v>200</v>
      </c>
      <c r="D1132">
        <v>24.9</v>
      </c>
      <c r="E1132">
        <v>6.0391E-2</v>
      </c>
      <c r="F1132">
        <v>16.559000000000001</v>
      </c>
      <c r="G1132">
        <v>720.51</v>
      </c>
      <c r="H1132">
        <v>1.5546</v>
      </c>
    </row>
    <row r="1133" spans="2:8" x14ac:dyDescent="0.25">
      <c r="B1133">
        <v>1.5587</v>
      </c>
      <c r="C1133">
        <v>205</v>
      </c>
      <c r="D1133">
        <v>24.9</v>
      </c>
      <c r="E1133">
        <v>5.9922999999999997E-2</v>
      </c>
      <c r="F1133">
        <v>16.687999999999999</v>
      </c>
      <c r="G1133">
        <v>723.2</v>
      </c>
      <c r="H1133">
        <v>1.5587</v>
      </c>
    </row>
    <row r="1134" spans="2:8" x14ac:dyDescent="0.25">
      <c r="B1134">
        <v>1.5627</v>
      </c>
      <c r="C1134">
        <v>210</v>
      </c>
      <c r="D1134">
        <v>24.9</v>
      </c>
      <c r="E1134">
        <v>5.9463000000000002E-2</v>
      </c>
      <c r="F1134">
        <v>16.817</v>
      </c>
      <c r="G1134">
        <v>725.89</v>
      </c>
      <c r="H1134">
        <v>1.5627</v>
      </c>
    </row>
    <row r="1135" spans="2:8" x14ac:dyDescent="0.25">
      <c r="B1135">
        <v>1.5667</v>
      </c>
      <c r="C1135">
        <v>215</v>
      </c>
      <c r="D1135">
        <v>24.9</v>
      </c>
      <c r="E1135">
        <v>5.901E-2</v>
      </c>
      <c r="F1135">
        <v>16.946000000000002</v>
      </c>
      <c r="G1135">
        <v>728.58</v>
      </c>
      <c r="H1135">
        <v>1.5667</v>
      </c>
    </row>
    <row r="1136" spans="2:8" x14ac:dyDescent="0.25">
      <c r="B1136">
        <v>1.5707</v>
      </c>
      <c r="C1136">
        <v>220</v>
      </c>
      <c r="D1136">
        <v>24.9</v>
      </c>
      <c r="E1136">
        <v>5.8563999999999998E-2</v>
      </c>
      <c r="F1136">
        <v>17.074999999999999</v>
      </c>
      <c r="G1136">
        <v>731.28</v>
      </c>
      <c r="H1136">
        <v>1.5707</v>
      </c>
    </row>
    <row r="1137" spans="2:8" x14ac:dyDescent="0.25">
      <c r="B1137">
        <v>1.5747</v>
      </c>
      <c r="C1137">
        <v>225</v>
      </c>
      <c r="D1137">
        <v>24.9</v>
      </c>
      <c r="E1137">
        <v>5.8125000000000003E-2</v>
      </c>
      <c r="F1137">
        <v>17.204000000000001</v>
      </c>
      <c r="G1137">
        <v>733.99</v>
      </c>
      <c r="H1137">
        <v>1.5747</v>
      </c>
    </row>
    <row r="1138" spans="2:8" x14ac:dyDescent="0.25">
      <c r="B1138">
        <v>1.5786</v>
      </c>
      <c r="C1138">
        <v>230</v>
      </c>
      <c r="D1138">
        <v>24.9</v>
      </c>
      <c r="E1138">
        <v>5.7692E-2</v>
      </c>
      <c r="F1138">
        <v>17.332999999999998</v>
      </c>
      <c r="G1138">
        <v>736.7</v>
      </c>
      <c r="H1138">
        <v>1.5786</v>
      </c>
    </row>
    <row r="1139" spans="2:8" x14ac:dyDescent="0.25">
      <c r="B1139">
        <v>1.5825</v>
      </c>
      <c r="C1139">
        <v>235</v>
      </c>
      <c r="D1139">
        <v>24.9</v>
      </c>
      <c r="E1139">
        <v>5.7266999999999998E-2</v>
      </c>
      <c r="F1139">
        <v>17.462</v>
      </c>
      <c r="G1139">
        <v>739.41</v>
      </c>
      <c r="H1139">
        <v>1.5825</v>
      </c>
    </row>
    <row r="1140" spans="2:8" x14ac:dyDescent="0.25">
      <c r="B1140">
        <v>1.5864</v>
      </c>
      <c r="C1140">
        <v>240</v>
      </c>
      <c r="D1140">
        <v>24.9</v>
      </c>
      <c r="E1140">
        <v>5.6847000000000002E-2</v>
      </c>
      <c r="F1140">
        <v>17.591000000000001</v>
      </c>
      <c r="G1140">
        <v>742.13</v>
      </c>
      <c r="H1140">
        <v>1.5864</v>
      </c>
    </row>
    <row r="1141" spans="2:8" x14ac:dyDescent="0.25">
      <c r="B1141">
        <v>1.5903</v>
      </c>
      <c r="C1141">
        <v>245</v>
      </c>
      <c r="D1141">
        <v>24.9</v>
      </c>
      <c r="E1141">
        <v>5.6434999999999999E-2</v>
      </c>
      <c r="F1141">
        <v>17.72</v>
      </c>
      <c r="G1141">
        <v>744.85</v>
      </c>
      <c r="H1141">
        <v>1.5903</v>
      </c>
    </row>
    <row r="1142" spans="2:8" x14ac:dyDescent="0.25">
      <c r="B1142">
        <v>1.5942000000000001</v>
      </c>
      <c r="C1142">
        <v>250</v>
      </c>
      <c r="D1142">
        <v>24.9</v>
      </c>
      <c r="E1142">
        <v>5.6028000000000001E-2</v>
      </c>
      <c r="F1142">
        <v>17.847999999999999</v>
      </c>
      <c r="G1142">
        <v>747.58</v>
      </c>
      <c r="H1142">
        <v>1.5942000000000001</v>
      </c>
    </row>
    <row r="1143" spans="2:8" x14ac:dyDescent="0.25">
      <c r="B1143">
        <v>1.5980000000000001</v>
      </c>
      <c r="C1143">
        <v>255</v>
      </c>
      <c r="D1143">
        <v>24.9</v>
      </c>
      <c r="E1143">
        <v>5.5627000000000003E-2</v>
      </c>
      <c r="F1143">
        <v>17.977</v>
      </c>
      <c r="G1143">
        <v>750.32</v>
      </c>
      <c r="H1143">
        <v>1.5980000000000001</v>
      </c>
    </row>
    <row r="1144" spans="2:8" x14ac:dyDescent="0.25">
      <c r="B1144">
        <v>1.6017999999999999</v>
      </c>
      <c r="C1144">
        <v>260</v>
      </c>
      <c r="D1144">
        <v>24.9</v>
      </c>
      <c r="E1144">
        <v>5.5232000000000003E-2</v>
      </c>
      <c r="F1144">
        <v>18.105</v>
      </c>
      <c r="G1144">
        <v>753.06</v>
      </c>
      <c r="H1144">
        <v>1.6017999999999999</v>
      </c>
    </row>
    <row r="1145" spans="2:8" x14ac:dyDescent="0.25">
      <c r="B1145">
        <v>1.6055999999999999</v>
      </c>
      <c r="C1145">
        <v>265</v>
      </c>
      <c r="D1145">
        <v>24.9</v>
      </c>
      <c r="E1145">
        <v>5.4843000000000003E-2</v>
      </c>
      <c r="F1145">
        <v>18.234000000000002</v>
      </c>
      <c r="G1145">
        <v>755.8</v>
      </c>
      <c r="H1145">
        <v>1.6055999999999999</v>
      </c>
    </row>
    <row r="1146" spans="2:8" x14ac:dyDescent="0.25">
      <c r="B1146">
        <v>1.6093999999999999</v>
      </c>
      <c r="C1146">
        <v>270</v>
      </c>
      <c r="D1146">
        <v>24.9</v>
      </c>
      <c r="E1146">
        <v>5.4459E-2</v>
      </c>
      <c r="F1146">
        <v>18.361999999999998</v>
      </c>
      <c r="G1146">
        <v>758.55</v>
      </c>
      <c r="H1146">
        <v>1.6093999999999999</v>
      </c>
    </row>
    <row r="1147" spans="2:8" x14ac:dyDescent="0.25">
      <c r="B1147">
        <v>1.6132</v>
      </c>
      <c r="C1147">
        <v>275</v>
      </c>
      <c r="D1147">
        <v>24.9</v>
      </c>
      <c r="E1147">
        <v>5.4080999999999997E-2</v>
      </c>
      <c r="F1147">
        <v>18.491</v>
      </c>
      <c r="G1147">
        <v>761.31</v>
      </c>
      <c r="H1147">
        <v>1.6132</v>
      </c>
    </row>
    <row r="1148" spans="2:8" x14ac:dyDescent="0.25">
      <c r="B1148">
        <v>1.6169</v>
      </c>
      <c r="C1148">
        <v>280</v>
      </c>
      <c r="D1148">
        <v>24.9</v>
      </c>
      <c r="E1148">
        <v>5.3707999999999999E-2</v>
      </c>
      <c r="F1148">
        <v>18.619</v>
      </c>
      <c r="G1148">
        <v>764.07</v>
      </c>
      <c r="H1148">
        <v>1.6169</v>
      </c>
    </row>
    <row r="1149" spans="2:8" x14ac:dyDescent="0.25">
      <c r="B1149">
        <v>1.6207</v>
      </c>
      <c r="C1149">
        <v>285</v>
      </c>
      <c r="D1149">
        <v>24.9</v>
      </c>
      <c r="E1149">
        <v>5.3341E-2</v>
      </c>
      <c r="F1149">
        <v>18.747</v>
      </c>
      <c r="G1149">
        <v>766.84</v>
      </c>
      <c r="H1149">
        <v>1.6207</v>
      </c>
    </row>
    <row r="1150" spans="2:8" x14ac:dyDescent="0.25">
      <c r="B1150">
        <v>1.6244000000000001</v>
      </c>
      <c r="C1150">
        <v>290</v>
      </c>
      <c r="D1150">
        <v>24.9</v>
      </c>
      <c r="E1150">
        <v>5.2977999999999997E-2</v>
      </c>
      <c r="F1150">
        <v>18.876000000000001</v>
      </c>
      <c r="G1150">
        <v>769.61</v>
      </c>
      <c r="H1150">
        <v>1.6244000000000001</v>
      </c>
    </row>
    <row r="1151" spans="2:8" x14ac:dyDescent="0.25">
      <c r="B1151">
        <v>1.6281000000000001</v>
      </c>
      <c r="C1151">
        <v>295</v>
      </c>
      <c r="D1151">
        <v>24.9</v>
      </c>
      <c r="E1151">
        <v>5.2621000000000001E-2</v>
      </c>
      <c r="F1151">
        <v>19.004000000000001</v>
      </c>
      <c r="G1151">
        <v>772.39</v>
      </c>
      <c r="H1151">
        <v>1.6281000000000001</v>
      </c>
    </row>
    <row r="1152" spans="2:8" x14ac:dyDescent="0.25">
      <c r="B1152">
        <v>1.6316999999999999</v>
      </c>
      <c r="C1152">
        <v>300</v>
      </c>
      <c r="D1152">
        <v>24.9</v>
      </c>
      <c r="E1152">
        <v>5.2268000000000002E-2</v>
      </c>
      <c r="F1152">
        <v>19.132000000000001</v>
      </c>
      <c r="G1152">
        <v>775.18</v>
      </c>
      <c r="H1152">
        <v>1.6316999999999999</v>
      </c>
    </row>
    <row r="1154" spans="1:8" x14ac:dyDescent="0.25">
      <c r="A1154">
        <v>26.2</v>
      </c>
      <c r="B1154">
        <v>-2.5419000000000001E-2</v>
      </c>
      <c r="C1154">
        <v>-50</v>
      </c>
      <c r="D1154">
        <v>26.2</v>
      </c>
      <c r="E1154">
        <v>43.505000000000003</v>
      </c>
      <c r="F1154">
        <v>2.2985999999999999E-2</v>
      </c>
      <c r="G1154">
        <v>-10.473000000000001</v>
      </c>
      <c r="H1154">
        <v>-2.5419000000000001E-2</v>
      </c>
    </row>
    <row r="1155" spans="1:8" x14ac:dyDescent="0.25">
      <c r="B1155">
        <v>-1.2688E-2</v>
      </c>
      <c r="C1155">
        <v>-45</v>
      </c>
      <c r="D1155">
        <v>26.2</v>
      </c>
      <c r="E1155">
        <v>43.296999999999997</v>
      </c>
      <c r="F1155">
        <v>2.3095999999999998E-2</v>
      </c>
      <c r="G1155">
        <v>-5.2252000000000001</v>
      </c>
      <c r="H1155">
        <v>-1.2688E-2</v>
      </c>
    </row>
    <row r="1156" spans="1:8" x14ac:dyDescent="0.25">
      <c r="B1156">
        <v>-6.6395000000000004E-5</v>
      </c>
      <c r="C1156">
        <v>-40</v>
      </c>
      <c r="D1156">
        <v>26.2</v>
      </c>
      <c r="E1156">
        <v>43.088000000000001</v>
      </c>
      <c r="F1156">
        <v>2.3207999999999999E-2</v>
      </c>
      <c r="G1156">
        <v>4.0049000000000001E-2</v>
      </c>
      <c r="H1156">
        <v>-6.6395000000000004E-5</v>
      </c>
    </row>
    <row r="1157" spans="1:8" x14ac:dyDescent="0.25">
      <c r="B1157">
        <v>1.2447E-2</v>
      </c>
      <c r="C1157">
        <v>-35</v>
      </c>
      <c r="D1157">
        <v>26.2</v>
      </c>
      <c r="E1157">
        <v>42.875999999999998</v>
      </c>
      <c r="F1157">
        <v>2.3323E-2</v>
      </c>
      <c r="G1157">
        <v>5.3226000000000004</v>
      </c>
      <c r="H1157">
        <v>1.2447E-2</v>
      </c>
    </row>
    <row r="1158" spans="1:8" x14ac:dyDescent="0.25">
      <c r="B1158">
        <v>2.4853E-2</v>
      </c>
      <c r="C1158">
        <v>-30</v>
      </c>
      <c r="D1158">
        <v>26.2</v>
      </c>
      <c r="E1158">
        <v>42.662999999999997</v>
      </c>
      <c r="F1158">
        <v>2.3439999999999999E-2</v>
      </c>
      <c r="G1158">
        <v>10.622</v>
      </c>
      <c r="H1158">
        <v>2.4853E-2</v>
      </c>
    </row>
    <row r="1159" spans="1:8" x14ac:dyDescent="0.25">
      <c r="B1159">
        <v>3.7155000000000001E-2</v>
      </c>
      <c r="C1159">
        <v>-25</v>
      </c>
      <c r="D1159">
        <v>26.2</v>
      </c>
      <c r="E1159">
        <v>42.448</v>
      </c>
      <c r="F1159">
        <v>2.3557999999999999E-2</v>
      </c>
      <c r="G1159">
        <v>15.939</v>
      </c>
      <c r="H1159">
        <v>3.7155000000000001E-2</v>
      </c>
    </row>
    <row r="1160" spans="1:8" x14ac:dyDescent="0.25">
      <c r="B1160">
        <v>4.9355000000000003E-2</v>
      </c>
      <c r="C1160">
        <v>-20</v>
      </c>
      <c r="D1160">
        <v>26.2</v>
      </c>
      <c r="E1160">
        <v>42.23</v>
      </c>
      <c r="F1160">
        <v>2.368E-2</v>
      </c>
      <c r="G1160">
        <v>21.271999999999998</v>
      </c>
      <c r="H1160">
        <v>4.9355000000000003E-2</v>
      </c>
    </row>
    <row r="1161" spans="1:8" x14ac:dyDescent="0.25">
      <c r="B1161">
        <v>6.1454000000000002E-2</v>
      </c>
      <c r="C1161">
        <v>-15</v>
      </c>
      <c r="D1161">
        <v>26.2</v>
      </c>
      <c r="E1161">
        <v>42.011000000000003</v>
      </c>
      <c r="F1161">
        <v>2.3803000000000001E-2</v>
      </c>
      <c r="G1161">
        <v>26.622</v>
      </c>
      <c r="H1161">
        <v>6.1454000000000002E-2</v>
      </c>
    </row>
    <row r="1162" spans="1:8" x14ac:dyDescent="0.25">
      <c r="B1162">
        <v>7.3454000000000005E-2</v>
      </c>
      <c r="C1162">
        <v>-10</v>
      </c>
      <c r="D1162">
        <v>26.2</v>
      </c>
      <c r="E1162">
        <v>41.79</v>
      </c>
      <c r="F1162">
        <v>2.3928999999999999E-2</v>
      </c>
      <c r="G1162">
        <v>31.988</v>
      </c>
      <c r="H1162">
        <v>7.3454000000000005E-2</v>
      </c>
    </row>
    <row r="1163" spans="1:8" x14ac:dyDescent="0.25">
      <c r="B1163">
        <v>1.3481000000000001</v>
      </c>
      <c r="C1163">
        <v>-5</v>
      </c>
      <c r="D1163">
        <v>26.2</v>
      </c>
      <c r="E1163">
        <v>9.5156000000000004E-2</v>
      </c>
      <c r="F1163">
        <v>10.509</v>
      </c>
      <c r="G1163">
        <v>610.19000000000005</v>
      </c>
      <c r="H1163">
        <v>1.3481000000000001</v>
      </c>
    </row>
    <row r="1164" spans="1:8" x14ac:dyDescent="0.25">
      <c r="B1164">
        <v>1.3544</v>
      </c>
      <c r="C1164">
        <v>0</v>
      </c>
      <c r="D1164">
        <v>26.2</v>
      </c>
      <c r="E1164">
        <v>9.3931000000000001E-2</v>
      </c>
      <c r="F1164">
        <v>10.646000000000001</v>
      </c>
      <c r="G1164">
        <v>613.04999999999995</v>
      </c>
      <c r="H1164">
        <v>1.3544</v>
      </c>
    </row>
    <row r="1165" spans="1:8" x14ac:dyDescent="0.25">
      <c r="B1165">
        <v>1.3605</v>
      </c>
      <c r="C1165">
        <v>5</v>
      </c>
      <c r="D1165">
        <v>26.2</v>
      </c>
      <c r="E1165">
        <v>9.2746999999999996E-2</v>
      </c>
      <c r="F1165">
        <v>10.782</v>
      </c>
      <c r="G1165">
        <v>615.88</v>
      </c>
      <c r="H1165">
        <v>1.3605</v>
      </c>
    </row>
    <row r="1166" spans="1:8" x14ac:dyDescent="0.25">
      <c r="B1166">
        <v>1.3666</v>
      </c>
      <c r="C1166">
        <v>10</v>
      </c>
      <c r="D1166">
        <v>26.2</v>
      </c>
      <c r="E1166">
        <v>9.1600000000000001E-2</v>
      </c>
      <c r="F1166">
        <v>10.917</v>
      </c>
      <c r="G1166">
        <v>618.70000000000005</v>
      </c>
      <c r="H1166">
        <v>1.3666</v>
      </c>
    </row>
    <row r="1167" spans="1:8" x14ac:dyDescent="0.25">
      <c r="B1167">
        <v>1.3725000000000001</v>
      </c>
      <c r="C1167">
        <v>15</v>
      </c>
      <c r="D1167">
        <v>26.2</v>
      </c>
      <c r="E1167">
        <v>9.0487999999999999E-2</v>
      </c>
      <c r="F1167">
        <v>11.051</v>
      </c>
      <c r="G1167">
        <v>621.49</v>
      </c>
      <c r="H1167">
        <v>1.3725000000000001</v>
      </c>
    </row>
    <row r="1168" spans="1:8" x14ac:dyDescent="0.25">
      <c r="B1168">
        <v>1.3783000000000001</v>
      </c>
      <c r="C1168">
        <v>20</v>
      </c>
      <c r="D1168">
        <v>26.2</v>
      </c>
      <c r="E1168">
        <v>8.9410000000000003E-2</v>
      </c>
      <c r="F1168">
        <v>11.183999999999999</v>
      </c>
      <c r="G1168">
        <v>624.26</v>
      </c>
      <c r="H1168">
        <v>1.3783000000000001</v>
      </c>
    </row>
    <row r="1169" spans="2:8" x14ac:dyDescent="0.25">
      <c r="B1169">
        <v>1.3839999999999999</v>
      </c>
      <c r="C1169">
        <v>25</v>
      </c>
      <c r="D1169">
        <v>26.2</v>
      </c>
      <c r="E1169">
        <v>8.8361999999999996E-2</v>
      </c>
      <c r="F1169">
        <v>11.317</v>
      </c>
      <c r="G1169">
        <v>627.01</v>
      </c>
      <c r="H1169">
        <v>1.3839999999999999</v>
      </c>
    </row>
    <row r="1170" spans="2:8" x14ac:dyDescent="0.25">
      <c r="B1170">
        <v>1.3895999999999999</v>
      </c>
      <c r="C1170">
        <v>30</v>
      </c>
      <c r="D1170">
        <v>26.2</v>
      </c>
      <c r="E1170">
        <v>8.7345000000000006E-2</v>
      </c>
      <c r="F1170">
        <v>11.449</v>
      </c>
      <c r="G1170">
        <v>629.75</v>
      </c>
      <c r="H1170">
        <v>1.3895999999999999</v>
      </c>
    </row>
    <row r="1171" spans="2:8" x14ac:dyDescent="0.25">
      <c r="B1171">
        <v>1.3952</v>
      </c>
      <c r="C1171">
        <v>35</v>
      </c>
      <c r="D1171">
        <v>26.2</v>
      </c>
      <c r="E1171">
        <v>8.6355000000000001E-2</v>
      </c>
      <c r="F1171">
        <v>11.58</v>
      </c>
      <c r="G1171">
        <v>632.48</v>
      </c>
      <c r="H1171">
        <v>1.3952</v>
      </c>
    </row>
    <row r="1172" spans="2:8" x14ac:dyDescent="0.25">
      <c r="B1172">
        <v>1.4006000000000001</v>
      </c>
      <c r="C1172">
        <v>40</v>
      </c>
      <c r="D1172">
        <v>26.2</v>
      </c>
      <c r="E1172">
        <v>8.5391999999999996E-2</v>
      </c>
      <c r="F1172">
        <v>11.711</v>
      </c>
      <c r="G1172">
        <v>635.20000000000005</v>
      </c>
      <c r="H1172">
        <v>1.4006000000000001</v>
      </c>
    </row>
    <row r="1173" spans="2:8" x14ac:dyDescent="0.25">
      <c r="B1173">
        <v>1.4059999999999999</v>
      </c>
      <c r="C1173">
        <v>45</v>
      </c>
      <c r="D1173">
        <v>26.2</v>
      </c>
      <c r="E1173">
        <v>8.4453E-2</v>
      </c>
      <c r="F1173">
        <v>11.840999999999999</v>
      </c>
      <c r="G1173">
        <v>637.9</v>
      </c>
      <c r="H1173">
        <v>1.4059999999999999</v>
      </c>
    </row>
    <row r="1174" spans="2:8" x14ac:dyDescent="0.25">
      <c r="B1174">
        <v>1.4113</v>
      </c>
      <c r="C1174">
        <v>50</v>
      </c>
      <c r="D1174">
        <v>26.2</v>
      </c>
      <c r="E1174">
        <v>8.3539000000000002E-2</v>
      </c>
      <c r="F1174">
        <v>11.97</v>
      </c>
      <c r="G1174">
        <v>640.59</v>
      </c>
      <c r="H1174">
        <v>1.4113</v>
      </c>
    </row>
    <row r="1175" spans="2:8" x14ac:dyDescent="0.25">
      <c r="B1175">
        <v>1.4166000000000001</v>
      </c>
      <c r="C1175">
        <v>55</v>
      </c>
      <c r="D1175">
        <v>26.2</v>
      </c>
      <c r="E1175">
        <v>8.2646999999999998E-2</v>
      </c>
      <c r="F1175">
        <v>12.1</v>
      </c>
      <c r="G1175">
        <v>643.28</v>
      </c>
      <c r="H1175">
        <v>1.4166000000000001</v>
      </c>
    </row>
    <row r="1176" spans="2:8" x14ac:dyDescent="0.25">
      <c r="B1176">
        <v>1.4217</v>
      </c>
      <c r="C1176">
        <v>60</v>
      </c>
      <c r="D1176">
        <v>26.2</v>
      </c>
      <c r="E1176">
        <v>8.1778000000000003E-2</v>
      </c>
      <c r="F1176">
        <v>12.228</v>
      </c>
      <c r="G1176">
        <v>645.96</v>
      </c>
      <c r="H1176">
        <v>1.4217</v>
      </c>
    </row>
    <row r="1177" spans="2:8" x14ac:dyDescent="0.25">
      <c r="B1177">
        <v>1.4268000000000001</v>
      </c>
      <c r="C1177">
        <v>65</v>
      </c>
      <c r="D1177">
        <v>26.2</v>
      </c>
      <c r="E1177">
        <v>8.0929000000000001E-2</v>
      </c>
      <c r="F1177">
        <v>12.356999999999999</v>
      </c>
      <c r="G1177">
        <v>648.63</v>
      </c>
      <c r="H1177">
        <v>1.4268000000000001</v>
      </c>
    </row>
    <row r="1178" spans="2:8" x14ac:dyDescent="0.25">
      <c r="B1178">
        <v>1.4319</v>
      </c>
      <c r="C1178">
        <v>70</v>
      </c>
      <c r="D1178">
        <v>26.2</v>
      </c>
      <c r="E1178">
        <v>8.0100000000000005E-2</v>
      </c>
      <c r="F1178">
        <v>12.484</v>
      </c>
      <c r="G1178">
        <v>651.29999999999995</v>
      </c>
      <c r="H1178">
        <v>1.4319</v>
      </c>
    </row>
    <row r="1179" spans="2:8" x14ac:dyDescent="0.25">
      <c r="B1179">
        <v>1.4369000000000001</v>
      </c>
      <c r="C1179">
        <v>75</v>
      </c>
      <c r="D1179">
        <v>26.2</v>
      </c>
      <c r="E1179">
        <v>7.9288999999999998E-2</v>
      </c>
      <c r="F1179">
        <v>12.612</v>
      </c>
      <c r="G1179">
        <v>653.96</v>
      </c>
      <c r="H1179">
        <v>1.4369000000000001</v>
      </c>
    </row>
    <row r="1180" spans="2:8" x14ac:dyDescent="0.25">
      <c r="B1180">
        <v>1.4419</v>
      </c>
      <c r="C1180">
        <v>80</v>
      </c>
      <c r="D1180">
        <v>26.2</v>
      </c>
      <c r="E1180">
        <v>7.8497999999999998E-2</v>
      </c>
      <c r="F1180">
        <v>12.739000000000001</v>
      </c>
      <c r="G1180">
        <v>656.62</v>
      </c>
      <c r="H1180">
        <v>1.4419</v>
      </c>
    </row>
    <row r="1181" spans="2:8" x14ac:dyDescent="0.25">
      <c r="B1181">
        <v>1.4468000000000001</v>
      </c>
      <c r="C1181">
        <v>85</v>
      </c>
      <c r="D1181">
        <v>26.2</v>
      </c>
      <c r="E1181">
        <v>7.7723E-2</v>
      </c>
      <c r="F1181">
        <v>12.866</v>
      </c>
      <c r="G1181">
        <v>659.27</v>
      </c>
      <c r="H1181">
        <v>1.4468000000000001</v>
      </c>
    </row>
    <row r="1182" spans="2:8" x14ac:dyDescent="0.25">
      <c r="B1182">
        <v>1.4516</v>
      </c>
      <c r="C1182">
        <v>90</v>
      </c>
      <c r="D1182">
        <v>26.2</v>
      </c>
      <c r="E1182">
        <v>7.6966000000000007E-2</v>
      </c>
      <c r="F1182">
        <v>12.993</v>
      </c>
      <c r="G1182">
        <v>661.92</v>
      </c>
      <c r="H1182">
        <v>1.4516</v>
      </c>
    </row>
    <row r="1183" spans="2:8" x14ac:dyDescent="0.25">
      <c r="B1183">
        <v>1.4563999999999999</v>
      </c>
      <c r="C1183">
        <v>95</v>
      </c>
      <c r="D1183">
        <v>26.2</v>
      </c>
      <c r="E1183">
        <v>7.6225000000000001E-2</v>
      </c>
      <c r="F1183">
        <v>13.119</v>
      </c>
      <c r="G1183">
        <v>664.57</v>
      </c>
      <c r="H1183">
        <v>1.4563999999999999</v>
      </c>
    </row>
    <row r="1184" spans="2:8" x14ac:dyDescent="0.25">
      <c r="B1184">
        <v>1.4611000000000001</v>
      </c>
      <c r="C1184">
        <v>100</v>
      </c>
      <c r="D1184">
        <v>26.2</v>
      </c>
      <c r="E1184">
        <v>7.5498999999999997E-2</v>
      </c>
      <c r="F1184">
        <v>13.244999999999999</v>
      </c>
      <c r="G1184">
        <v>667.22</v>
      </c>
      <c r="H1184">
        <v>1.4611000000000001</v>
      </c>
    </row>
    <row r="1185" spans="2:8" x14ac:dyDescent="0.25">
      <c r="B1185">
        <v>1.4659</v>
      </c>
      <c r="C1185">
        <v>105</v>
      </c>
      <c r="D1185">
        <v>26.2</v>
      </c>
      <c r="E1185">
        <v>7.4787999999999993E-2</v>
      </c>
      <c r="F1185">
        <v>13.371</v>
      </c>
      <c r="G1185">
        <v>669.87</v>
      </c>
      <c r="H1185">
        <v>1.4659</v>
      </c>
    </row>
    <row r="1186" spans="2:8" x14ac:dyDescent="0.25">
      <c r="B1186">
        <v>1.4704999999999999</v>
      </c>
      <c r="C1186">
        <v>110</v>
      </c>
      <c r="D1186">
        <v>26.2</v>
      </c>
      <c r="E1186">
        <v>7.4092000000000005E-2</v>
      </c>
      <c r="F1186">
        <v>13.497</v>
      </c>
      <c r="G1186">
        <v>672.51</v>
      </c>
      <c r="H1186">
        <v>1.4704999999999999</v>
      </c>
    </row>
    <row r="1187" spans="2:8" x14ac:dyDescent="0.25">
      <c r="B1187">
        <v>1.4751000000000001</v>
      </c>
      <c r="C1187">
        <v>115</v>
      </c>
      <c r="D1187">
        <v>26.2</v>
      </c>
      <c r="E1187">
        <v>7.3410000000000003E-2</v>
      </c>
      <c r="F1187">
        <v>13.622</v>
      </c>
      <c r="G1187">
        <v>675.16</v>
      </c>
      <c r="H1187">
        <v>1.4751000000000001</v>
      </c>
    </row>
    <row r="1188" spans="2:8" x14ac:dyDescent="0.25">
      <c r="B1188">
        <v>1.4797</v>
      </c>
      <c r="C1188">
        <v>120</v>
      </c>
      <c r="D1188">
        <v>26.2</v>
      </c>
      <c r="E1188">
        <v>7.2741E-2</v>
      </c>
      <c r="F1188">
        <v>13.747</v>
      </c>
      <c r="G1188">
        <v>677.8</v>
      </c>
      <c r="H1188">
        <v>1.4797</v>
      </c>
    </row>
    <row r="1189" spans="2:8" x14ac:dyDescent="0.25">
      <c r="B1189">
        <v>1.4843</v>
      </c>
      <c r="C1189">
        <v>125</v>
      </c>
      <c r="D1189">
        <v>26.2</v>
      </c>
      <c r="E1189">
        <v>7.2085999999999997E-2</v>
      </c>
      <c r="F1189">
        <v>13.872</v>
      </c>
      <c r="G1189">
        <v>680.45</v>
      </c>
      <c r="H1189">
        <v>1.4843</v>
      </c>
    </row>
    <row r="1190" spans="2:8" x14ac:dyDescent="0.25">
      <c r="B1190">
        <v>1.4887999999999999</v>
      </c>
      <c r="C1190">
        <v>130</v>
      </c>
      <c r="D1190">
        <v>26.2</v>
      </c>
      <c r="E1190">
        <v>7.1443000000000006E-2</v>
      </c>
      <c r="F1190">
        <v>13.997</v>
      </c>
      <c r="G1190">
        <v>683.1</v>
      </c>
      <c r="H1190">
        <v>1.4887999999999999</v>
      </c>
    </row>
    <row r="1191" spans="2:8" x14ac:dyDescent="0.25">
      <c r="B1191">
        <v>1.4933000000000001</v>
      </c>
      <c r="C1191">
        <v>135</v>
      </c>
      <c r="D1191">
        <v>26.2</v>
      </c>
      <c r="E1191">
        <v>7.0812E-2</v>
      </c>
      <c r="F1191">
        <v>14.122</v>
      </c>
      <c r="G1191">
        <v>685.75</v>
      </c>
      <c r="H1191">
        <v>1.4933000000000001</v>
      </c>
    </row>
    <row r="1192" spans="2:8" x14ac:dyDescent="0.25">
      <c r="B1192">
        <v>1.4977</v>
      </c>
      <c r="C1192">
        <v>140</v>
      </c>
      <c r="D1192">
        <v>26.2</v>
      </c>
      <c r="E1192">
        <v>7.0193000000000005E-2</v>
      </c>
      <c r="F1192">
        <v>14.246</v>
      </c>
      <c r="G1192">
        <v>688.4</v>
      </c>
      <c r="H1192">
        <v>1.4977</v>
      </c>
    </row>
    <row r="1193" spans="2:8" x14ac:dyDescent="0.25">
      <c r="B1193">
        <v>1.5021</v>
      </c>
      <c r="C1193">
        <v>145</v>
      </c>
      <c r="D1193">
        <v>26.2</v>
      </c>
      <c r="E1193">
        <v>6.9585999999999995E-2</v>
      </c>
      <c r="F1193">
        <v>14.371</v>
      </c>
      <c r="G1193">
        <v>691.05</v>
      </c>
      <c r="H1193">
        <v>1.5021</v>
      </c>
    </row>
    <row r="1194" spans="2:8" x14ac:dyDescent="0.25">
      <c r="B1194">
        <v>1.5065</v>
      </c>
      <c r="C1194">
        <v>150</v>
      </c>
      <c r="D1194">
        <v>26.2</v>
      </c>
      <c r="E1194">
        <v>6.8989999999999996E-2</v>
      </c>
      <c r="F1194">
        <v>14.494999999999999</v>
      </c>
      <c r="G1194">
        <v>693.7</v>
      </c>
      <c r="H1194">
        <v>1.5065</v>
      </c>
    </row>
    <row r="1195" spans="2:8" x14ac:dyDescent="0.25">
      <c r="B1195">
        <v>1.5107999999999999</v>
      </c>
      <c r="C1195">
        <v>155</v>
      </c>
      <c r="D1195">
        <v>26.2</v>
      </c>
      <c r="E1195">
        <v>6.8404000000000006E-2</v>
      </c>
      <c r="F1195">
        <v>14.619</v>
      </c>
      <c r="G1195">
        <v>696.36</v>
      </c>
      <c r="H1195">
        <v>1.5107999999999999</v>
      </c>
    </row>
    <row r="1196" spans="2:8" x14ac:dyDescent="0.25">
      <c r="B1196">
        <v>1.5150999999999999</v>
      </c>
      <c r="C1196">
        <v>160</v>
      </c>
      <c r="D1196">
        <v>26.2</v>
      </c>
      <c r="E1196">
        <v>6.7829E-2</v>
      </c>
      <c r="F1196">
        <v>14.743</v>
      </c>
      <c r="G1196">
        <v>699.01</v>
      </c>
      <c r="H1196">
        <v>1.5150999999999999</v>
      </c>
    </row>
    <row r="1197" spans="2:8" x14ac:dyDescent="0.25">
      <c r="B1197">
        <v>1.5194000000000001</v>
      </c>
      <c r="C1197">
        <v>165</v>
      </c>
      <c r="D1197">
        <v>26.2</v>
      </c>
      <c r="E1197">
        <v>6.7264000000000004E-2</v>
      </c>
      <c r="F1197">
        <v>14.867000000000001</v>
      </c>
      <c r="G1197">
        <v>701.67</v>
      </c>
      <c r="H1197">
        <v>1.5194000000000001</v>
      </c>
    </row>
    <row r="1198" spans="2:8" x14ac:dyDescent="0.25">
      <c r="B1198">
        <v>1.5236000000000001</v>
      </c>
      <c r="C1198">
        <v>170</v>
      </c>
      <c r="D1198">
        <v>26.2</v>
      </c>
      <c r="E1198">
        <v>6.6709000000000004E-2</v>
      </c>
      <c r="F1198">
        <v>14.99</v>
      </c>
      <c r="G1198">
        <v>704.34</v>
      </c>
      <c r="H1198">
        <v>1.5236000000000001</v>
      </c>
    </row>
    <row r="1199" spans="2:8" x14ac:dyDescent="0.25">
      <c r="B1199">
        <v>1.5279</v>
      </c>
      <c r="C1199">
        <v>175</v>
      </c>
      <c r="D1199">
        <v>26.2</v>
      </c>
      <c r="E1199">
        <v>6.6164000000000001E-2</v>
      </c>
      <c r="F1199">
        <v>15.114000000000001</v>
      </c>
      <c r="G1199">
        <v>707</v>
      </c>
      <c r="H1199">
        <v>1.5279</v>
      </c>
    </row>
    <row r="1200" spans="2:8" x14ac:dyDescent="0.25">
      <c r="B1200">
        <v>1.532</v>
      </c>
      <c r="C1200">
        <v>180</v>
      </c>
      <c r="D1200">
        <v>26.2</v>
      </c>
      <c r="E1200">
        <v>6.5628000000000006E-2</v>
      </c>
      <c r="F1200">
        <v>15.237</v>
      </c>
      <c r="G1200">
        <v>709.67</v>
      </c>
      <c r="H1200">
        <v>1.532</v>
      </c>
    </row>
    <row r="1201" spans="2:8" x14ac:dyDescent="0.25">
      <c r="B1201">
        <v>1.5362</v>
      </c>
      <c r="C1201">
        <v>185</v>
      </c>
      <c r="D1201">
        <v>26.2</v>
      </c>
      <c r="E1201">
        <v>6.5101000000000006E-2</v>
      </c>
      <c r="F1201">
        <v>15.361000000000001</v>
      </c>
      <c r="G1201">
        <v>712.35</v>
      </c>
      <c r="H1201">
        <v>1.5362</v>
      </c>
    </row>
    <row r="1202" spans="2:8" x14ac:dyDescent="0.25">
      <c r="B1202">
        <v>1.5403</v>
      </c>
      <c r="C1202">
        <v>190</v>
      </c>
      <c r="D1202">
        <v>26.2</v>
      </c>
      <c r="E1202">
        <v>6.4582000000000001E-2</v>
      </c>
      <c r="F1202">
        <v>15.484</v>
      </c>
      <c r="G1202">
        <v>715.03</v>
      </c>
      <c r="H1202">
        <v>1.5403</v>
      </c>
    </row>
    <row r="1203" spans="2:8" x14ac:dyDescent="0.25">
      <c r="B1203">
        <v>1.5445</v>
      </c>
      <c r="C1203">
        <v>195</v>
      </c>
      <c r="D1203">
        <v>26.2</v>
      </c>
      <c r="E1203">
        <v>6.4073000000000005E-2</v>
      </c>
      <c r="F1203">
        <v>15.606999999999999</v>
      </c>
      <c r="G1203">
        <v>717.71</v>
      </c>
      <c r="H1203">
        <v>1.5445</v>
      </c>
    </row>
    <row r="1204" spans="2:8" x14ac:dyDescent="0.25">
      <c r="B1204">
        <v>1.5485</v>
      </c>
      <c r="C1204">
        <v>200</v>
      </c>
      <c r="D1204">
        <v>26.2</v>
      </c>
      <c r="E1204">
        <v>6.3571000000000003E-2</v>
      </c>
      <c r="F1204">
        <v>15.73</v>
      </c>
      <c r="G1204">
        <v>720.39</v>
      </c>
      <c r="H1204">
        <v>1.5485</v>
      </c>
    </row>
    <row r="1205" spans="2:8" x14ac:dyDescent="0.25">
      <c r="B1205">
        <v>1.5526</v>
      </c>
      <c r="C1205">
        <v>205</v>
      </c>
      <c r="D1205">
        <v>26.2</v>
      </c>
      <c r="E1205">
        <v>6.3077999999999995E-2</v>
      </c>
      <c r="F1205">
        <v>15.853</v>
      </c>
      <c r="G1205">
        <v>723.08</v>
      </c>
      <c r="H1205">
        <v>1.5526</v>
      </c>
    </row>
    <row r="1206" spans="2:8" x14ac:dyDescent="0.25">
      <c r="B1206">
        <v>1.5566</v>
      </c>
      <c r="C1206">
        <v>210</v>
      </c>
      <c r="D1206">
        <v>26.2</v>
      </c>
      <c r="E1206">
        <v>6.2592999999999996E-2</v>
      </c>
      <c r="F1206">
        <v>15.976000000000001</v>
      </c>
      <c r="G1206">
        <v>725.77</v>
      </c>
      <c r="H1206">
        <v>1.5566</v>
      </c>
    </row>
    <row r="1207" spans="2:8" x14ac:dyDescent="0.25">
      <c r="B1207">
        <v>1.5607</v>
      </c>
      <c r="C1207">
        <v>215</v>
      </c>
      <c r="D1207">
        <v>26.2</v>
      </c>
      <c r="E1207">
        <v>6.2114999999999997E-2</v>
      </c>
      <c r="F1207">
        <v>16.099</v>
      </c>
      <c r="G1207">
        <v>728.47</v>
      </c>
      <c r="H1207">
        <v>1.5607</v>
      </c>
    </row>
    <row r="1208" spans="2:8" x14ac:dyDescent="0.25">
      <c r="B1208">
        <v>1.5646</v>
      </c>
      <c r="C1208">
        <v>220</v>
      </c>
      <c r="D1208">
        <v>26.2</v>
      </c>
      <c r="E1208">
        <v>6.1644999999999998E-2</v>
      </c>
      <c r="F1208">
        <v>16.222000000000001</v>
      </c>
      <c r="G1208">
        <v>731.17</v>
      </c>
      <c r="H1208">
        <v>1.5646</v>
      </c>
    </row>
    <row r="1209" spans="2:8" x14ac:dyDescent="0.25">
      <c r="B1209">
        <v>1.5686</v>
      </c>
      <c r="C1209">
        <v>225</v>
      </c>
      <c r="D1209">
        <v>26.2</v>
      </c>
      <c r="E1209">
        <v>6.1182E-2</v>
      </c>
      <c r="F1209">
        <v>16.344999999999999</v>
      </c>
      <c r="G1209">
        <v>733.88</v>
      </c>
      <c r="H1209">
        <v>1.5686</v>
      </c>
    </row>
    <row r="1210" spans="2:8" x14ac:dyDescent="0.25">
      <c r="B1210">
        <v>1.5726</v>
      </c>
      <c r="C1210">
        <v>230</v>
      </c>
      <c r="D1210">
        <v>26.2</v>
      </c>
      <c r="E1210">
        <v>6.0727000000000003E-2</v>
      </c>
      <c r="F1210">
        <v>16.466999999999999</v>
      </c>
      <c r="G1210">
        <v>736.59</v>
      </c>
      <c r="H1210">
        <v>1.5726</v>
      </c>
    </row>
    <row r="1211" spans="2:8" x14ac:dyDescent="0.25">
      <c r="B1211">
        <v>1.5765</v>
      </c>
      <c r="C1211">
        <v>235</v>
      </c>
      <c r="D1211">
        <v>26.2</v>
      </c>
      <c r="E1211">
        <v>6.0277999999999998E-2</v>
      </c>
      <c r="F1211">
        <v>16.59</v>
      </c>
      <c r="G1211">
        <v>739.31</v>
      </c>
      <c r="H1211">
        <v>1.5765</v>
      </c>
    </row>
    <row r="1212" spans="2:8" x14ac:dyDescent="0.25">
      <c r="B1212">
        <v>1.5804</v>
      </c>
      <c r="C1212">
        <v>240</v>
      </c>
      <c r="D1212">
        <v>26.2</v>
      </c>
      <c r="E1212">
        <v>5.9836E-2</v>
      </c>
      <c r="F1212">
        <v>16.712</v>
      </c>
      <c r="G1212">
        <v>742.03</v>
      </c>
      <c r="H1212">
        <v>1.5804</v>
      </c>
    </row>
    <row r="1213" spans="2:8" x14ac:dyDescent="0.25">
      <c r="B1213">
        <v>1.5843</v>
      </c>
      <c r="C1213">
        <v>245</v>
      </c>
      <c r="D1213">
        <v>26.2</v>
      </c>
      <c r="E1213">
        <v>5.9401000000000002E-2</v>
      </c>
      <c r="F1213">
        <v>16.835000000000001</v>
      </c>
      <c r="G1213">
        <v>744.75</v>
      </c>
      <c r="H1213">
        <v>1.5843</v>
      </c>
    </row>
    <row r="1214" spans="2:8" x14ac:dyDescent="0.25">
      <c r="B1214">
        <v>1.5881000000000001</v>
      </c>
      <c r="C1214">
        <v>250</v>
      </c>
      <c r="D1214">
        <v>26.2</v>
      </c>
      <c r="E1214">
        <v>5.8971999999999997E-2</v>
      </c>
      <c r="F1214">
        <v>16.957000000000001</v>
      </c>
      <c r="G1214">
        <v>747.49</v>
      </c>
      <c r="H1214">
        <v>1.5881000000000001</v>
      </c>
    </row>
    <row r="1215" spans="2:8" x14ac:dyDescent="0.25">
      <c r="B1215">
        <v>1.5920000000000001</v>
      </c>
      <c r="C1215">
        <v>255</v>
      </c>
      <c r="D1215">
        <v>26.2</v>
      </c>
      <c r="E1215">
        <v>5.8549999999999998E-2</v>
      </c>
      <c r="F1215">
        <v>17.079000000000001</v>
      </c>
      <c r="G1215">
        <v>750.22</v>
      </c>
      <c r="H1215">
        <v>1.5920000000000001</v>
      </c>
    </row>
    <row r="1216" spans="2:8" x14ac:dyDescent="0.25">
      <c r="B1216">
        <v>1.5958000000000001</v>
      </c>
      <c r="C1216">
        <v>260</v>
      </c>
      <c r="D1216">
        <v>26.2</v>
      </c>
      <c r="E1216">
        <v>5.8133999999999998E-2</v>
      </c>
      <c r="F1216">
        <v>17.202000000000002</v>
      </c>
      <c r="G1216">
        <v>752.96</v>
      </c>
      <c r="H1216">
        <v>1.5958000000000001</v>
      </c>
    </row>
    <row r="1217" spans="1:8" x14ac:dyDescent="0.25">
      <c r="B1217">
        <v>1.5995999999999999</v>
      </c>
      <c r="C1217">
        <v>265</v>
      </c>
      <c r="D1217">
        <v>26.2</v>
      </c>
      <c r="E1217">
        <v>5.7723999999999998E-2</v>
      </c>
      <c r="F1217">
        <v>17.324000000000002</v>
      </c>
      <c r="G1217">
        <v>755.71</v>
      </c>
      <c r="H1217">
        <v>1.5995999999999999</v>
      </c>
    </row>
    <row r="1218" spans="1:8" x14ac:dyDescent="0.25">
      <c r="B1218">
        <v>1.6033999999999999</v>
      </c>
      <c r="C1218">
        <v>270</v>
      </c>
      <c r="D1218">
        <v>26.2</v>
      </c>
      <c r="E1218">
        <v>5.7319000000000002E-2</v>
      </c>
      <c r="F1218">
        <v>17.446000000000002</v>
      </c>
      <c r="G1218">
        <v>758.46</v>
      </c>
      <c r="H1218">
        <v>1.6033999999999999</v>
      </c>
    </row>
    <row r="1219" spans="1:8" x14ac:dyDescent="0.25">
      <c r="B1219">
        <v>1.6071</v>
      </c>
      <c r="C1219">
        <v>275</v>
      </c>
      <c r="D1219">
        <v>26.2</v>
      </c>
      <c r="E1219">
        <v>5.6920999999999999E-2</v>
      </c>
      <c r="F1219">
        <v>17.568000000000001</v>
      </c>
      <c r="G1219">
        <v>761.22</v>
      </c>
      <c r="H1219">
        <v>1.6071</v>
      </c>
    </row>
    <row r="1220" spans="1:8" x14ac:dyDescent="0.25">
      <c r="B1220">
        <v>1.6109</v>
      </c>
      <c r="C1220">
        <v>280</v>
      </c>
      <c r="D1220">
        <v>26.2</v>
      </c>
      <c r="E1220">
        <v>5.6528000000000002E-2</v>
      </c>
      <c r="F1220">
        <v>17.690000000000001</v>
      </c>
      <c r="G1220">
        <v>763.98</v>
      </c>
      <c r="H1220">
        <v>1.6109</v>
      </c>
    </row>
    <row r="1221" spans="1:8" x14ac:dyDescent="0.25">
      <c r="B1221">
        <v>1.6146</v>
      </c>
      <c r="C1221">
        <v>285</v>
      </c>
      <c r="D1221">
        <v>26.2</v>
      </c>
      <c r="E1221">
        <v>5.6141000000000003E-2</v>
      </c>
      <c r="F1221">
        <v>17.812000000000001</v>
      </c>
      <c r="G1221">
        <v>766.75</v>
      </c>
      <c r="H1221">
        <v>1.6146</v>
      </c>
    </row>
    <row r="1222" spans="1:8" x14ac:dyDescent="0.25">
      <c r="B1222">
        <v>1.6183000000000001</v>
      </c>
      <c r="C1222">
        <v>290</v>
      </c>
      <c r="D1222">
        <v>26.2</v>
      </c>
      <c r="E1222">
        <v>5.5759000000000003E-2</v>
      </c>
      <c r="F1222">
        <v>17.934000000000001</v>
      </c>
      <c r="G1222">
        <v>769.53</v>
      </c>
      <c r="H1222">
        <v>1.6183000000000001</v>
      </c>
    </row>
    <row r="1223" spans="1:8" x14ac:dyDescent="0.25">
      <c r="B1223">
        <v>1.6220000000000001</v>
      </c>
      <c r="C1223">
        <v>295</v>
      </c>
      <c r="D1223">
        <v>26.2</v>
      </c>
      <c r="E1223">
        <v>5.5383000000000002E-2</v>
      </c>
      <c r="F1223">
        <v>18.056000000000001</v>
      </c>
      <c r="G1223">
        <v>772.31</v>
      </c>
      <c r="H1223">
        <v>1.6220000000000001</v>
      </c>
    </row>
    <row r="1224" spans="1:8" x14ac:dyDescent="0.25">
      <c r="B1224">
        <v>1.6256999999999999</v>
      </c>
      <c r="C1224">
        <v>300</v>
      </c>
      <c r="D1224">
        <v>26.2</v>
      </c>
      <c r="E1224">
        <v>5.5010999999999997E-2</v>
      </c>
      <c r="F1224">
        <v>18.178000000000001</v>
      </c>
      <c r="G1224">
        <v>775.1</v>
      </c>
      <c r="H1224">
        <v>1.6256999999999999</v>
      </c>
    </row>
    <row r="1226" spans="1:8" x14ac:dyDescent="0.25">
      <c r="A1226">
        <v>27.5</v>
      </c>
      <c r="B1226">
        <v>-2.5425E-2</v>
      </c>
      <c r="C1226">
        <v>-50</v>
      </c>
      <c r="D1226">
        <v>27.5</v>
      </c>
      <c r="E1226">
        <v>43.505000000000003</v>
      </c>
      <c r="F1226">
        <v>2.2985999999999999E-2</v>
      </c>
      <c r="G1226">
        <v>-10.468999999999999</v>
      </c>
      <c r="H1226">
        <v>-2.5425E-2</v>
      </c>
    </row>
    <row r="1227" spans="1:8" x14ac:dyDescent="0.25">
      <c r="B1227">
        <v>-1.2692999999999999E-2</v>
      </c>
      <c r="C1227">
        <v>-45</v>
      </c>
      <c r="D1227">
        <v>27.5</v>
      </c>
      <c r="E1227">
        <v>43.298000000000002</v>
      </c>
      <c r="F1227">
        <v>2.3095999999999998E-2</v>
      </c>
      <c r="G1227">
        <v>-5.2218</v>
      </c>
      <c r="H1227">
        <v>-1.2692999999999999E-2</v>
      </c>
    </row>
    <row r="1228" spans="1:8" x14ac:dyDescent="0.25">
      <c r="B1228">
        <v>-7.1854999999999996E-5</v>
      </c>
      <c r="C1228">
        <v>-40</v>
      </c>
      <c r="D1228">
        <v>27.5</v>
      </c>
      <c r="E1228">
        <v>43.088000000000001</v>
      </c>
      <c r="F1228">
        <v>2.3207999999999999E-2</v>
      </c>
      <c r="G1228">
        <v>4.3344000000000001E-2</v>
      </c>
      <c r="H1228">
        <v>-7.1854999999999996E-5</v>
      </c>
    </row>
    <row r="1229" spans="1:8" x14ac:dyDescent="0.25">
      <c r="B1229">
        <v>1.2441000000000001E-2</v>
      </c>
      <c r="C1229">
        <v>-35</v>
      </c>
      <c r="D1229">
        <v>27.5</v>
      </c>
      <c r="E1229">
        <v>42.877000000000002</v>
      </c>
      <c r="F1229">
        <v>2.3323E-2</v>
      </c>
      <c r="G1229">
        <v>5.3258999999999999</v>
      </c>
      <c r="H1229">
        <v>1.2441000000000001E-2</v>
      </c>
    </row>
    <row r="1230" spans="1:8" x14ac:dyDescent="0.25">
      <c r="B1230">
        <v>2.4847999999999999E-2</v>
      </c>
      <c r="C1230">
        <v>-30</v>
      </c>
      <c r="D1230">
        <v>27.5</v>
      </c>
      <c r="E1230">
        <v>42.662999999999997</v>
      </c>
      <c r="F1230">
        <v>2.3439000000000002E-2</v>
      </c>
      <c r="G1230">
        <v>10.625999999999999</v>
      </c>
      <c r="H1230">
        <v>2.4847999999999999E-2</v>
      </c>
    </row>
    <row r="1231" spans="1:8" x14ac:dyDescent="0.25">
      <c r="B1231">
        <v>3.7150000000000002E-2</v>
      </c>
      <c r="C1231">
        <v>-25</v>
      </c>
      <c r="D1231">
        <v>27.5</v>
      </c>
      <c r="E1231">
        <v>42.448</v>
      </c>
      <c r="F1231">
        <v>2.3557999999999999E-2</v>
      </c>
      <c r="G1231">
        <v>15.942</v>
      </c>
      <c r="H1231">
        <v>3.7150000000000002E-2</v>
      </c>
    </row>
    <row r="1232" spans="1:8" x14ac:dyDescent="0.25">
      <c r="B1232">
        <v>4.9348999999999997E-2</v>
      </c>
      <c r="C1232">
        <v>-20</v>
      </c>
      <c r="D1232">
        <v>27.5</v>
      </c>
      <c r="E1232">
        <v>42.231000000000002</v>
      </c>
      <c r="F1232">
        <v>2.3678999999999999E-2</v>
      </c>
      <c r="G1232">
        <v>21.274999999999999</v>
      </c>
      <c r="H1232">
        <v>4.9348999999999997E-2</v>
      </c>
    </row>
    <row r="1233" spans="2:8" x14ac:dyDescent="0.25">
      <c r="B1233">
        <v>6.1448000000000003E-2</v>
      </c>
      <c r="C1233">
        <v>-15</v>
      </c>
      <c r="D1233">
        <v>27.5</v>
      </c>
      <c r="E1233">
        <v>42.012</v>
      </c>
      <c r="F1233">
        <v>2.3803000000000001E-2</v>
      </c>
      <c r="G1233">
        <v>26.625</v>
      </c>
      <c r="H1233">
        <v>6.1448000000000003E-2</v>
      </c>
    </row>
    <row r="1234" spans="2:8" x14ac:dyDescent="0.25">
      <c r="B1234">
        <v>7.3447999999999999E-2</v>
      </c>
      <c r="C1234">
        <v>-10</v>
      </c>
      <c r="D1234">
        <v>27.5</v>
      </c>
      <c r="E1234">
        <v>41.790999999999997</v>
      </c>
      <c r="F1234">
        <v>2.3928999999999999E-2</v>
      </c>
      <c r="G1234">
        <v>31.991</v>
      </c>
      <c r="H1234">
        <v>7.3447999999999999E-2</v>
      </c>
    </row>
    <row r="1235" spans="2:8" x14ac:dyDescent="0.25">
      <c r="B1235">
        <v>8.5351999999999997E-2</v>
      </c>
      <c r="C1235">
        <v>-5</v>
      </c>
      <c r="D1235">
        <v>27.5</v>
      </c>
      <c r="E1235">
        <v>41.567999999999998</v>
      </c>
      <c r="F1235">
        <v>2.4056999999999999E-2</v>
      </c>
      <c r="G1235">
        <v>37.374000000000002</v>
      </c>
      <c r="H1235">
        <v>8.5351999999999997E-2</v>
      </c>
    </row>
    <row r="1236" spans="2:8" x14ac:dyDescent="0.25">
      <c r="B1236">
        <v>1.3480000000000001</v>
      </c>
      <c r="C1236">
        <v>0</v>
      </c>
      <c r="D1236">
        <v>27.5</v>
      </c>
      <c r="E1236">
        <v>9.8791000000000004E-2</v>
      </c>
      <c r="F1236">
        <v>10.122</v>
      </c>
      <c r="G1236">
        <v>612.59</v>
      </c>
      <c r="H1236">
        <v>1.3480000000000001</v>
      </c>
    </row>
    <row r="1237" spans="2:8" x14ac:dyDescent="0.25">
      <c r="B1237">
        <v>1.3541000000000001</v>
      </c>
      <c r="C1237">
        <v>5</v>
      </c>
      <c r="D1237">
        <v>27.5</v>
      </c>
      <c r="E1237">
        <v>9.7534999999999997E-2</v>
      </c>
      <c r="F1237">
        <v>10.253</v>
      </c>
      <c r="G1237">
        <v>615.45000000000005</v>
      </c>
      <c r="H1237">
        <v>1.3541000000000001</v>
      </c>
    </row>
    <row r="1238" spans="2:8" x14ac:dyDescent="0.25">
      <c r="B1238">
        <v>1.3602000000000001</v>
      </c>
      <c r="C1238">
        <v>10</v>
      </c>
      <c r="D1238">
        <v>27.5</v>
      </c>
      <c r="E1238">
        <v>9.6319000000000002E-2</v>
      </c>
      <c r="F1238">
        <v>10.382</v>
      </c>
      <c r="G1238">
        <v>618.28</v>
      </c>
      <c r="H1238">
        <v>1.3602000000000001</v>
      </c>
    </row>
    <row r="1239" spans="2:8" x14ac:dyDescent="0.25">
      <c r="B1239">
        <v>1.3662000000000001</v>
      </c>
      <c r="C1239">
        <v>15</v>
      </c>
      <c r="D1239">
        <v>27.5</v>
      </c>
      <c r="E1239">
        <v>9.5141000000000003E-2</v>
      </c>
      <c r="F1239">
        <v>10.510999999999999</v>
      </c>
      <c r="G1239">
        <v>621.09</v>
      </c>
      <c r="H1239">
        <v>1.3662000000000001</v>
      </c>
    </row>
    <row r="1240" spans="2:8" x14ac:dyDescent="0.25">
      <c r="B1240">
        <v>1.3720000000000001</v>
      </c>
      <c r="C1240">
        <v>20</v>
      </c>
      <c r="D1240">
        <v>27.5</v>
      </c>
      <c r="E1240">
        <v>9.3998999999999999E-2</v>
      </c>
      <c r="F1240">
        <v>10.638</v>
      </c>
      <c r="G1240">
        <v>623.88</v>
      </c>
      <c r="H1240">
        <v>1.3720000000000001</v>
      </c>
    </row>
    <row r="1241" spans="2:8" x14ac:dyDescent="0.25">
      <c r="B1241">
        <v>1.3777999999999999</v>
      </c>
      <c r="C1241">
        <v>25</v>
      </c>
      <c r="D1241">
        <v>27.5</v>
      </c>
      <c r="E1241">
        <v>9.2891000000000001E-2</v>
      </c>
      <c r="F1241">
        <v>10.765000000000001</v>
      </c>
      <c r="G1241">
        <v>626.65</v>
      </c>
      <c r="H1241">
        <v>1.3777999999999999</v>
      </c>
    </row>
    <row r="1242" spans="2:8" x14ac:dyDescent="0.25">
      <c r="B1242">
        <v>1.3834</v>
      </c>
      <c r="C1242">
        <v>30</v>
      </c>
      <c r="D1242">
        <v>27.5</v>
      </c>
      <c r="E1242">
        <v>9.1814000000000007E-2</v>
      </c>
      <c r="F1242">
        <v>10.891999999999999</v>
      </c>
      <c r="G1242">
        <v>629.41</v>
      </c>
      <c r="H1242">
        <v>1.3834</v>
      </c>
    </row>
    <row r="1243" spans="2:8" x14ac:dyDescent="0.25">
      <c r="B1243">
        <v>1.389</v>
      </c>
      <c r="C1243">
        <v>35</v>
      </c>
      <c r="D1243">
        <v>27.5</v>
      </c>
      <c r="E1243">
        <v>9.0767E-2</v>
      </c>
      <c r="F1243">
        <v>11.016999999999999</v>
      </c>
      <c r="G1243">
        <v>632.15</v>
      </c>
      <c r="H1243">
        <v>1.389</v>
      </c>
    </row>
    <row r="1244" spans="2:8" x14ac:dyDescent="0.25">
      <c r="B1244">
        <v>1.3945000000000001</v>
      </c>
      <c r="C1244">
        <v>40</v>
      </c>
      <c r="D1244">
        <v>27.5</v>
      </c>
      <c r="E1244">
        <v>8.9748999999999995E-2</v>
      </c>
      <c r="F1244">
        <v>11.141999999999999</v>
      </c>
      <c r="G1244">
        <v>634.88</v>
      </c>
      <c r="H1244">
        <v>1.3945000000000001</v>
      </c>
    </row>
    <row r="1245" spans="2:8" x14ac:dyDescent="0.25">
      <c r="B1245">
        <v>1.3998999999999999</v>
      </c>
      <c r="C1245">
        <v>45</v>
      </c>
      <c r="D1245">
        <v>27.5</v>
      </c>
      <c r="E1245">
        <v>8.8758000000000004E-2</v>
      </c>
      <c r="F1245">
        <v>11.266999999999999</v>
      </c>
      <c r="G1245">
        <v>637.59</v>
      </c>
      <c r="H1245">
        <v>1.3998999999999999</v>
      </c>
    </row>
    <row r="1246" spans="2:8" x14ac:dyDescent="0.25">
      <c r="B1246">
        <v>1.4052</v>
      </c>
      <c r="C1246">
        <v>50</v>
      </c>
      <c r="D1246">
        <v>27.5</v>
      </c>
      <c r="E1246">
        <v>8.7791999999999995E-2</v>
      </c>
      <c r="F1246">
        <v>11.391</v>
      </c>
      <c r="G1246">
        <v>640.29999999999995</v>
      </c>
      <c r="H1246">
        <v>1.4052</v>
      </c>
    </row>
    <row r="1247" spans="2:8" x14ac:dyDescent="0.25">
      <c r="B1247">
        <v>1.4105000000000001</v>
      </c>
      <c r="C1247">
        <v>55</v>
      </c>
      <c r="D1247">
        <v>27.5</v>
      </c>
      <c r="E1247">
        <v>8.6849999999999997E-2</v>
      </c>
      <c r="F1247">
        <v>11.513999999999999</v>
      </c>
      <c r="G1247">
        <v>643</v>
      </c>
      <c r="H1247">
        <v>1.4105000000000001</v>
      </c>
    </row>
    <row r="1248" spans="2:8" x14ac:dyDescent="0.25">
      <c r="B1248">
        <v>1.4157</v>
      </c>
      <c r="C1248">
        <v>60</v>
      </c>
      <c r="D1248">
        <v>27.5</v>
      </c>
      <c r="E1248">
        <v>8.5931999999999994E-2</v>
      </c>
      <c r="F1248">
        <v>11.637</v>
      </c>
      <c r="G1248">
        <v>645.69000000000005</v>
      </c>
      <c r="H1248">
        <v>1.4157</v>
      </c>
    </row>
    <row r="1249" spans="2:8" x14ac:dyDescent="0.25">
      <c r="B1249">
        <v>1.4208000000000001</v>
      </c>
      <c r="C1249">
        <v>65</v>
      </c>
      <c r="D1249">
        <v>27.5</v>
      </c>
      <c r="E1249">
        <v>8.5036E-2</v>
      </c>
      <c r="F1249">
        <v>11.76</v>
      </c>
      <c r="G1249">
        <v>648.37</v>
      </c>
      <c r="H1249">
        <v>1.4208000000000001</v>
      </c>
    </row>
    <row r="1250" spans="2:8" x14ac:dyDescent="0.25">
      <c r="B1250">
        <v>1.4258999999999999</v>
      </c>
      <c r="C1250">
        <v>70</v>
      </c>
      <c r="D1250">
        <v>27.5</v>
      </c>
      <c r="E1250">
        <v>8.4161E-2</v>
      </c>
      <c r="F1250">
        <v>11.882</v>
      </c>
      <c r="G1250">
        <v>651.04</v>
      </c>
      <c r="H1250">
        <v>1.4258999999999999</v>
      </c>
    </row>
    <row r="1251" spans="2:8" x14ac:dyDescent="0.25">
      <c r="B1251">
        <v>1.4309000000000001</v>
      </c>
      <c r="C1251">
        <v>75</v>
      </c>
      <c r="D1251">
        <v>27.5</v>
      </c>
      <c r="E1251">
        <v>8.3307000000000006E-2</v>
      </c>
      <c r="F1251">
        <v>12.004</v>
      </c>
      <c r="G1251">
        <v>653.72</v>
      </c>
      <c r="H1251">
        <v>1.4309000000000001</v>
      </c>
    </row>
    <row r="1252" spans="2:8" x14ac:dyDescent="0.25">
      <c r="B1252">
        <v>1.4359</v>
      </c>
      <c r="C1252">
        <v>80</v>
      </c>
      <c r="D1252">
        <v>27.5</v>
      </c>
      <c r="E1252">
        <v>8.2471000000000003E-2</v>
      </c>
      <c r="F1252">
        <v>12.125</v>
      </c>
      <c r="G1252">
        <v>656.38</v>
      </c>
      <c r="H1252">
        <v>1.4359</v>
      </c>
    </row>
    <row r="1253" spans="2:8" x14ac:dyDescent="0.25">
      <c r="B1253">
        <v>1.4408000000000001</v>
      </c>
      <c r="C1253">
        <v>85</v>
      </c>
      <c r="D1253">
        <v>27.5</v>
      </c>
      <c r="E1253">
        <v>8.1655000000000005E-2</v>
      </c>
      <c r="F1253">
        <v>12.247</v>
      </c>
      <c r="G1253">
        <v>659.04</v>
      </c>
      <c r="H1253">
        <v>1.4408000000000001</v>
      </c>
    </row>
    <row r="1254" spans="2:8" x14ac:dyDescent="0.25">
      <c r="B1254">
        <v>1.4456</v>
      </c>
      <c r="C1254">
        <v>90</v>
      </c>
      <c r="D1254">
        <v>27.5</v>
      </c>
      <c r="E1254">
        <v>8.0855999999999997E-2</v>
      </c>
      <c r="F1254">
        <v>12.368</v>
      </c>
      <c r="G1254">
        <v>661.7</v>
      </c>
      <c r="H1254">
        <v>1.4456</v>
      </c>
    </row>
    <row r="1255" spans="2:8" x14ac:dyDescent="0.25">
      <c r="B1255">
        <v>1.4504999999999999</v>
      </c>
      <c r="C1255">
        <v>95</v>
      </c>
      <c r="D1255">
        <v>27.5</v>
      </c>
      <c r="E1255">
        <v>8.0074999999999993E-2</v>
      </c>
      <c r="F1255">
        <v>12.488</v>
      </c>
      <c r="G1255">
        <v>664.36</v>
      </c>
      <c r="H1255">
        <v>1.4504999999999999</v>
      </c>
    </row>
    <row r="1256" spans="2:8" x14ac:dyDescent="0.25">
      <c r="B1256">
        <v>1.4552</v>
      </c>
      <c r="C1256">
        <v>100</v>
      </c>
      <c r="D1256">
        <v>27.5</v>
      </c>
      <c r="E1256">
        <v>7.9310000000000005E-2</v>
      </c>
      <c r="F1256">
        <v>12.609</v>
      </c>
      <c r="G1256">
        <v>667.01</v>
      </c>
      <c r="H1256">
        <v>1.4552</v>
      </c>
    </row>
    <row r="1257" spans="2:8" x14ac:dyDescent="0.25">
      <c r="B1257">
        <v>1.4599</v>
      </c>
      <c r="C1257">
        <v>105</v>
      </c>
      <c r="D1257">
        <v>27.5</v>
      </c>
      <c r="E1257">
        <v>7.8561000000000006E-2</v>
      </c>
      <c r="F1257">
        <v>12.728999999999999</v>
      </c>
      <c r="G1257">
        <v>669.67</v>
      </c>
      <c r="H1257">
        <v>1.4599</v>
      </c>
    </row>
    <row r="1258" spans="2:8" x14ac:dyDescent="0.25">
      <c r="B1258">
        <v>1.4645999999999999</v>
      </c>
      <c r="C1258">
        <v>110</v>
      </c>
      <c r="D1258">
        <v>27.5</v>
      </c>
      <c r="E1258">
        <v>7.7827999999999994E-2</v>
      </c>
      <c r="F1258">
        <v>12.849</v>
      </c>
      <c r="G1258">
        <v>672.32</v>
      </c>
      <c r="H1258">
        <v>1.4645999999999999</v>
      </c>
    </row>
    <row r="1259" spans="2:8" x14ac:dyDescent="0.25">
      <c r="B1259">
        <v>1.4693000000000001</v>
      </c>
      <c r="C1259">
        <v>115</v>
      </c>
      <c r="D1259">
        <v>27.5</v>
      </c>
      <c r="E1259">
        <v>7.7108999999999997E-2</v>
      </c>
      <c r="F1259">
        <v>12.968999999999999</v>
      </c>
      <c r="G1259">
        <v>674.97</v>
      </c>
      <c r="H1259">
        <v>1.4693000000000001</v>
      </c>
    </row>
    <row r="1260" spans="2:8" x14ac:dyDescent="0.25">
      <c r="B1260">
        <v>1.4738</v>
      </c>
      <c r="C1260">
        <v>120</v>
      </c>
      <c r="D1260">
        <v>27.5</v>
      </c>
      <c r="E1260">
        <v>7.6405000000000001E-2</v>
      </c>
      <c r="F1260">
        <v>13.087999999999999</v>
      </c>
      <c r="G1260">
        <v>677.62</v>
      </c>
      <c r="H1260">
        <v>1.4738</v>
      </c>
    </row>
    <row r="1261" spans="2:8" x14ac:dyDescent="0.25">
      <c r="B1261">
        <v>1.4783999999999999</v>
      </c>
      <c r="C1261">
        <v>125</v>
      </c>
      <c r="D1261">
        <v>27.5</v>
      </c>
      <c r="E1261">
        <v>7.5715000000000005E-2</v>
      </c>
      <c r="F1261">
        <v>13.207000000000001</v>
      </c>
      <c r="G1261">
        <v>680.27</v>
      </c>
      <c r="H1261">
        <v>1.4783999999999999</v>
      </c>
    </row>
    <row r="1262" spans="2:8" x14ac:dyDescent="0.25">
      <c r="B1262">
        <v>1.4829000000000001</v>
      </c>
      <c r="C1262">
        <v>130</v>
      </c>
      <c r="D1262">
        <v>27.5</v>
      </c>
      <c r="E1262">
        <v>7.5037999999999994E-2</v>
      </c>
      <c r="F1262">
        <v>13.327</v>
      </c>
      <c r="G1262">
        <v>682.92</v>
      </c>
      <c r="H1262">
        <v>1.4829000000000001</v>
      </c>
    </row>
    <row r="1263" spans="2:8" x14ac:dyDescent="0.25">
      <c r="B1263">
        <v>1.4874000000000001</v>
      </c>
      <c r="C1263">
        <v>135</v>
      </c>
      <c r="D1263">
        <v>27.5</v>
      </c>
      <c r="E1263">
        <v>7.4373999999999996E-2</v>
      </c>
      <c r="F1263">
        <v>13.446</v>
      </c>
      <c r="G1263">
        <v>685.58</v>
      </c>
      <c r="H1263">
        <v>1.4874000000000001</v>
      </c>
    </row>
    <row r="1264" spans="2:8" x14ac:dyDescent="0.25">
      <c r="B1264">
        <v>1.4918</v>
      </c>
      <c r="C1264">
        <v>140</v>
      </c>
      <c r="D1264">
        <v>27.5</v>
      </c>
      <c r="E1264">
        <v>7.3721999999999996E-2</v>
      </c>
      <c r="F1264">
        <v>13.564</v>
      </c>
      <c r="G1264">
        <v>688.23</v>
      </c>
      <c r="H1264">
        <v>1.4918</v>
      </c>
    </row>
    <row r="1265" spans="2:8" x14ac:dyDescent="0.25">
      <c r="B1265">
        <v>1.4963</v>
      </c>
      <c r="C1265">
        <v>145</v>
      </c>
      <c r="D1265">
        <v>27.5</v>
      </c>
      <c r="E1265">
        <v>7.3082999999999995E-2</v>
      </c>
      <c r="F1265">
        <v>13.683</v>
      </c>
      <c r="G1265">
        <v>690.89</v>
      </c>
      <c r="H1265">
        <v>1.4963</v>
      </c>
    </row>
    <row r="1266" spans="2:8" x14ac:dyDescent="0.25">
      <c r="B1266">
        <v>1.5005999999999999</v>
      </c>
      <c r="C1266">
        <v>150</v>
      </c>
      <c r="D1266">
        <v>27.5</v>
      </c>
      <c r="E1266">
        <v>7.2455000000000006E-2</v>
      </c>
      <c r="F1266">
        <v>13.802</v>
      </c>
      <c r="G1266">
        <v>693.55</v>
      </c>
      <c r="H1266">
        <v>1.5005999999999999</v>
      </c>
    </row>
    <row r="1267" spans="2:8" x14ac:dyDescent="0.25">
      <c r="B1267">
        <v>1.5049999999999999</v>
      </c>
      <c r="C1267">
        <v>155</v>
      </c>
      <c r="D1267">
        <v>27.5</v>
      </c>
      <c r="E1267">
        <v>7.1839E-2</v>
      </c>
      <c r="F1267">
        <v>13.92</v>
      </c>
      <c r="G1267">
        <v>696.2</v>
      </c>
      <c r="H1267">
        <v>1.5049999999999999</v>
      </c>
    </row>
    <row r="1268" spans="2:8" x14ac:dyDescent="0.25">
      <c r="B1268">
        <v>1.5093000000000001</v>
      </c>
      <c r="C1268">
        <v>160</v>
      </c>
      <c r="D1268">
        <v>27.5</v>
      </c>
      <c r="E1268">
        <v>7.1234000000000006E-2</v>
      </c>
      <c r="F1268">
        <v>14.038</v>
      </c>
      <c r="G1268">
        <v>698.87</v>
      </c>
      <c r="H1268">
        <v>1.5093000000000001</v>
      </c>
    </row>
    <row r="1269" spans="2:8" x14ac:dyDescent="0.25">
      <c r="B1269">
        <v>1.5136000000000001</v>
      </c>
      <c r="C1269">
        <v>165</v>
      </c>
      <c r="D1269">
        <v>27.5</v>
      </c>
      <c r="E1269">
        <v>7.0638999999999993E-2</v>
      </c>
      <c r="F1269">
        <v>14.156000000000001</v>
      </c>
      <c r="G1269">
        <v>701.53</v>
      </c>
      <c r="H1269">
        <v>1.5136000000000001</v>
      </c>
    </row>
    <row r="1270" spans="2:8" x14ac:dyDescent="0.25">
      <c r="B1270">
        <v>1.5178</v>
      </c>
      <c r="C1270">
        <v>170</v>
      </c>
      <c r="D1270">
        <v>27.5</v>
      </c>
      <c r="E1270">
        <v>7.0055000000000006E-2</v>
      </c>
      <c r="F1270">
        <v>14.273999999999999</v>
      </c>
      <c r="G1270">
        <v>704.2</v>
      </c>
      <c r="H1270">
        <v>1.5178</v>
      </c>
    </row>
    <row r="1271" spans="2:8" x14ac:dyDescent="0.25">
      <c r="B1271">
        <v>1.522</v>
      </c>
      <c r="C1271">
        <v>175</v>
      </c>
      <c r="D1271">
        <v>27.5</v>
      </c>
      <c r="E1271">
        <v>6.9481000000000001E-2</v>
      </c>
      <c r="F1271">
        <v>14.391999999999999</v>
      </c>
      <c r="G1271">
        <v>706.87</v>
      </c>
      <c r="H1271">
        <v>1.522</v>
      </c>
    </row>
    <row r="1272" spans="2:8" x14ac:dyDescent="0.25">
      <c r="B1272">
        <v>1.5262</v>
      </c>
      <c r="C1272">
        <v>180</v>
      </c>
      <c r="D1272">
        <v>27.5</v>
      </c>
      <c r="E1272">
        <v>6.8917000000000006E-2</v>
      </c>
      <c r="F1272">
        <v>14.51</v>
      </c>
      <c r="G1272">
        <v>709.54</v>
      </c>
      <c r="H1272">
        <v>1.5262</v>
      </c>
    </row>
    <row r="1273" spans="2:8" x14ac:dyDescent="0.25">
      <c r="B1273">
        <v>1.5304</v>
      </c>
      <c r="C1273">
        <v>185</v>
      </c>
      <c r="D1273">
        <v>27.5</v>
      </c>
      <c r="E1273">
        <v>6.8362999999999993E-2</v>
      </c>
      <c r="F1273">
        <v>14.628</v>
      </c>
      <c r="G1273">
        <v>712.22</v>
      </c>
      <c r="H1273">
        <v>1.5304</v>
      </c>
    </row>
    <row r="1274" spans="2:8" x14ac:dyDescent="0.25">
      <c r="B1274">
        <v>1.5346</v>
      </c>
      <c r="C1274">
        <v>190</v>
      </c>
      <c r="D1274">
        <v>27.5</v>
      </c>
      <c r="E1274">
        <v>6.7818000000000003E-2</v>
      </c>
      <c r="F1274">
        <v>14.744999999999999</v>
      </c>
      <c r="G1274">
        <v>714.9</v>
      </c>
      <c r="H1274">
        <v>1.5346</v>
      </c>
    </row>
    <row r="1275" spans="2:8" x14ac:dyDescent="0.25">
      <c r="B1275">
        <v>1.5387</v>
      </c>
      <c r="C1275">
        <v>195</v>
      </c>
      <c r="D1275">
        <v>27.5</v>
      </c>
      <c r="E1275">
        <v>6.7281999999999995E-2</v>
      </c>
      <c r="F1275">
        <v>14.863</v>
      </c>
      <c r="G1275">
        <v>717.58</v>
      </c>
      <c r="H1275">
        <v>1.5387</v>
      </c>
    </row>
    <row r="1276" spans="2:8" x14ac:dyDescent="0.25">
      <c r="B1276">
        <v>1.5427999999999999</v>
      </c>
      <c r="C1276">
        <v>200</v>
      </c>
      <c r="D1276">
        <v>27.5</v>
      </c>
      <c r="E1276">
        <v>6.6753999999999994E-2</v>
      </c>
      <c r="F1276">
        <v>14.98</v>
      </c>
      <c r="G1276">
        <v>720.27</v>
      </c>
      <c r="H1276">
        <v>1.5427999999999999</v>
      </c>
    </row>
    <row r="1277" spans="2:8" x14ac:dyDescent="0.25">
      <c r="B1277">
        <v>1.5468</v>
      </c>
      <c r="C1277">
        <v>205</v>
      </c>
      <c r="D1277">
        <v>27.5</v>
      </c>
      <c r="E1277">
        <v>6.6235000000000002E-2</v>
      </c>
      <c r="F1277">
        <v>15.098000000000001</v>
      </c>
      <c r="G1277">
        <v>722.96</v>
      </c>
      <c r="H1277">
        <v>1.5468</v>
      </c>
    </row>
    <row r="1278" spans="2:8" x14ac:dyDescent="0.25">
      <c r="B1278">
        <v>1.5508999999999999</v>
      </c>
      <c r="C1278">
        <v>210</v>
      </c>
      <c r="D1278">
        <v>27.5</v>
      </c>
      <c r="E1278">
        <v>6.5725000000000006E-2</v>
      </c>
      <c r="F1278">
        <v>15.215</v>
      </c>
      <c r="G1278">
        <v>725.66</v>
      </c>
      <c r="H1278">
        <v>1.5508999999999999</v>
      </c>
    </row>
    <row r="1279" spans="2:8" x14ac:dyDescent="0.25">
      <c r="B1279">
        <v>1.5548999999999999</v>
      </c>
      <c r="C1279">
        <v>215</v>
      </c>
      <c r="D1279">
        <v>27.5</v>
      </c>
      <c r="E1279">
        <v>6.5223000000000003E-2</v>
      </c>
      <c r="F1279">
        <v>15.332000000000001</v>
      </c>
      <c r="G1279">
        <v>728.36</v>
      </c>
      <c r="H1279">
        <v>1.5548999999999999</v>
      </c>
    </row>
    <row r="1280" spans="2:8" x14ac:dyDescent="0.25">
      <c r="B1280">
        <v>1.5589</v>
      </c>
      <c r="C1280">
        <v>220</v>
      </c>
      <c r="D1280">
        <v>27.5</v>
      </c>
      <c r="E1280">
        <v>6.4728999999999995E-2</v>
      </c>
      <c r="F1280">
        <v>15.449</v>
      </c>
      <c r="G1280">
        <v>731.06</v>
      </c>
      <c r="H1280">
        <v>1.5589</v>
      </c>
    </row>
    <row r="1281" spans="2:8" x14ac:dyDescent="0.25">
      <c r="B1281">
        <v>1.5628</v>
      </c>
      <c r="C1281">
        <v>225</v>
      </c>
      <c r="D1281">
        <v>27.5</v>
      </c>
      <c r="E1281">
        <v>6.4241999999999994E-2</v>
      </c>
      <c r="F1281">
        <v>15.566000000000001</v>
      </c>
      <c r="G1281">
        <v>733.77</v>
      </c>
      <c r="H1281">
        <v>1.5628</v>
      </c>
    </row>
    <row r="1282" spans="2:8" x14ac:dyDescent="0.25">
      <c r="B1282">
        <v>1.5668</v>
      </c>
      <c r="C1282">
        <v>230</v>
      </c>
      <c r="D1282">
        <v>27.5</v>
      </c>
      <c r="E1282">
        <v>6.3763E-2</v>
      </c>
      <c r="F1282">
        <v>15.683</v>
      </c>
      <c r="G1282">
        <v>736.48</v>
      </c>
      <c r="H1282">
        <v>1.5668</v>
      </c>
    </row>
    <row r="1283" spans="2:8" x14ac:dyDescent="0.25">
      <c r="B1283">
        <v>1.5707</v>
      </c>
      <c r="C1283">
        <v>235</v>
      </c>
      <c r="D1283">
        <v>27.5</v>
      </c>
      <c r="E1283">
        <v>6.3291E-2</v>
      </c>
      <c r="F1283">
        <v>15.8</v>
      </c>
      <c r="G1283">
        <v>739.2</v>
      </c>
      <c r="H1283">
        <v>1.5707</v>
      </c>
    </row>
    <row r="1284" spans="2:8" x14ac:dyDescent="0.25">
      <c r="B1284">
        <v>1.5746</v>
      </c>
      <c r="C1284">
        <v>240</v>
      </c>
      <c r="D1284">
        <v>27.5</v>
      </c>
      <c r="E1284">
        <v>6.2826999999999994E-2</v>
      </c>
      <c r="F1284">
        <v>15.917</v>
      </c>
      <c r="G1284">
        <v>741.93</v>
      </c>
      <c r="H1284">
        <v>1.5746</v>
      </c>
    </row>
    <row r="1285" spans="2:8" x14ac:dyDescent="0.25">
      <c r="B1285">
        <v>1.5785</v>
      </c>
      <c r="C1285">
        <v>245</v>
      </c>
      <c r="D1285">
        <v>27.5</v>
      </c>
      <c r="E1285">
        <v>6.2369000000000001E-2</v>
      </c>
      <c r="F1285">
        <v>16.033999999999999</v>
      </c>
      <c r="G1285">
        <v>744.65</v>
      </c>
      <c r="H1285">
        <v>1.5785</v>
      </c>
    </row>
    <row r="1286" spans="2:8" x14ac:dyDescent="0.25">
      <c r="B1286">
        <v>1.5824</v>
      </c>
      <c r="C1286">
        <v>250</v>
      </c>
      <c r="D1286">
        <v>27.5</v>
      </c>
      <c r="E1286">
        <v>6.1919000000000002E-2</v>
      </c>
      <c r="F1286">
        <v>16.149999999999999</v>
      </c>
      <c r="G1286">
        <v>747.39</v>
      </c>
      <c r="H1286">
        <v>1.5824</v>
      </c>
    </row>
    <row r="1287" spans="2:8" x14ac:dyDescent="0.25">
      <c r="B1287">
        <v>1.5862000000000001</v>
      </c>
      <c r="C1287">
        <v>255</v>
      </c>
      <c r="D1287">
        <v>27.5</v>
      </c>
      <c r="E1287">
        <v>6.1475000000000002E-2</v>
      </c>
      <c r="F1287">
        <v>16.266999999999999</v>
      </c>
      <c r="G1287">
        <v>750.13</v>
      </c>
      <c r="H1287">
        <v>1.5862000000000001</v>
      </c>
    </row>
    <row r="1288" spans="2:8" x14ac:dyDescent="0.25">
      <c r="B1288">
        <v>1.59</v>
      </c>
      <c r="C1288">
        <v>260</v>
      </c>
      <c r="D1288">
        <v>27.5</v>
      </c>
      <c r="E1288">
        <v>6.1037000000000001E-2</v>
      </c>
      <c r="F1288">
        <v>16.382999999999999</v>
      </c>
      <c r="G1288">
        <v>752.87</v>
      </c>
      <c r="H1288">
        <v>1.59</v>
      </c>
    </row>
    <row r="1289" spans="2:8" x14ac:dyDescent="0.25">
      <c r="B1289">
        <v>1.5939000000000001</v>
      </c>
      <c r="C1289">
        <v>265</v>
      </c>
      <c r="D1289">
        <v>27.5</v>
      </c>
      <c r="E1289">
        <v>6.0606E-2</v>
      </c>
      <c r="F1289">
        <v>16.5</v>
      </c>
      <c r="G1289">
        <v>755.62</v>
      </c>
      <c r="H1289">
        <v>1.5939000000000001</v>
      </c>
    </row>
    <row r="1290" spans="2:8" x14ac:dyDescent="0.25">
      <c r="B1290">
        <v>1.5975999999999999</v>
      </c>
      <c r="C1290">
        <v>270</v>
      </c>
      <c r="D1290">
        <v>27.5</v>
      </c>
      <c r="E1290">
        <v>6.0180999999999998E-2</v>
      </c>
      <c r="F1290">
        <v>16.616</v>
      </c>
      <c r="G1290">
        <v>758.37</v>
      </c>
      <c r="H1290">
        <v>1.5975999999999999</v>
      </c>
    </row>
    <row r="1291" spans="2:8" x14ac:dyDescent="0.25">
      <c r="B1291">
        <v>1.6013999999999999</v>
      </c>
      <c r="C1291">
        <v>275</v>
      </c>
      <c r="D1291">
        <v>27.5</v>
      </c>
      <c r="E1291">
        <v>5.9762000000000003E-2</v>
      </c>
      <c r="F1291">
        <v>16.733000000000001</v>
      </c>
      <c r="G1291">
        <v>761.13</v>
      </c>
      <c r="H1291">
        <v>1.6013999999999999</v>
      </c>
    </row>
    <row r="1292" spans="2:8" x14ac:dyDescent="0.25">
      <c r="B1292">
        <v>1.6052</v>
      </c>
      <c r="C1292">
        <v>280</v>
      </c>
      <c r="D1292">
        <v>27.5</v>
      </c>
      <c r="E1292">
        <v>5.935E-2</v>
      </c>
      <c r="F1292">
        <v>16.849</v>
      </c>
      <c r="G1292">
        <v>763.9</v>
      </c>
      <c r="H1292">
        <v>1.6052</v>
      </c>
    </row>
    <row r="1293" spans="2:8" x14ac:dyDescent="0.25">
      <c r="B1293">
        <v>1.6089</v>
      </c>
      <c r="C1293">
        <v>285</v>
      </c>
      <c r="D1293">
        <v>27.5</v>
      </c>
      <c r="E1293">
        <v>5.8943000000000002E-2</v>
      </c>
      <c r="F1293">
        <v>16.966000000000001</v>
      </c>
      <c r="G1293">
        <v>766.67</v>
      </c>
      <c r="H1293">
        <v>1.6089</v>
      </c>
    </row>
    <row r="1294" spans="2:8" x14ac:dyDescent="0.25">
      <c r="B1294">
        <v>1.6126</v>
      </c>
      <c r="C1294">
        <v>290</v>
      </c>
      <c r="D1294">
        <v>27.5</v>
      </c>
      <c r="E1294">
        <v>5.8541000000000003E-2</v>
      </c>
      <c r="F1294">
        <v>17.082000000000001</v>
      </c>
      <c r="G1294">
        <v>769.44</v>
      </c>
      <c r="H1294">
        <v>1.6126</v>
      </c>
    </row>
    <row r="1295" spans="2:8" x14ac:dyDescent="0.25">
      <c r="B1295">
        <v>1.6163000000000001</v>
      </c>
      <c r="C1295">
        <v>295</v>
      </c>
      <c r="D1295">
        <v>27.5</v>
      </c>
      <c r="E1295">
        <v>5.8146000000000003E-2</v>
      </c>
      <c r="F1295">
        <v>17.198</v>
      </c>
      <c r="G1295">
        <v>772.23</v>
      </c>
      <c r="H1295">
        <v>1.6163000000000001</v>
      </c>
    </row>
    <row r="1296" spans="2:8" x14ac:dyDescent="0.25">
      <c r="B1296">
        <v>1.62</v>
      </c>
      <c r="C1296">
        <v>300</v>
      </c>
      <c r="D1296">
        <v>27.5</v>
      </c>
      <c r="E1296">
        <v>5.7755000000000001E-2</v>
      </c>
      <c r="F1296">
        <v>17.314</v>
      </c>
      <c r="G1296">
        <v>775.01</v>
      </c>
      <c r="H1296">
        <v>1.62</v>
      </c>
    </row>
    <row r="1298" spans="1:8" x14ac:dyDescent="0.25">
      <c r="A1298">
        <v>28.9</v>
      </c>
      <c r="B1298">
        <v>-2.5430000000000001E-2</v>
      </c>
      <c r="C1298">
        <v>-50</v>
      </c>
      <c r="D1298">
        <v>28.9</v>
      </c>
      <c r="E1298">
        <v>43.506</v>
      </c>
      <c r="F1298">
        <v>2.2984999999999998E-2</v>
      </c>
      <c r="G1298">
        <v>-10.465999999999999</v>
      </c>
      <c r="H1298">
        <v>-2.5430000000000001E-2</v>
      </c>
    </row>
    <row r="1299" spans="1:8" x14ac:dyDescent="0.25">
      <c r="B1299">
        <v>-1.2699E-2</v>
      </c>
      <c r="C1299">
        <v>-45</v>
      </c>
      <c r="D1299">
        <v>28.9</v>
      </c>
      <c r="E1299">
        <v>43.298000000000002</v>
      </c>
      <c r="F1299">
        <v>2.3095999999999998E-2</v>
      </c>
      <c r="G1299">
        <v>-5.2182000000000004</v>
      </c>
      <c r="H1299">
        <v>-1.2699E-2</v>
      </c>
    </row>
    <row r="1300" spans="1:8" x14ac:dyDescent="0.25">
      <c r="B1300">
        <v>-7.7736000000000002E-5</v>
      </c>
      <c r="C1300">
        <v>-40</v>
      </c>
      <c r="D1300">
        <v>28.9</v>
      </c>
      <c r="E1300">
        <v>43.088000000000001</v>
      </c>
      <c r="F1300">
        <v>2.3207999999999999E-2</v>
      </c>
      <c r="G1300">
        <v>4.6892999999999997E-2</v>
      </c>
      <c r="H1300">
        <v>-7.7736000000000002E-5</v>
      </c>
    </row>
    <row r="1301" spans="1:8" x14ac:dyDescent="0.25">
      <c r="B1301">
        <v>1.2435E-2</v>
      </c>
      <c r="C1301">
        <v>-35</v>
      </c>
      <c r="D1301">
        <v>28.9</v>
      </c>
      <c r="E1301">
        <v>42.877000000000002</v>
      </c>
      <c r="F1301">
        <v>2.3323E-2</v>
      </c>
      <c r="G1301">
        <v>5.3293999999999997</v>
      </c>
      <c r="H1301">
        <v>1.2435E-2</v>
      </c>
    </row>
    <row r="1302" spans="1:8" x14ac:dyDescent="0.25">
      <c r="B1302">
        <v>2.4840999999999998E-2</v>
      </c>
      <c r="C1302">
        <v>-30</v>
      </c>
      <c r="D1302">
        <v>28.9</v>
      </c>
      <c r="E1302">
        <v>42.664000000000001</v>
      </c>
      <c r="F1302">
        <v>2.3439000000000002E-2</v>
      </c>
      <c r="G1302">
        <v>10.629</v>
      </c>
      <c r="H1302">
        <v>2.4840999999999998E-2</v>
      </c>
    </row>
    <row r="1303" spans="1:8" x14ac:dyDescent="0.25">
      <c r="B1303">
        <v>3.7143000000000002E-2</v>
      </c>
      <c r="C1303">
        <v>-25</v>
      </c>
      <c r="D1303">
        <v>28.9</v>
      </c>
      <c r="E1303">
        <v>42.448</v>
      </c>
      <c r="F1303">
        <v>2.3557999999999999E-2</v>
      </c>
      <c r="G1303">
        <v>15.945</v>
      </c>
      <c r="H1303">
        <v>3.7143000000000002E-2</v>
      </c>
    </row>
    <row r="1304" spans="1:8" x14ac:dyDescent="0.25">
      <c r="B1304">
        <v>4.9342999999999998E-2</v>
      </c>
      <c r="C1304">
        <v>-20</v>
      </c>
      <c r="D1304">
        <v>28.9</v>
      </c>
      <c r="E1304">
        <v>42.231000000000002</v>
      </c>
      <c r="F1304">
        <v>2.3678999999999999E-2</v>
      </c>
      <c r="G1304">
        <v>21.279</v>
      </c>
      <c r="H1304">
        <v>4.9342999999999998E-2</v>
      </c>
    </row>
    <row r="1305" spans="1:8" x14ac:dyDescent="0.25">
      <c r="B1305">
        <v>6.1441000000000003E-2</v>
      </c>
      <c r="C1305">
        <v>-15</v>
      </c>
      <c r="D1305">
        <v>28.9</v>
      </c>
      <c r="E1305">
        <v>42.012</v>
      </c>
      <c r="F1305">
        <v>2.3803000000000001E-2</v>
      </c>
      <c r="G1305">
        <v>26.628</v>
      </c>
      <c r="H1305">
        <v>6.1441000000000003E-2</v>
      </c>
    </row>
    <row r="1306" spans="1:8" x14ac:dyDescent="0.25">
      <c r="B1306">
        <v>7.3441999999999993E-2</v>
      </c>
      <c r="C1306">
        <v>-10</v>
      </c>
      <c r="D1306">
        <v>28.9</v>
      </c>
      <c r="E1306">
        <v>41.790999999999997</v>
      </c>
      <c r="F1306">
        <v>2.3928999999999999E-2</v>
      </c>
      <c r="G1306">
        <v>31.994</v>
      </c>
      <c r="H1306">
        <v>7.3441999999999993E-2</v>
      </c>
    </row>
    <row r="1307" spans="1:8" x14ac:dyDescent="0.25">
      <c r="B1307">
        <v>8.5346000000000005E-2</v>
      </c>
      <c r="C1307">
        <v>-5</v>
      </c>
      <c r="D1307">
        <v>28.9</v>
      </c>
      <c r="E1307">
        <v>41.567999999999998</v>
      </c>
      <c r="F1307">
        <v>2.4056999999999999E-2</v>
      </c>
      <c r="G1307">
        <v>37.377000000000002</v>
      </c>
      <c r="H1307">
        <v>8.5346000000000005E-2</v>
      </c>
    </row>
    <row r="1308" spans="1:8" x14ac:dyDescent="0.25">
      <c r="B1308">
        <v>1.3412999999999999</v>
      </c>
      <c r="C1308">
        <v>0</v>
      </c>
      <c r="D1308">
        <v>28.9</v>
      </c>
      <c r="E1308">
        <v>0.10405</v>
      </c>
      <c r="F1308">
        <v>9.6109000000000009</v>
      </c>
      <c r="G1308">
        <v>612.09</v>
      </c>
      <c r="H1308">
        <v>1.3412999999999999</v>
      </c>
    </row>
    <row r="1309" spans="1:8" x14ac:dyDescent="0.25">
      <c r="B1309">
        <v>1.3475999999999999</v>
      </c>
      <c r="C1309">
        <v>5</v>
      </c>
      <c r="D1309">
        <v>28.9</v>
      </c>
      <c r="E1309">
        <v>0.10271</v>
      </c>
      <c r="F1309">
        <v>9.7359000000000009</v>
      </c>
      <c r="G1309">
        <v>614.97</v>
      </c>
      <c r="H1309">
        <v>1.3475999999999999</v>
      </c>
    </row>
    <row r="1310" spans="1:8" x14ac:dyDescent="0.25">
      <c r="B1310">
        <v>1.3536999999999999</v>
      </c>
      <c r="C1310">
        <v>10</v>
      </c>
      <c r="D1310">
        <v>28.9</v>
      </c>
      <c r="E1310">
        <v>0.10142</v>
      </c>
      <c r="F1310">
        <v>9.8598999999999997</v>
      </c>
      <c r="G1310">
        <v>617.83000000000004</v>
      </c>
      <c r="H1310">
        <v>1.3536999999999999</v>
      </c>
    </row>
    <row r="1311" spans="1:8" x14ac:dyDescent="0.25">
      <c r="B1311">
        <v>1.3596999999999999</v>
      </c>
      <c r="C1311">
        <v>15</v>
      </c>
      <c r="D1311">
        <v>28.9</v>
      </c>
      <c r="E1311">
        <v>0.10017</v>
      </c>
      <c r="F1311">
        <v>9.9829000000000008</v>
      </c>
      <c r="G1311">
        <v>620.66</v>
      </c>
      <c r="H1311">
        <v>1.3596999999999999</v>
      </c>
    </row>
    <row r="1312" spans="1:8" x14ac:dyDescent="0.25">
      <c r="B1312">
        <v>1.3655999999999999</v>
      </c>
      <c r="C1312">
        <v>20</v>
      </c>
      <c r="D1312">
        <v>28.9</v>
      </c>
      <c r="E1312">
        <v>9.8959000000000005E-2</v>
      </c>
      <c r="F1312">
        <v>10.105</v>
      </c>
      <c r="G1312">
        <v>623.47</v>
      </c>
      <c r="H1312">
        <v>1.3655999999999999</v>
      </c>
    </row>
    <row r="1313" spans="2:8" x14ac:dyDescent="0.25">
      <c r="B1313">
        <v>1.3713</v>
      </c>
      <c r="C1313">
        <v>25</v>
      </c>
      <c r="D1313">
        <v>28.9</v>
      </c>
      <c r="E1313">
        <v>9.7783999999999996E-2</v>
      </c>
      <c r="F1313">
        <v>10.227</v>
      </c>
      <c r="G1313">
        <v>626.26</v>
      </c>
      <c r="H1313">
        <v>1.3713</v>
      </c>
    </row>
    <row r="1314" spans="2:8" x14ac:dyDescent="0.25">
      <c r="B1314">
        <v>1.377</v>
      </c>
      <c r="C1314">
        <v>30</v>
      </c>
      <c r="D1314">
        <v>28.9</v>
      </c>
      <c r="E1314">
        <v>9.6643000000000007E-2</v>
      </c>
      <c r="F1314">
        <v>10.347</v>
      </c>
      <c r="G1314">
        <v>629.03</v>
      </c>
      <c r="H1314">
        <v>1.377</v>
      </c>
    </row>
    <row r="1315" spans="2:8" x14ac:dyDescent="0.25">
      <c r="B1315">
        <v>1.3826000000000001</v>
      </c>
      <c r="C1315">
        <v>35</v>
      </c>
      <c r="D1315">
        <v>28.9</v>
      </c>
      <c r="E1315">
        <v>9.5533999999999994E-2</v>
      </c>
      <c r="F1315">
        <v>10.467000000000001</v>
      </c>
      <c r="G1315">
        <v>631.79</v>
      </c>
      <c r="H1315">
        <v>1.3826000000000001</v>
      </c>
    </row>
    <row r="1316" spans="2:8" x14ac:dyDescent="0.25">
      <c r="B1316">
        <v>1.3882000000000001</v>
      </c>
      <c r="C1316">
        <v>40</v>
      </c>
      <c r="D1316">
        <v>28.9</v>
      </c>
      <c r="E1316">
        <v>9.4454999999999997E-2</v>
      </c>
      <c r="F1316">
        <v>10.587</v>
      </c>
      <c r="G1316">
        <v>634.53</v>
      </c>
      <c r="H1316">
        <v>1.3882000000000001</v>
      </c>
    </row>
    <row r="1317" spans="2:8" x14ac:dyDescent="0.25">
      <c r="B1317">
        <v>1.3935999999999999</v>
      </c>
      <c r="C1317">
        <v>45</v>
      </c>
      <c r="D1317">
        <v>28.9</v>
      </c>
      <c r="E1317">
        <v>9.3406000000000003E-2</v>
      </c>
      <c r="F1317">
        <v>10.706</v>
      </c>
      <c r="G1317">
        <v>637.26</v>
      </c>
      <c r="H1317">
        <v>1.3935999999999999</v>
      </c>
    </row>
    <row r="1318" spans="2:8" x14ac:dyDescent="0.25">
      <c r="B1318">
        <v>1.3989</v>
      </c>
      <c r="C1318">
        <v>50</v>
      </c>
      <c r="D1318">
        <v>28.9</v>
      </c>
      <c r="E1318">
        <v>9.2383999999999994E-2</v>
      </c>
      <c r="F1318">
        <v>10.824</v>
      </c>
      <c r="G1318">
        <v>639.98</v>
      </c>
      <c r="H1318">
        <v>1.3989</v>
      </c>
    </row>
    <row r="1319" spans="2:8" x14ac:dyDescent="0.25">
      <c r="B1319">
        <v>1.4041999999999999</v>
      </c>
      <c r="C1319">
        <v>55</v>
      </c>
      <c r="D1319">
        <v>28.9</v>
      </c>
      <c r="E1319">
        <v>9.1387999999999997E-2</v>
      </c>
      <c r="F1319">
        <v>10.942</v>
      </c>
      <c r="G1319">
        <v>642.69000000000005</v>
      </c>
      <c r="H1319">
        <v>1.4041999999999999</v>
      </c>
    </row>
    <row r="1320" spans="2:8" x14ac:dyDescent="0.25">
      <c r="B1320">
        <v>1.4095</v>
      </c>
      <c r="C1320">
        <v>60</v>
      </c>
      <c r="D1320">
        <v>28.9</v>
      </c>
      <c r="E1320">
        <v>9.0416999999999997E-2</v>
      </c>
      <c r="F1320">
        <v>11.06</v>
      </c>
      <c r="G1320">
        <v>645.39</v>
      </c>
      <c r="H1320">
        <v>1.4095</v>
      </c>
    </row>
    <row r="1321" spans="2:8" x14ac:dyDescent="0.25">
      <c r="B1321">
        <v>1.4146000000000001</v>
      </c>
      <c r="C1321">
        <v>65</v>
      </c>
      <c r="D1321">
        <v>28.9</v>
      </c>
      <c r="E1321">
        <v>8.9469999999999994E-2</v>
      </c>
      <c r="F1321">
        <v>11.177</v>
      </c>
      <c r="G1321">
        <v>648.09</v>
      </c>
      <c r="H1321">
        <v>1.4146000000000001</v>
      </c>
    </row>
    <row r="1322" spans="2:8" x14ac:dyDescent="0.25">
      <c r="B1322">
        <v>1.4197</v>
      </c>
      <c r="C1322">
        <v>70</v>
      </c>
      <c r="D1322">
        <v>28.9</v>
      </c>
      <c r="E1322">
        <v>8.8544999999999999E-2</v>
      </c>
      <c r="F1322">
        <v>11.294</v>
      </c>
      <c r="G1322">
        <v>650.77</v>
      </c>
      <c r="H1322">
        <v>1.4197</v>
      </c>
    </row>
    <row r="1323" spans="2:8" x14ac:dyDescent="0.25">
      <c r="B1323">
        <v>1.4247000000000001</v>
      </c>
      <c r="C1323">
        <v>75</v>
      </c>
      <c r="D1323">
        <v>28.9</v>
      </c>
      <c r="E1323">
        <v>8.7641999999999998E-2</v>
      </c>
      <c r="F1323">
        <v>11.41</v>
      </c>
      <c r="G1323">
        <v>653.45000000000005</v>
      </c>
      <c r="H1323">
        <v>1.4247000000000001</v>
      </c>
    </row>
    <row r="1324" spans="2:8" x14ac:dyDescent="0.25">
      <c r="B1324">
        <v>1.4297</v>
      </c>
      <c r="C1324">
        <v>80</v>
      </c>
      <c r="D1324">
        <v>28.9</v>
      </c>
      <c r="E1324">
        <v>8.6760000000000004E-2</v>
      </c>
      <c r="F1324">
        <v>11.526</v>
      </c>
      <c r="G1324">
        <v>656.13</v>
      </c>
      <c r="H1324">
        <v>1.4297</v>
      </c>
    </row>
    <row r="1325" spans="2:8" x14ac:dyDescent="0.25">
      <c r="B1325">
        <v>1.4347000000000001</v>
      </c>
      <c r="C1325">
        <v>85</v>
      </c>
      <c r="D1325">
        <v>28.9</v>
      </c>
      <c r="E1325">
        <v>8.5897000000000001E-2</v>
      </c>
      <c r="F1325">
        <v>11.641999999999999</v>
      </c>
      <c r="G1325">
        <v>658.8</v>
      </c>
      <c r="H1325">
        <v>1.4347000000000001</v>
      </c>
    </row>
    <row r="1326" spans="2:8" x14ac:dyDescent="0.25">
      <c r="B1326">
        <v>1.4395</v>
      </c>
      <c r="C1326">
        <v>90</v>
      </c>
      <c r="D1326">
        <v>28.9</v>
      </c>
      <c r="E1326">
        <v>8.5054000000000005E-2</v>
      </c>
      <c r="F1326">
        <v>11.757</v>
      </c>
      <c r="G1326">
        <v>661.47</v>
      </c>
      <c r="H1326">
        <v>1.4395</v>
      </c>
    </row>
    <row r="1327" spans="2:8" x14ac:dyDescent="0.25">
      <c r="B1327">
        <v>1.4443999999999999</v>
      </c>
      <c r="C1327">
        <v>95</v>
      </c>
      <c r="D1327">
        <v>28.9</v>
      </c>
      <c r="E1327">
        <v>8.4228999999999998E-2</v>
      </c>
      <c r="F1327">
        <v>11.872</v>
      </c>
      <c r="G1327">
        <v>664.13</v>
      </c>
      <c r="H1327">
        <v>1.4443999999999999</v>
      </c>
    </row>
    <row r="1328" spans="2:8" x14ac:dyDescent="0.25">
      <c r="B1328">
        <v>1.4491000000000001</v>
      </c>
      <c r="C1328">
        <v>100</v>
      </c>
      <c r="D1328">
        <v>28.9</v>
      </c>
      <c r="E1328">
        <v>8.3421999999999996E-2</v>
      </c>
      <c r="F1328">
        <v>11.987</v>
      </c>
      <c r="G1328">
        <v>666.79</v>
      </c>
      <c r="H1328">
        <v>1.4491000000000001</v>
      </c>
    </row>
    <row r="1329" spans="2:8" x14ac:dyDescent="0.25">
      <c r="B1329">
        <v>1.4539</v>
      </c>
      <c r="C1329">
        <v>105</v>
      </c>
      <c r="D1329">
        <v>28.9</v>
      </c>
      <c r="E1329">
        <v>8.2631999999999997E-2</v>
      </c>
      <c r="F1329">
        <v>12.102</v>
      </c>
      <c r="G1329">
        <v>669.45</v>
      </c>
      <c r="H1329">
        <v>1.4539</v>
      </c>
    </row>
    <row r="1330" spans="2:8" x14ac:dyDescent="0.25">
      <c r="B1330">
        <v>1.4585999999999999</v>
      </c>
      <c r="C1330">
        <v>110</v>
      </c>
      <c r="D1330">
        <v>28.9</v>
      </c>
      <c r="E1330">
        <v>8.1858E-2</v>
      </c>
      <c r="F1330">
        <v>12.215999999999999</v>
      </c>
      <c r="G1330">
        <v>672.11</v>
      </c>
      <c r="H1330">
        <v>1.4585999999999999</v>
      </c>
    </row>
    <row r="1331" spans="2:8" x14ac:dyDescent="0.25">
      <c r="B1331">
        <v>1.4632000000000001</v>
      </c>
      <c r="C1331">
        <v>115</v>
      </c>
      <c r="D1331">
        <v>28.9</v>
      </c>
      <c r="E1331">
        <v>8.1100000000000005E-2</v>
      </c>
      <c r="F1331">
        <v>12.331</v>
      </c>
      <c r="G1331">
        <v>674.77</v>
      </c>
      <c r="H1331">
        <v>1.4632000000000001</v>
      </c>
    </row>
    <row r="1332" spans="2:8" x14ac:dyDescent="0.25">
      <c r="B1332">
        <v>1.4678</v>
      </c>
      <c r="C1332">
        <v>120</v>
      </c>
      <c r="D1332">
        <v>28.9</v>
      </c>
      <c r="E1332">
        <v>8.0356999999999998E-2</v>
      </c>
      <c r="F1332">
        <v>12.445</v>
      </c>
      <c r="G1332">
        <v>677.42</v>
      </c>
      <c r="H1332">
        <v>1.4678</v>
      </c>
    </row>
    <row r="1333" spans="2:8" x14ac:dyDescent="0.25">
      <c r="B1333">
        <v>1.4723999999999999</v>
      </c>
      <c r="C1333">
        <v>125</v>
      </c>
      <c r="D1333">
        <v>28.9</v>
      </c>
      <c r="E1333">
        <v>7.9628000000000004E-2</v>
      </c>
      <c r="F1333">
        <v>12.558</v>
      </c>
      <c r="G1333">
        <v>680.08</v>
      </c>
      <c r="H1333">
        <v>1.4723999999999999</v>
      </c>
    </row>
    <row r="1334" spans="2:8" x14ac:dyDescent="0.25">
      <c r="B1334">
        <v>1.4769000000000001</v>
      </c>
      <c r="C1334">
        <v>130</v>
      </c>
      <c r="D1334">
        <v>28.9</v>
      </c>
      <c r="E1334">
        <v>7.8913999999999998E-2</v>
      </c>
      <c r="F1334">
        <v>12.672000000000001</v>
      </c>
      <c r="G1334">
        <v>682.74</v>
      </c>
      <c r="H1334">
        <v>1.4769000000000001</v>
      </c>
    </row>
    <row r="1335" spans="2:8" x14ac:dyDescent="0.25">
      <c r="B1335">
        <v>1.4814000000000001</v>
      </c>
      <c r="C1335">
        <v>135</v>
      </c>
      <c r="D1335">
        <v>28.9</v>
      </c>
      <c r="E1335">
        <v>7.8214000000000006E-2</v>
      </c>
      <c r="F1335">
        <v>12.785</v>
      </c>
      <c r="G1335">
        <v>685.4</v>
      </c>
      <c r="H1335">
        <v>1.4814000000000001</v>
      </c>
    </row>
    <row r="1336" spans="2:8" x14ac:dyDescent="0.25">
      <c r="B1336">
        <v>1.4858</v>
      </c>
      <c r="C1336">
        <v>140</v>
      </c>
      <c r="D1336">
        <v>28.9</v>
      </c>
      <c r="E1336">
        <v>7.7526999999999999E-2</v>
      </c>
      <c r="F1336">
        <v>12.898999999999999</v>
      </c>
      <c r="G1336">
        <v>688.06</v>
      </c>
      <c r="H1336">
        <v>1.4858</v>
      </c>
    </row>
    <row r="1337" spans="2:8" x14ac:dyDescent="0.25">
      <c r="B1337">
        <v>1.4902</v>
      </c>
      <c r="C1337">
        <v>145</v>
      </c>
      <c r="D1337">
        <v>28.9</v>
      </c>
      <c r="E1337">
        <v>7.6853000000000005E-2</v>
      </c>
      <c r="F1337">
        <v>13.012</v>
      </c>
      <c r="G1337">
        <v>690.72</v>
      </c>
      <c r="H1337">
        <v>1.4902</v>
      </c>
    </row>
    <row r="1338" spans="2:8" x14ac:dyDescent="0.25">
      <c r="B1338">
        <v>1.4945999999999999</v>
      </c>
      <c r="C1338">
        <v>150</v>
      </c>
      <c r="D1338">
        <v>28.9</v>
      </c>
      <c r="E1338">
        <v>7.6191999999999996E-2</v>
      </c>
      <c r="F1338">
        <v>13.125</v>
      </c>
      <c r="G1338">
        <v>693.38</v>
      </c>
      <c r="H1338">
        <v>1.4945999999999999</v>
      </c>
    </row>
    <row r="1339" spans="2:8" x14ac:dyDescent="0.25">
      <c r="B1339">
        <v>1.4990000000000001</v>
      </c>
      <c r="C1339">
        <v>155</v>
      </c>
      <c r="D1339">
        <v>28.9</v>
      </c>
      <c r="E1339">
        <v>7.5541999999999998E-2</v>
      </c>
      <c r="F1339">
        <v>13.238</v>
      </c>
      <c r="G1339">
        <v>696.04</v>
      </c>
      <c r="H1339">
        <v>1.4990000000000001</v>
      </c>
    </row>
    <row r="1340" spans="2:8" x14ac:dyDescent="0.25">
      <c r="B1340">
        <v>1.5033000000000001</v>
      </c>
      <c r="C1340">
        <v>160</v>
      </c>
      <c r="D1340">
        <v>28.9</v>
      </c>
      <c r="E1340">
        <v>7.4903999999999998E-2</v>
      </c>
      <c r="F1340">
        <v>13.35</v>
      </c>
      <c r="G1340">
        <v>698.71</v>
      </c>
      <c r="H1340">
        <v>1.5033000000000001</v>
      </c>
    </row>
    <row r="1341" spans="2:8" x14ac:dyDescent="0.25">
      <c r="B1341">
        <v>1.5076000000000001</v>
      </c>
      <c r="C1341">
        <v>165</v>
      </c>
      <c r="D1341">
        <v>28.9</v>
      </c>
      <c r="E1341">
        <v>7.4277999999999997E-2</v>
      </c>
      <c r="F1341">
        <v>13.462999999999999</v>
      </c>
      <c r="G1341">
        <v>701.38</v>
      </c>
      <c r="H1341">
        <v>1.5076000000000001</v>
      </c>
    </row>
    <row r="1342" spans="2:8" x14ac:dyDescent="0.25">
      <c r="B1342">
        <v>1.5119</v>
      </c>
      <c r="C1342">
        <v>170</v>
      </c>
      <c r="D1342">
        <v>28.9</v>
      </c>
      <c r="E1342">
        <v>7.3663000000000006E-2</v>
      </c>
      <c r="F1342">
        <v>13.574999999999999</v>
      </c>
      <c r="G1342">
        <v>704.05</v>
      </c>
      <c r="H1342">
        <v>1.5119</v>
      </c>
    </row>
    <row r="1343" spans="2:8" x14ac:dyDescent="0.25">
      <c r="B1343">
        <v>1.5161</v>
      </c>
      <c r="C1343">
        <v>175</v>
      </c>
      <c r="D1343">
        <v>28.9</v>
      </c>
      <c r="E1343">
        <v>7.3057999999999998E-2</v>
      </c>
      <c r="F1343">
        <v>13.688000000000001</v>
      </c>
      <c r="G1343">
        <v>706.72</v>
      </c>
      <c r="H1343">
        <v>1.5161</v>
      </c>
    </row>
    <row r="1344" spans="2:8" x14ac:dyDescent="0.25">
      <c r="B1344">
        <v>1.5203</v>
      </c>
      <c r="C1344">
        <v>180</v>
      </c>
      <c r="D1344">
        <v>28.9</v>
      </c>
      <c r="E1344">
        <v>7.2464000000000001E-2</v>
      </c>
      <c r="F1344">
        <v>13.8</v>
      </c>
      <c r="G1344">
        <v>709.4</v>
      </c>
      <c r="H1344">
        <v>1.5203</v>
      </c>
    </row>
    <row r="1345" spans="2:8" x14ac:dyDescent="0.25">
      <c r="B1345">
        <v>1.5245</v>
      </c>
      <c r="C1345">
        <v>185</v>
      </c>
      <c r="D1345">
        <v>28.9</v>
      </c>
      <c r="E1345">
        <v>7.1879999999999999E-2</v>
      </c>
      <c r="F1345">
        <v>13.912000000000001</v>
      </c>
      <c r="G1345">
        <v>712.08</v>
      </c>
      <c r="H1345">
        <v>1.5245</v>
      </c>
    </row>
    <row r="1346" spans="2:8" x14ac:dyDescent="0.25">
      <c r="B1346">
        <v>1.5286</v>
      </c>
      <c r="C1346">
        <v>190</v>
      </c>
      <c r="D1346">
        <v>28.9</v>
      </c>
      <c r="E1346">
        <v>7.1304999999999993E-2</v>
      </c>
      <c r="F1346">
        <v>14.023999999999999</v>
      </c>
      <c r="G1346">
        <v>714.76</v>
      </c>
      <c r="H1346">
        <v>1.5286</v>
      </c>
    </row>
    <row r="1347" spans="2:8" x14ac:dyDescent="0.25">
      <c r="B1347">
        <v>1.5327</v>
      </c>
      <c r="C1347">
        <v>195</v>
      </c>
      <c r="D1347">
        <v>28.9</v>
      </c>
      <c r="E1347">
        <v>7.0740999999999998E-2</v>
      </c>
      <c r="F1347">
        <v>14.135999999999999</v>
      </c>
      <c r="G1347">
        <v>717.45</v>
      </c>
      <c r="H1347">
        <v>1.5327</v>
      </c>
    </row>
    <row r="1348" spans="2:8" x14ac:dyDescent="0.25">
      <c r="B1348">
        <v>1.5367999999999999</v>
      </c>
      <c r="C1348">
        <v>200</v>
      </c>
      <c r="D1348">
        <v>28.9</v>
      </c>
      <c r="E1348">
        <v>7.0184999999999997E-2</v>
      </c>
      <c r="F1348">
        <v>14.247999999999999</v>
      </c>
      <c r="G1348">
        <v>720.14</v>
      </c>
      <c r="H1348">
        <v>1.5367999999999999</v>
      </c>
    </row>
    <row r="1349" spans="2:8" x14ac:dyDescent="0.25">
      <c r="B1349">
        <v>1.5408999999999999</v>
      </c>
      <c r="C1349">
        <v>205</v>
      </c>
      <c r="D1349">
        <v>28.9</v>
      </c>
      <c r="E1349">
        <v>6.9639000000000006E-2</v>
      </c>
      <c r="F1349">
        <v>14.36</v>
      </c>
      <c r="G1349">
        <v>722.83</v>
      </c>
      <c r="H1349">
        <v>1.5408999999999999</v>
      </c>
    </row>
    <row r="1350" spans="2:8" x14ac:dyDescent="0.25">
      <c r="B1350">
        <v>1.5448999999999999</v>
      </c>
      <c r="C1350">
        <v>210</v>
      </c>
      <c r="D1350">
        <v>28.9</v>
      </c>
      <c r="E1350">
        <v>6.9100999999999996E-2</v>
      </c>
      <c r="F1350">
        <v>14.471</v>
      </c>
      <c r="G1350">
        <v>725.53</v>
      </c>
      <c r="H1350">
        <v>1.5448999999999999</v>
      </c>
    </row>
    <row r="1351" spans="2:8" x14ac:dyDescent="0.25">
      <c r="B1351">
        <v>1.5489999999999999</v>
      </c>
      <c r="C1351">
        <v>215</v>
      </c>
      <c r="D1351">
        <v>28.9</v>
      </c>
      <c r="E1351">
        <v>6.8572999999999995E-2</v>
      </c>
      <c r="F1351">
        <v>14.583</v>
      </c>
      <c r="G1351">
        <v>728.24</v>
      </c>
      <c r="H1351">
        <v>1.5489999999999999</v>
      </c>
    </row>
    <row r="1352" spans="2:8" x14ac:dyDescent="0.25">
      <c r="B1352">
        <v>1.5528999999999999</v>
      </c>
      <c r="C1352">
        <v>220</v>
      </c>
      <c r="D1352">
        <v>28.9</v>
      </c>
      <c r="E1352">
        <v>6.8052000000000001E-2</v>
      </c>
      <c r="F1352">
        <v>14.695</v>
      </c>
      <c r="G1352">
        <v>730.94</v>
      </c>
      <c r="H1352">
        <v>1.5528999999999999</v>
      </c>
    </row>
    <row r="1353" spans="2:8" x14ac:dyDescent="0.25">
      <c r="B1353">
        <v>1.5569</v>
      </c>
      <c r="C1353">
        <v>225</v>
      </c>
      <c r="D1353">
        <v>28.9</v>
      </c>
      <c r="E1353">
        <v>6.7540000000000003E-2</v>
      </c>
      <c r="F1353">
        <v>14.805999999999999</v>
      </c>
      <c r="G1353">
        <v>733.65</v>
      </c>
      <c r="H1353">
        <v>1.5569</v>
      </c>
    </row>
    <row r="1354" spans="2:8" x14ac:dyDescent="0.25">
      <c r="B1354">
        <v>1.5609</v>
      </c>
      <c r="C1354">
        <v>230</v>
      </c>
      <c r="D1354">
        <v>28.9</v>
      </c>
      <c r="E1354">
        <v>6.7034999999999997E-2</v>
      </c>
      <c r="F1354">
        <v>14.917999999999999</v>
      </c>
      <c r="G1354">
        <v>736.37</v>
      </c>
      <c r="H1354">
        <v>1.5609</v>
      </c>
    </row>
    <row r="1355" spans="2:8" x14ac:dyDescent="0.25">
      <c r="B1355">
        <v>1.5648</v>
      </c>
      <c r="C1355">
        <v>235</v>
      </c>
      <c r="D1355">
        <v>28.9</v>
      </c>
      <c r="E1355">
        <v>6.6539000000000001E-2</v>
      </c>
      <c r="F1355">
        <v>15.029</v>
      </c>
      <c r="G1355">
        <v>739.09</v>
      </c>
      <c r="H1355">
        <v>1.5648</v>
      </c>
    </row>
    <row r="1356" spans="2:8" x14ac:dyDescent="0.25">
      <c r="B1356">
        <v>1.5687</v>
      </c>
      <c r="C1356">
        <v>240</v>
      </c>
      <c r="D1356">
        <v>28.9</v>
      </c>
      <c r="E1356">
        <v>6.6049999999999998E-2</v>
      </c>
      <c r="F1356">
        <v>15.14</v>
      </c>
      <c r="G1356">
        <v>741.82</v>
      </c>
      <c r="H1356">
        <v>1.5687</v>
      </c>
    </row>
    <row r="1357" spans="2:8" x14ac:dyDescent="0.25">
      <c r="B1357">
        <v>1.5726</v>
      </c>
      <c r="C1357">
        <v>245</v>
      </c>
      <c r="D1357">
        <v>28.9</v>
      </c>
      <c r="E1357">
        <v>6.5568000000000001E-2</v>
      </c>
      <c r="F1357">
        <v>15.250999999999999</v>
      </c>
      <c r="G1357">
        <v>744.55</v>
      </c>
      <c r="H1357">
        <v>1.5726</v>
      </c>
    </row>
    <row r="1358" spans="2:8" x14ac:dyDescent="0.25">
      <c r="B1358">
        <v>1.5765</v>
      </c>
      <c r="C1358">
        <v>250</v>
      </c>
      <c r="D1358">
        <v>28.9</v>
      </c>
      <c r="E1358">
        <v>6.5093999999999999E-2</v>
      </c>
      <c r="F1358">
        <v>15.362</v>
      </c>
      <c r="G1358">
        <v>747.28</v>
      </c>
      <c r="H1358">
        <v>1.5765</v>
      </c>
    </row>
    <row r="1359" spans="2:8" x14ac:dyDescent="0.25">
      <c r="B1359">
        <v>1.5803</v>
      </c>
      <c r="C1359">
        <v>255</v>
      </c>
      <c r="D1359">
        <v>28.9</v>
      </c>
      <c r="E1359">
        <v>6.4626000000000003E-2</v>
      </c>
      <c r="F1359">
        <v>15.474</v>
      </c>
      <c r="G1359">
        <v>750.02</v>
      </c>
      <c r="H1359">
        <v>1.5803</v>
      </c>
    </row>
    <row r="1360" spans="2:8" x14ac:dyDescent="0.25">
      <c r="B1360">
        <v>1.5841000000000001</v>
      </c>
      <c r="C1360">
        <v>260</v>
      </c>
      <c r="D1360">
        <v>28.9</v>
      </c>
      <c r="E1360">
        <v>6.4166000000000001E-2</v>
      </c>
      <c r="F1360">
        <v>15.585000000000001</v>
      </c>
      <c r="G1360">
        <v>752.77</v>
      </c>
      <c r="H1360">
        <v>1.5841000000000001</v>
      </c>
    </row>
    <row r="1361" spans="1:8" x14ac:dyDescent="0.25">
      <c r="B1361">
        <v>1.5880000000000001</v>
      </c>
      <c r="C1361">
        <v>265</v>
      </c>
      <c r="D1361">
        <v>28.9</v>
      </c>
      <c r="E1361">
        <v>6.3712000000000005E-2</v>
      </c>
      <c r="F1361">
        <v>15.696</v>
      </c>
      <c r="G1361">
        <v>755.52</v>
      </c>
      <c r="H1361">
        <v>1.5880000000000001</v>
      </c>
    </row>
    <row r="1362" spans="1:8" x14ac:dyDescent="0.25">
      <c r="B1362">
        <v>1.5916999999999999</v>
      </c>
      <c r="C1362">
        <v>270</v>
      </c>
      <c r="D1362">
        <v>28.9</v>
      </c>
      <c r="E1362">
        <v>6.3265000000000002E-2</v>
      </c>
      <c r="F1362">
        <v>15.805999999999999</v>
      </c>
      <c r="G1362">
        <v>758.27</v>
      </c>
      <c r="H1362">
        <v>1.5916999999999999</v>
      </c>
    </row>
    <row r="1363" spans="1:8" x14ac:dyDescent="0.25">
      <c r="B1363">
        <v>1.5954999999999999</v>
      </c>
      <c r="C1363">
        <v>275</v>
      </c>
      <c r="D1363">
        <v>28.9</v>
      </c>
      <c r="E1363">
        <v>6.2824000000000005E-2</v>
      </c>
      <c r="F1363">
        <v>15.917</v>
      </c>
      <c r="G1363">
        <v>761.04</v>
      </c>
      <c r="H1363">
        <v>1.5954999999999999</v>
      </c>
    </row>
    <row r="1364" spans="1:8" x14ac:dyDescent="0.25">
      <c r="B1364">
        <v>1.5992999999999999</v>
      </c>
      <c r="C1364">
        <v>280</v>
      </c>
      <c r="D1364">
        <v>28.9</v>
      </c>
      <c r="E1364">
        <v>6.2390000000000001E-2</v>
      </c>
      <c r="F1364">
        <v>16.027999999999999</v>
      </c>
      <c r="G1364">
        <v>763.8</v>
      </c>
      <c r="H1364">
        <v>1.5992999999999999</v>
      </c>
    </row>
    <row r="1365" spans="1:8" x14ac:dyDescent="0.25">
      <c r="B1365">
        <v>1.603</v>
      </c>
      <c r="C1365">
        <v>285</v>
      </c>
      <c r="D1365">
        <v>28.9</v>
      </c>
      <c r="E1365">
        <v>6.1962000000000003E-2</v>
      </c>
      <c r="F1365">
        <v>16.138999999999999</v>
      </c>
      <c r="G1365">
        <v>766.57</v>
      </c>
      <c r="H1365">
        <v>1.603</v>
      </c>
    </row>
    <row r="1366" spans="1:8" x14ac:dyDescent="0.25">
      <c r="B1366">
        <v>1.6067</v>
      </c>
      <c r="C1366">
        <v>290</v>
      </c>
      <c r="D1366">
        <v>28.9</v>
      </c>
      <c r="E1366">
        <v>6.1539000000000003E-2</v>
      </c>
      <c r="F1366">
        <v>16.25</v>
      </c>
      <c r="G1366">
        <v>769.35</v>
      </c>
      <c r="H1366">
        <v>1.6067</v>
      </c>
    </row>
    <row r="1367" spans="1:8" x14ac:dyDescent="0.25">
      <c r="B1367">
        <v>1.6104000000000001</v>
      </c>
      <c r="C1367">
        <v>295</v>
      </c>
      <c r="D1367">
        <v>28.9</v>
      </c>
      <c r="E1367">
        <v>6.1122999999999997E-2</v>
      </c>
      <c r="F1367">
        <v>16.36</v>
      </c>
      <c r="G1367">
        <v>772.14</v>
      </c>
      <c r="H1367">
        <v>1.6104000000000001</v>
      </c>
    </row>
    <row r="1368" spans="1:8" x14ac:dyDescent="0.25">
      <c r="B1368">
        <v>1.6141000000000001</v>
      </c>
      <c r="C1368">
        <v>300</v>
      </c>
      <c r="D1368">
        <v>28.9</v>
      </c>
      <c r="E1368">
        <v>6.0712000000000002E-2</v>
      </c>
      <c r="F1368">
        <v>16.471</v>
      </c>
      <c r="G1368">
        <v>774.93</v>
      </c>
      <c r="H1368">
        <v>1.6141000000000001</v>
      </c>
    </row>
    <row r="1370" spans="1:8" x14ac:dyDescent="0.25">
      <c r="A1370">
        <v>30.3</v>
      </c>
      <c r="B1370">
        <v>-2.5436E-2</v>
      </c>
      <c r="C1370">
        <v>-50</v>
      </c>
      <c r="D1370">
        <v>30.3</v>
      </c>
      <c r="E1370">
        <v>43.506</v>
      </c>
      <c r="F1370">
        <v>2.2984999999999998E-2</v>
      </c>
      <c r="G1370">
        <v>-10.462</v>
      </c>
      <c r="H1370">
        <v>-2.5436E-2</v>
      </c>
    </row>
    <row r="1371" spans="1:8" x14ac:dyDescent="0.25">
      <c r="B1371">
        <v>-1.2704999999999999E-2</v>
      </c>
      <c r="C1371">
        <v>-45</v>
      </c>
      <c r="D1371">
        <v>30.3</v>
      </c>
      <c r="E1371">
        <v>43.298000000000002</v>
      </c>
      <c r="F1371">
        <v>2.3095999999999998E-2</v>
      </c>
      <c r="G1371">
        <v>-5.2145999999999999</v>
      </c>
      <c r="H1371">
        <v>-1.2704999999999999E-2</v>
      </c>
    </row>
    <row r="1372" spans="1:8" x14ac:dyDescent="0.25">
      <c r="B1372">
        <v>-8.3615999999999994E-5</v>
      </c>
      <c r="C1372">
        <v>-40</v>
      </c>
      <c r="D1372">
        <v>30.3</v>
      </c>
      <c r="E1372">
        <v>43.088999999999999</v>
      </c>
      <c r="F1372">
        <v>2.3207999999999999E-2</v>
      </c>
      <c r="G1372">
        <v>5.0442000000000001E-2</v>
      </c>
      <c r="H1372">
        <v>-8.3615999999999994E-5</v>
      </c>
    </row>
    <row r="1373" spans="1:8" x14ac:dyDescent="0.25">
      <c r="B1373">
        <v>1.2429000000000001E-2</v>
      </c>
      <c r="C1373">
        <v>-35</v>
      </c>
      <c r="D1373">
        <v>30.3</v>
      </c>
      <c r="E1373">
        <v>42.877000000000002</v>
      </c>
      <c r="F1373">
        <v>2.3321999999999999E-2</v>
      </c>
      <c r="G1373">
        <v>5.3329000000000004</v>
      </c>
      <c r="H1373">
        <v>1.2429000000000001E-2</v>
      </c>
    </row>
    <row r="1374" spans="1:8" x14ac:dyDescent="0.25">
      <c r="B1374">
        <v>2.4834999999999999E-2</v>
      </c>
      <c r="C1374">
        <v>-30</v>
      </c>
      <c r="D1374">
        <v>30.3</v>
      </c>
      <c r="E1374">
        <v>42.664000000000001</v>
      </c>
      <c r="F1374">
        <v>2.3439000000000002E-2</v>
      </c>
      <c r="G1374">
        <v>10.632</v>
      </c>
      <c r="H1374">
        <v>2.4834999999999999E-2</v>
      </c>
    </row>
    <row r="1375" spans="1:8" x14ac:dyDescent="0.25">
      <c r="B1375">
        <v>3.7137000000000003E-2</v>
      </c>
      <c r="C1375">
        <v>-25</v>
      </c>
      <c r="D1375">
        <v>30.3</v>
      </c>
      <c r="E1375">
        <v>42.448999999999998</v>
      </c>
      <c r="F1375">
        <v>2.3557999999999999E-2</v>
      </c>
      <c r="G1375">
        <v>15.949</v>
      </c>
      <c r="H1375">
        <v>3.7137000000000003E-2</v>
      </c>
    </row>
    <row r="1376" spans="1:8" x14ac:dyDescent="0.25">
      <c r="B1376">
        <v>4.9335999999999998E-2</v>
      </c>
      <c r="C1376">
        <v>-20</v>
      </c>
      <c r="D1376">
        <v>30.3</v>
      </c>
      <c r="E1376">
        <v>42.231000000000002</v>
      </c>
      <c r="F1376">
        <v>2.3678999999999999E-2</v>
      </c>
      <c r="G1376">
        <v>21.282</v>
      </c>
      <c r="H1376">
        <v>4.9335999999999998E-2</v>
      </c>
    </row>
    <row r="1377" spans="2:8" x14ac:dyDescent="0.25">
      <c r="B1377">
        <v>6.1434999999999997E-2</v>
      </c>
      <c r="C1377">
        <v>-15</v>
      </c>
      <c r="D1377">
        <v>30.3</v>
      </c>
      <c r="E1377">
        <v>42.012</v>
      </c>
      <c r="F1377">
        <v>2.3803000000000001E-2</v>
      </c>
      <c r="G1377">
        <v>26.632000000000001</v>
      </c>
      <c r="H1377">
        <v>6.1434999999999997E-2</v>
      </c>
    </row>
    <row r="1378" spans="2:8" x14ac:dyDescent="0.25">
      <c r="B1378">
        <v>7.3435E-2</v>
      </c>
      <c r="C1378">
        <v>-10</v>
      </c>
      <c r="D1378">
        <v>30.3</v>
      </c>
      <c r="E1378">
        <v>41.790999999999997</v>
      </c>
      <c r="F1378">
        <v>2.3928000000000001E-2</v>
      </c>
      <c r="G1378">
        <v>31.998000000000001</v>
      </c>
      <c r="H1378">
        <v>7.3435E-2</v>
      </c>
    </row>
    <row r="1379" spans="2:8" x14ac:dyDescent="0.25">
      <c r="B1379">
        <v>8.5338999999999998E-2</v>
      </c>
      <c r="C1379">
        <v>-5</v>
      </c>
      <c r="D1379">
        <v>30.3</v>
      </c>
      <c r="E1379">
        <v>41.569000000000003</v>
      </c>
      <c r="F1379">
        <v>2.4056999999999999E-2</v>
      </c>
      <c r="G1379">
        <v>37.380000000000003</v>
      </c>
      <c r="H1379">
        <v>8.5338999999999998E-2</v>
      </c>
    </row>
    <row r="1380" spans="2:8" x14ac:dyDescent="0.25">
      <c r="B1380">
        <v>1.3349</v>
      </c>
      <c r="C1380">
        <v>0</v>
      </c>
      <c r="D1380">
        <v>30.3</v>
      </c>
      <c r="E1380">
        <v>0.10933</v>
      </c>
      <c r="F1380">
        <v>9.1465999999999994</v>
      </c>
      <c r="G1380">
        <v>611.59</v>
      </c>
      <c r="H1380">
        <v>1.3349</v>
      </c>
    </row>
    <row r="1381" spans="2:8" x14ac:dyDescent="0.25">
      <c r="B1381">
        <v>1.3411999999999999</v>
      </c>
      <c r="C1381">
        <v>5</v>
      </c>
      <c r="D1381">
        <v>30.3</v>
      </c>
      <c r="E1381">
        <v>0.10791000000000001</v>
      </c>
      <c r="F1381">
        <v>9.2667000000000002</v>
      </c>
      <c r="G1381">
        <v>614.5</v>
      </c>
      <c r="H1381">
        <v>1.3411999999999999</v>
      </c>
    </row>
    <row r="1382" spans="2:8" x14ac:dyDescent="0.25">
      <c r="B1382">
        <v>1.3473999999999999</v>
      </c>
      <c r="C1382">
        <v>10</v>
      </c>
      <c r="D1382">
        <v>30.3</v>
      </c>
      <c r="E1382">
        <v>0.10654</v>
      </c>
      <c r="F1382">
        <v>9.3856999999999999</v>
      </c>
      <c r="G1382">
        <v>617.38</v>
      </c>
      <c r="H1382">
        <v>1.3473999999999999</v>
      </c>
    </row>
    <row r="1383" spans="2:8" x14ac:dyDescent="0.25">
      <c r="B1383">
        <v>1.3533999999999999</v>
      </c>
      <c r="C1383">
        <v>15</v>
      </c>
      <c r="D1383">
        <v>30.3</v>
      </c>
      <c r="E1383">
        <v>0.10521999999999999</v>
      </c>
      <c r="F1383">
        <v>9.5038999999999998</v>
      </c>
      <c r="G1383">
        <v>620.23</v>
      </c>
      <c r="H1383">
        <v>1.3533999999999999</v>
      </c>
    </row>
    <row r="1384" spans="2:8" x14ac:dyDescent="0.25">
      <c r="B1384">
        <v>1.3593999999999999</v>
      </c>
      <c r="C1384">
        <v>20</v>
      </c>
      <c r="D1384">
        <v>30.3</v>
      </c>
      <c r="E1384">
        <v>0.10394</v>
      </c>
      <c r="F1384">
        <v>9.6211000000000002</v>
      </c>
      <c r="G1384">
        <v>623.05999999999995</v>
      </c>
      <c r="H1384">
        <v>1.3593999999999999</v>
      </c>
    </row>
    <row r="1385" spans="2:8" x14ac:dyDescent="0.25">
      <c r="B1385">
        <v>1.3652</v>
      </c>
      <c r="C1385">
        <v>25</v>
      </c>
      <c r="D1385">
        <v>30.3</v>
      </c>
      <c r="E1385">
        <v>0.10269</v>
      </c>
      <c r="F1385">
        <v>9.7376000000000005</v>
      </c>
      <c r="G1385">
        <v>625.87</v>
      </c>
      <c r="H1385">
        <v>1.3652</v>
      </c>
    </row>
    <row r="1386" spans="2:8" x14ac:dyDescent="0.25">
      <c r="B1386">
        <v>1.3709</v>
      </c>
      <c r="C1386">
        <v>30</v>
      </c>
      <c r="D1386">
        <v>30.3</v>
      </c>
      <c r="E1386">
        <v>0.10149</v>
      </c>
      <c r="F1386">
        <v>9.8534000000000006</v>
      </c>
      <c r="G1386">
        <v>628.66</v>
      </c>
      <c r="H1386">
        <v>1.3709</v>
      </c>
    </row>
    <row r="1387" spans="2:8" x14ac:dyDescent="0.25">
      <c r="B1387">
        <v>1.3766</v>
      </c>
      <c r="C1387">
        <v>35</v>
      </c>
      <c r="D1387">
        <v>30.3</v>
      </c>
      <c r="E1387">
        <v>0.10032000000000001</v>
      </c>
      <c r="F1387">
        <v>9.9686000000000003</v>
      </c>
      <c r="G1387">
        <v>631.42999999999995</v>
      </c>
      <c r="H1387">
        <v>1.3766</v>
      </c>
    </row>
    <row r="1388" spans="2:8" x14ac:dyDescent="0.25">
      <c r="B1388">
        <v>1.3821000000000001</v>
      </c>
      <c r="C1388">
        <v>40</v>
      </c>
      <c r="D1388">
        <v>30.3</v>
      </c>
      <c r="E1388">
        <v>9.9176E-2</v>
      </c>
      <c r="F1388">
        <v>10.083</v>
      </c>
      <c r="G1388">
        <v>634.19000000000005</v>
      </c>
      <c r="H1388">
        <v>1.3821000000000001</v>
      </c>
    </row>
    <row r="1389" spans="2:8" x14ac:dyDescent="0.25">
      <c r="B1389">
        <v>1.3875999999999999</v>
      </c>
      <c r="C1389">
        <v>45</v>
      </c>
      <c r="D1389">
        <v>30.3</v>
      </c>
      <c r="E1389">
        <v>9.8068000000000002E-2</v>
      </c>
      <c r="F1389">
        <v>10.196999999999999</v>
      </c>
      <c r="G1389">
        <v>636.92999999999995</v>
      </c>
      <c r="H1389">
        <v>1.3875999999999999</v>
      </c>
    </row>
    <row r="1390" spans="2:8" x14ac:dyDescent="0.25">
      <c r="B1390">
        <v>1.393</v>
      </c>
      <c r="C1390">
        <v>50</v>
      </c>
      <c r="D1390">
        <v>30.3</v>
      </c>
      <c r="E1390">
        <v>9.6989000000000006E-2</v>
      </c>
      <c r="F1390">
        <v>10.31</v>
      </c>
      <c r="G1390">
        <v>639.66999999999996</v>
      </c>
      <c r="H1390">
        <v>1.393</v>
      </c>
    </row>
    <row r="1391" spans="2:8" x14ac:dyDescent="0.25">
      <c r="B1391">
        <v>1.3983000000000001</v>
      </c>
      <c r="C1391">
        <v>55</v>
      </c>
      <c r="D1391">
        <v>30.3</v>
      </c>
      <c r="E1391">
        <v>9.5936999999999995E-2</v>
      </c>
      <c r="F1391">
        <v>10.423</v>
      </c>
      <c r="G1391">
        <v>642.39</v>
      </c>
      <c r="H1391">
        <v>1.3983000000000001</v>
      </c>
    </row>
    <row r="1392" spans="2:8" x14ac:dyDescent="0.25">
      <c r="B1392">
        <v>1.4035</v>
      </c>
      <c r="C1392">
        <v>60</v>
      </c>
      <c r="D1392">
        <v>30.3</v>
      </c>
      <c r="E1392">
        <v>9.4912999999999997E-2</v>
      </c>
      <c r="F1392">
        <v>10.536</v>
      </c>
      <c r="G1392">
        <v>645.1</v>
      </c>
      <c r="H1392">
        <v>1.4035</v>
      </c>
    </row>
    <row r="1393" spans="2:8" x14ac:dyDescent="0.25">
      <c r="B1393">
        <v>1.4087000000000001</v>
      </c>
      <c r="C1393">
        <v>65</v>
      </c>
      <c r="D1393">
        <v>30.3</v>
      </c>
      <c r="E1393">
        <v>9.3913999999999997E-2</v>
      </c>
      <c r="F1393">
        <v>10.648</v>
      </c>
      <c r="G1393">
        <v>647.79999999999995</v>
      </c>
      <c r="H1393">
        <v>1.4087000000000001</v>
      </c>
    </row>
    <row r="1394" spans="2:8" x14ac:dyDescent="0.25">
      <c r="B1394">
        <v>1.4137999999999999</v>
      </c>
      <c r="C1394">
        <v>70</v>
      </c>
      <c r="D1394">
        <v>30.3</v>
      </c>
      <c r="E1394">
        <v>9.2938999999999994E-2</v>
      </c>
      <c r="F1394">
        <v>10.76</v>
      </c>
      <c r="G1394">
        <v>650.5</v>
      </c>
      <c r="H1394">
        <v>1.4137999999999999</v>
      </c>
    </row>
    <row r="1395" spans="2:8" x14ac:dyDescent="0.25">
      <c r="B1395">
        <v>1.4189000000000001</v>
      </c>
      <c r="C1395">
        <v>75</v>
      </c>
      <c r="D1395">
        <v>30.3</v>
      </c>
      <c r="E1395">
        <v>9.1986999999999999E-2</v>
      </c>
      <c r="F1395">
        <v>10.871</v>
      </c>
      <c r="G1395">
        <v>653.19000000000005</v>
      </c>
      <c r="H1395">
        <v>1.4189000000000001</v>
      </c>
    </row>
    <row r="1396" spans="2:8" x14ac:dyDescent="0.25">
      <c r="B1396">
        <v>1.4238999999999999</v>
      </c>
      <c r="C1396">
        <v>80</v>
      </c>
      <c r="D1396">
        <v>30.3</v>
      </c>
      <c r="E1396">
        <v>9.1056999999999999E-2</v>
      </c>
      <c r="F1396">
        <v>10.981999999999999</v>
      </c>
      <c r="G1396">
        <v>655.87</v>
      </c>
      <c r="H1396">
        <v>1.4238999999999999</v>
      </c>
    </row>
    <row r="1397" spans="2:8" x14ac:dyDescent="0.25">
      <c r="B1397">
        <v>1.4288000000000001</v>
      </c>
      <c r="C1397">
        <v>85</v>
      </c>
      <c r="D1397">
        <v>30.3</v>
      </c>
      <c r="E1397">
        <v>9.0148000000000006E-2</v>
      </c>
      <c r="F1397">
        <v>11.093</v>
      </c>
      <c r="G1397">
        <v>658.55</v>
      </c>
      <c r="H1397">
        <v>1.4288000000000001</v>
      </c>
    </row>
    <row r="1398" spans="2:8" x14ac:dyDescent="0.25">
      <c r="B1398">
        <v>1.4337</v>
      </c>
      <c r="C1398">
        <v>90</v>
      </c>
      <c r="D1398">
        <v>30.3</v>
      </c>
      <c r="E1398">
        <v>8.9260000000000006E-2</v>
      </c>
      <c r="F1398">
        <v>11.202999999999999</v>
      </c>
      <c r="G1398">
        <v>661.23</v>
      </c>
      <c r="H1398">
        <v>1.4337</v>
      </c>
    </row>
    <row r="1399" spans="2:8" x14ac:dyDescent="0.25">
      <c r="B1399">
        <v>1.4384999999999999</v>
      </c>
      <c r="C1399">
        <v>95</v>
      </c>
      <c r="D1399">
        <v>30.3</v>
      </c>
      <c r="E1399">
        <v>8.8390999999999997E-2</v>
      </c>
      <c r="F1399">
        <v>11.313000000000001</v>
      </c>
      <c r="G1399">
        <v>663.9</v>
      </c>
      <c r="H1399">
        <v>1.4384999999999999</v>
      </c>
    </row>
    <row r="1400" spans="2:8" x14ac:dyDescent="0.25">
      <c r="B1400">
        <v>1.4433</v>
      </c>
      <c r="C1400">
        <v>100</v>
      </c>
      <c r="D1400">
        <v>30.3</v>
      </c>
      <c r="E1400">
        <v>8.7540999999999994E-2</v>
      </c>
      <c r="F1400">
        <v>11.423</v>
      </c>
      <c r="G1400">
        <v>666.57</v>
      </c>
      <c r="H1400">
        <v>1.4433</v>
      </c>
    </row>
    <row r="1401" spans="2:8" x14ac:dyDescent="0.25">
      <c r="B1401">
        <v>1.4480999999999999</v>
      </c>
      <c r="C1401">
        <v>105</v>
      </c>
      <c r="D1401">
        <v>30.3</v>
      </c>
      <c r="E1401">
        <v>8.6708999999999994E-2</v>
      </c>
      <c r="F1401">
        <v>11.532999999999999</v>
      </c>
      <c r="G1401">
        <v>669.24</v>
      </c>
      <c r="H1401">
        <v>1.4480999999999999</v>
      </c>
    </row>
    <row r="1402" spans="2:8" x14ac:dyDescent="0.25">
      <c r="B1402">
        <v>1.4528000000000001</v>
      </c>
      <c r="C1402">
        <v>110</v>
      </c>
      <c r="D1402">
        <v>30.3</v>
      </c>
      <c r="E1402">
        <v>8.5893999999999998E-2</v>
      </c>
      <c r="F1402">
        <v>11.641999999999999</v>
      </c>
      <c r="G1402">
        <v>671.9</v>
      </c>
      <c r="H1402">
        <v>1.4528000000000001</v>
      </c>
    </row>
    <row r="1403" spans="2:8" x14ac:dyDescent="0.25">
      <c r="B1403">
        <v>1.4574</v>
      </c>
      <c r="C1403">
        <v>115</v>
      </c>
      <c r="D1403">
        <v>30.3</v>
      </c>
      <c r="E1403">
        <v>8.5096000000000005E-2</v>
      </c>
      <c r="F1403">
        <v>11.750999999999999</v>
      </c>
      <c r="G1403">
        <v>674.56</v>
      </c>
      <c r="H1403">
        <v>1.4574</v>
      </c>
    </row>
    <row r="1404" spans="2:8" x14ac:dyDescent="0.25">
      <c r="B1404">
        <v>1.462</v>
      </c>
      <c r="C1404">
        <v>120</v>
      </c>
      <c r="D1404">
        <v>30.3</v>
      </c>
      <c r="E1404">
        <v>8.4314E-2</v>
      </c>
      <c r="F1404">
        <v>11.86</v>
      </c>
      <c r="G1404">
        <v>677.23</v>
      </c>
      <c r="H1404">
        <v>1.462</v>
      </c>
    </row>
    <row r="1405" spans="2:8" x14ac:dyDescent="0.25">
      <c r="B1405">
        <v>1.4665999999999999</v>
      </c>
      <c r="C1405">
        <v>125</v>
      </c>
      <c r="D1405">
        <v>30.3</v>
      </c>
      <c r="E1405">
        <v>8.3547999999999997E-2</v>
      </c>
      <c r="F1405">
        <v>11.968999999999999</v>
      </c>
      <c r="G1405">
        <v>679.89</v>
      </c>
      <c r="H1405">
        <v>1.4665999999999999</v>
      </c>
    </row>
    <row r="1406" spans="2:8" x14ac:dyDescent="0.25">
      <c r="B1406">
        <v>1.4711000000000001</v>
      </c>
      <c r="C1406">
        <v>130</v>
      </c>
      <c r="D1406">
        <v>30.3</v>
      </c>
      <c r="E1406">
        <v>8.2796999999999996E-2</v>
      </c>
      <c r="F1406">
        <v>12.077999999999999</v>
      </c>
      <c r="G1406">
        <v>682.55</v>
      </c>
      <c r="H1406">
        <v>1.4711000000000001</v>
      </c>
    </row>
    <row r="1407" spans="2:8" x14ac:dyDescent="0.25">
      <c r="B1407">
        <v>1.4756</v>
      </c>
      <c r="C1407">
        <v>135</v>
      </c>
      <c r="D1407">
        <v>30.3</v>
      </c>
      <c r="E1407">
        <v>8.2059999999999994E-2</v>
      </c>
      <c r="F1407">
        <v>12.186</v>
      </c>
      <c r="G1407">
        <v>685.22</v>
      </c>
      <c r="H1407">
        <v>1.4756</v>
      </c>
    </row>
    <row r="1408" spans="2:8" x14ac:dyDescent="0.25">
      <c r="B1408">
        <v>1.4801</v>
      </c>
      <c r="C1408">
        <v>140</v>
      </c>
      <c r="D1408">
        <v>30.3</v>
      </c>
      <c r="E1408">
        <v>8.1337999999999994E-2</v>
      </c>
      <c r="F1408">
        <v>12.294</v>
      </c>
      <c r="G1408">
        <v>687.88</v>
      </c>
      <c r="H1408">
        <v>1.4801</v>
      </c>
    </row>
    <row r="1409" spans="2:8" x14ac:dyDescent="0.25">
      <c r="B1409">
        <v>1.4844999999999999</v>
      </c>
      <c r="C1409">
        <v>145</v>
      </c>
      <c r="D1409">
        <v>30.3</v>
      </c>
      <c r="E1409">
        <v>8.0629000000000006E-2</v>
      </c>
      <c r="F1409">
        <v>12.403</v>
      </c>
      <c r="G1409">
        <v>690.55</v>
      </c>
      <c r="H1409">
        <v>1.4844999999999999</v>
      </c>
    </row>
    <row r="1410" spans="2:8" x14ac:dyDescent="0.25">
      <c r="B1410">
        <v>1.4888999999999999</v>
      </c>
      <c r="C1410">
        <v>150</v>
      </c>
      <c r="D1410">
        <v>30.3</v>
      </c>
      <c r="E1410">
        <v>7.9933000000000004E-2</v>
      </c>
      <c r="F1410">
        <v>12.51</v>
      </c>
      <c r="G1410">
        <v>693.21</v>
      </c>
      <c r="H1410">
        <v>1.4888999999999999</v>
      </c>
    </row>
    <row r="1411" spans="2:8" x14ac:dyDescent="0.25">
      <c r="B1411">
        <v>1.4933000000000001</v>
      </c>
      <c r="C1411">
        <v>155</v>
      </c>
      <c r="D1411">
        <v>30.3</v>
      </c>
      <c r="E1411">
        <v>7.9250000000000001E-2</v>
      </c>
      <c r="F1411">
        <v>12.618</v>
      </c>
      <c r="G1411">
        <v>695.88</v>
      </c>
      <c r="H1411">
        <v>1.4933000000000001</v>
      </c>
    </row>
    <row r="1412" spans="2:8" x14ac:dyDescent="0.25">
      <c r="B1412">
        <v>1.4976</v>
      </c>
      <c r="C1412">
        <v>160</v>
      </c>
      <c r="D1412">
        <v>30.3</v>
      </c>
      <c r="E1412">
        <v>7.8578999999999996E-2</v>
      </c>
      <c r="F1412">
        <v>12.726000000000001</v>
      </c>
      <c r="G1412">
        <v>698.55</v>
      </c>
      <c r="H1412">
        <v>1.4976</v>
      </c>
    </row>
    <row r="1413" spans="2:8" x14ac:dyDescent="0.25">
      <c r="B1413">
        <v>1.5019</v>
      </c>
      <c r="C1413">
        <v>165</v>
      </c>
      <c r="D1413">
        <v>30.3</v>
      </c>
      <c r="E1413">
        <v>7.7921000000000004E-2</v>
      </c>
      <c r="F1413">
        <v>12.834</v>
      </c>
      <c r="G1413">
        <v>701.22</v>
      </c>
      <c r="H1413">
        <v>1.5019</v>
      </c>
    </row>
    <row r="1414" spans="2:8" x14ac:dyDescent="0.25">
      <c r="B1414">
        <v>1.5062</v>
      </c>
      <c r="C1414">
        <v>170</v>
      </c>
      <c r="D1414">
        <v>30.3</v>
      </c>
      <c r="E1414">
        <v>7.7273999999999995E-2</v>
      </c>
      <c r="F1414">
        <v>12.941000000000001</v>
      </c>
      <c r="G1414">
        <v>703.9</v>
      </c>
      <c r="H1414">
        <v>1.5062</v>
      </c>
    </row>
    <row r="1415" spans="2:8" x14ac:dyDescent="0.25">
      <c r="B1415">
        <v>1.5104</v>
      </c>
      <c r="C1415">
        <v>175</v>
      </c>
      <c r="D1415">
        <v>30.3</v>
      </c>
      <c r="E1415">
        <v>7.6637999999999998E-2</v>
      </c>
      <c r="F1415">
        <v>13.048</v>
      </c>
      <c r="G1415">
        <v>706.57</v>
      </c>
      <c r="H1415">
        <v>1.5104</v>
      </c>
    </row>
    <row r="1416" spans="2:8" x14ac:dyDescent="0.25">
      <c r="B1416">
        <v>1.5145999999999999</v>
      </c>
      <c r="C1416">
        <v>180</v>
      </c>
      <c r="D1416">
        <v>30.3</v>
      </c>
      <c r="E1416">
        <v>7.6013999999999998E-2</v>
      </c>
      <c r="F1416">
        <v>13.156000000000001</v>
      </c>
      <c r="G1416">
        <v>709.25</v>
      </c>
      <c r="H1416">
        <v>1.5145999999999999</v>
      </c>
    </row>
    <row r="1417" spans="2:8" x14ac:dyDescent="0.25">
      <c r="B1417">
        <v>1.5187999999999999</v>
      </c>
      <c r="C1417">
        <v>185</v>
      </c>
      <c r="D1417">
        <v>30.3</v>
      </c>
      <c r="E1417">
        <v>7.5399999999999995E-2</v>
      </c>
      <c r="F1417">
        <v>13.263</v>
      </c>
      <c r="G1417">
        <v>711.94</v>
      </c>
      <c r="H1417">
        <v>1.5187999999999999</v>
      </c>
    </row>
    <row r="1418" spans="2:8" x14ac:dyDescent="0.25">
      <c r="B1418">
        <v>1.5228999999999999</v>
      </c>
      <c r="C1418">
        <v>190</v>
      </c>
      <c r="D1418">
        <v>30.3</v>
      </c>
      <c r="E1418">
        <v>7.4796000000000001E-2</v>
      </c>
      <c r="F1418">
        <v>13.37</v>
      </c>
      <c r="G1418">
        <v>714.62</v>
      </c>
      <c r="H1418">
        <v>1.5228999999999999</v>
      </c>
    </row>
    <row r="1419" spans="2:8" x14ac:dyDescent="0.25">
      <c r="B1419">
        <v>1.5270999999999999</v>
      </c>
      <c r="C1419">
        <v>195</v>
      </c>
      <c r="D1419">
        <v>30.3</v>
      </c>
      <c r="E1419">
        <v>7.4203000000000005E-2</v>
      </c>
      <c r="F1419">
        <v>13.477</v>
      </c>
      <c r="G1419">
        <v>717.31</v>
      </c>
      <c r="H1419">
        <v>1.5270999999999999</v>
      </c>
    </row>
    <row r="1420" spans="2:8" x14ac:dyDescent="0.25">
      <c r="B1420">
        <v>1.5311999999999999</v>
      </c>
      <c r="C1420">
        <v>200</v>
      </c>
      <c r="D1420">
        <v>30.3</v>
      </c>
      <c r="E1420">
        <v>7.3619000000000004E-2</v>
      </c>
      <c r="F1420">
        <v>13.583</v>
      </c>
      <c r="G1420">
        <v>720.01</v>
      </c>
      <c r="H1420">
        <v>1.5311999999999999</v>
      </c>
    </row>
    <row r="1421" spans="2:8" x14ac:dyDescent="0.25">
      <c r="B1421">
        <v>1.5351999999999999</v>
      </c>
      <c r="C1421">
        <v>205</v>
      </c>
      <c r="D1421">
        <v>30.3</v>
      </c>
      <c r="E1421">
        <v>7.3044999999999999E-2</v>
      </c>
      <c r="F1421">
        <v>13.69</v>
      </c>
      <c r="G1421">
        <v>722.71</v>
      </c>
      <c r="H1421">
        <v>1.5351999999999999</v>
      </c>
    </row>
    <row r="1422" spans="2:8" x14ac:dyDescent="0.25">
      <c r="B1422">
        <v>1.5392999999999999</v>
      </c>
      <c r="C1422">
        <v>210</v>
      </c>
      <c r="D1422">
        <v>30.3</v>
      </c>
      <c r="E1422">
        <v>7.2481000000000004E-2</v>
      </c>
      <c r="F1422">
        <v>13.797000000000001</v>
      </c>
      <c r="G1422">
        <v>725.41</v>
      </c>
      <c r="H1422">
        <v>1.5392999999999999</v>
      </c>
    </row>
    <row r="1423" spans="2:8" x14ac:dyDescent="0.25">
      <c r="B1423">
        <v>1.5432999999999999</v>
      </c>
      <c r="C1423">
        <v>215</v>
      </c>
      <c r="D1423">
        <v>30.3</v>
      </c>
      <c r="E1423">
        <v>7.1925000000000003E-2</v>
      </c>
      <c r="F1423">
        <v>13.903</v>
      </c>
      <c r="G1423">
        <v>728.11</v>
      </c>
      <c r="H1423">
        <v>1.5432999999999999</v>
      </c>
    </row>
    <row r="1424" spans="2:8" x14ac:dyDescent="0.25">
      <c r="B1424">
        <v>1.5472999999999999</v>
      </c>
      <c r="C1424">
        <v>220</v>
      </c>
      <c r="D1424">
        <v>30.3</v>
      </c>
      <c r="E1424">
        <v>7.1377999999999997E-2</v>
      </c>
      <c r="F1424">
        <v>14.01</v>
      </c>
      <c r="G1424">
        <v>730.82</v>
      </c>
      <c r="H1424">
        <v>1.5472999999999999</v>
      </c>
    </row>
    <row r="1425" spans="2:8" x14ac:dyDescent="0.25">
      <c r="B1425">
        <v>1.5512999999999999</v>
      </c>
      <c r="C1425">
        <v>225</v>
      </c>
      <c r="D1425">
        <v>30.3</v>
      </c>
      <c r="E1425">
        <v>7.084E-2</v>
      </c>
      <c r="F1425">
        <v>14.116</v>
      </c>
      <c r="G1425">
        <v>733.54</v>
      </c>
      <c r="H1425">
        <v>1.5512999999999999</v>
      </c>
    </row>
    <row r="1426" spans="2:8" x14ac:dyDescent="0.25">
      <c r="B1426">
        <v>1.5551999999999999</v>
      </c>
      <c r="C1426">
        <v>230</v>
      </c>
      <c r="D1426">
        <v>30.3</v>
      </c>
      <c r="E1426">
        <v>7.0309999999999997E-2</v>
      </c>
      <c r="F1426">
        <v>14.223000000000001</v>
      </c>
      <c r="G1426">
        <v>736.25</v>
      </c>
      <c r="H1426">
        <v>1.5551999999999999</v>
      </c>
    </row>
    <row r="1427" spans="2:8" x14ac:dyDescent="0.25">
      <c r="B1427">
        <v>1.5591999999999999</v>
      </c>
      <c r="C1427">
        <v>235</v>
      </c>
      <c r="D1427">
        <v>30.3</v>
      </c>
      <c r="E1427">
        <v>6.9789000000000004E-2</v>
      </c>
      <c r="F1427">
        <v>14.329000000000001</v>
      </c>
      <c r="G1427">
        <v>738.98</v>
      </c>
      <c r="H1427">
        <v>1.5591999999999999</v>
      </c>
    </row>
    <row r="1428" spans="2:8" x14ac:dyDescent="0.25">
      <c r="B1428">
        <v>1.5630999999999999</v>
      </c>
      <c r="C1428">
        <v>240</v>
      </c>
      <c r="D1428">
        <v>30.3</v>
      </c>
      <c r="E1428">
        <v>6.9275000000000003E-2</v>
      </c>
      <c r="F1428">
        <v>14.435</v>
      </c>
      <c r="G1428">
        <v>741.71</v>
      </c>
      <c r="H1428">
        <v>1.5630999999999999</v>
      </c>
    </row>
    <row r="1429" spans="2:8" x14ac:dyDescent="0.25">
      <c r="B1429">
        <v>1.5669999999999999</v>
      </c>
      <c r="C1429">
        <v>245</v>
      </c>
      <c r="D1429">
        <v>30.3</v>
      </c>
      <c r="E1429">
        <v>6.8768999999999997E-2</v>
      </c>
      <c r="F1429">
        <v>14.541</v>
      </c>
      <c r="G1429">
        <v>744.44</v>
      </c>
      <c r="H1429">
        <v>1.5669999999999999</v>
      </c>
    </row>
    <row r="1430" spans="2:8" x14ac:dyDescent="0.25">
      <c r="B1430">
        <v>1.5708</v>
      </c>
      <c r="C1430">
        <v>250</v>
      </c>
      <c r="D1430">
        <v>30.3</v>
      </c>
      <c r="E1430">
        <v>6.8270999999999998E-2</v>
      </c>
      <c r="F1430">
        <v>14.647</v>
      </c>
      <c r="G1430">
        <v>747.18</v>
      </c>
      <c r="H1430">
        <v>1.5708</v>
      </c>
    </row>
    <row r="1431" spans="2:8" x14ac:dyDescent="0.25">
      <c r="B1431">
        <v>1.5747</v>
      </c>
      <c r="C1431">
        <v>255</v>
      </c>
      <c r="D1431">
        <v>30.3</v>
      </c>
      <c r="E1431">
        <v>6.7780000000000007E-2</v>
      </c>
      <c r="F1431">
        <v>14.754</v>
      </c>
      <c r="G1431">
        <v>749.92</v>
      </c>
      <c r="H1431">
        <v>1.5747</v>
      </c>
    </row>
    <row r="1432" spans="2:8" x14ac:dyDescent="0.25">
      <c r="B1432">
        <v>1.5785</v>
      </c>
      <c r="C1432">
        <v>260</v>
      </c>
      <c r="D1432">
        <v>30.3</v>
      </c>
      <c r="E1432">
        <v>6.7296999999999996E-2</v>
      </c>
      <c r="F1432">
        <v>14.86</v>
      </c>
      <c r="G1432">
        <v>752.67</v>
      </c>
      <c r="H1432">
        <v>1.5785</v>
      </c>
    </row>
    <row r="1433" spans="2:8" x14ac:dyDescent="0.25">
      <c r="B1433">
        <v>1.5823</v>
      </c>
      <c r="C1433">
        <v>265</v>
      </c>
      <c r="D1433">
        <v>30.3</v>
      </c>
      <c r="E1433">
        <v>6.6821000000000005E-2</v>
      </c>
      <c r="F1433">
        <v>14.965</v>
      </c>
      <c r="G1433">
        <v>755.42</v>
      </c>
      <c r="H1433">
        <v>1.5823</v>
      </c>
    </row>
    <row r="1434" spans="2:8" x14ac:dyDescent="0.25">
      <c r="B1434">
        <v>1.5861000000000001</v>
      </c>
      <c r="C1434">
        <v>270</v>
      </c>
      <c r="D1434">
        <v>30.3</v>
      </c>
      <c r="E1434">
        <v>6.6350999999999993E-2</v>
      </c>
      <c r="F1434">
        <v>15.071</v>
      </c>
      <c r="G1434">
        <v>758.18</v>
      </c>
      <c r="H1434">
        <v>1.5861000000000001</v>
      </c>
    </row>
    <row r="1435" spans="2:8" x14ac:dyDescent="0.25">
      <c r="B1435">
        <v>1.5899000000000001</v>
      </c>
      <c r="C1435">
        <v>275</v>
      </c>
      <c r="D1435">
        <v>30.3</v>
      </c>
      <c r="E1435">
        <v>6.5888000000000002E-2</v>
      </c>
      <c r="F1435">
        <v>15.177</v>
      </c>
      <c r="G1435">
        <v>760.94</v>
      </c>
      <c r="H1435">
        <v>1.5899000000000001</v>
      </c>
    </row>
    <row r="1436" spans="2:8" x14ac:dyDescent="0.25">
      <c r="B1436">
        <v>1.5936999999999999</v>
      </c>
      <c r="C1436">
        <v>280</v>
      </c>
      <c r="D1436">
        <v>30.3</v>
      </c>
      <c r="E1436">
        <v>6.5432000000000004E-2</v>
      </c>
      <c r="F1436">
        <v>15.282999999999999</v>
      </c>
      <c r="G1436">
        <v>763.71</v>
      </c>
      <c r="H1436">
        <v>1.5936999999999999</v>
      </c>
    </row>
    <row r="1437" spans="2:8" x14ac:dyDescent="0.25">
      <c r="B1437">
        <v>1.5973999999999999</v>
      </c>
      <c r="C1437">
        <v>285</v>
      </c>
      <c r="D1437">
        <v>30.3</v>
      </c>
      <c r="E1437">
        <v>6.4982999999999999E-2</v>
      </c>
      <c r="F1437">
        <v>15.388999999999999</v>
      </c>
      <c r="G1437">
        <v>766.48</v>
      </c>
      <c r="H1437">
        <v>1.5973999999999999</v>
      </c>
    </row>
    <row r="1438" spans="2:8" x14ac:dyDescent="0.25">
      <c r="B1438">
        <v>1.6011</v>
      </c>
      <c r="C1438">
        <v>290</v>
      </c>
      <c r="D1438">
        <v>30.3</v>
      </c>
      <c r="E1438">
        <v>6.4538999999999999E-2</v>
      </c>
      <c r="F1438">
        <v>15.494</v>
      </c>
      <c r="G1438">
        <v>769.26</v>
      </c>
      <c r="H1438">
        <v>1.6011</v>
      </c>
    </row>
    <row r="1439" spans="2:8" x14ac:dyDescent="0.25">
      <c r="B1439">
        <v>1.6048</v>
      </c>
      <c r="C1439">
        <v>295</v>
      </c>
      <c r="D1439">
        <v>30.3</v>
      </c>
      <c r="E1439">
        <v>6.4102000000000006E-2</v>
      </c>
      <c r="F1439">
        <v>15.6</v>
      </c>
      <c r="G1439">
        <v>772.05</v>
      </c>
      <c r="H1439">
        <v>1.6048</v>
      </c>
    </row>
    <row r="1440" spans="2:8" x14ac:dyDescent="0.25">
      <c r="B1440">
        <v>1.6085</v>
      </c>
      <c r="C1440">
        <v>300</v>
      </c>
      <c r="D1440">
        <v>30.3</v>
      </c>
      <c r="E1440">
        <v>6.3671000000000005E-2</v>
      </c>
      <c r="F1440">
        <v>15.706</v>
      </c>
      <c r="G1440">
        <v>774.84</v>
      </c>
      <c r="H1440">
        <v>1.6085</v>
      </c>
    </row>
    <row r="1442" spans="1:8" x14ac:dyDescent="0.25">
      <c r="A1442">
        <v>31.8</v>
      </c>
      <c r="B1442">
        <v>-2.5441999999999999E-2</v>
      </c>
      <c r="C1442">
        <v>-50</v>
      </c>
      <c r="D1442">
        <v>31.8</v>
      </c>
      <c r="E1442">
        <v>43.506</v>
      </c>
      <c r="F1442">
        <v>2.2984999999999998E-2</v>
      </c>
      <c r="G1442">
        <v>-10.458</v>
      </c>
      <c r="H1442">
        <v>-2.5441999999999999E-2</v>
      </c>
    </row>
    <row r="1443" spans="1:8" x14ac:dyDescent="0.25">
      <c r="B1443">
        <v>-1.2711E-2</v>
      </c>
      <c r="C1443">
        <v>-45</v>
      </c>
      <c r="D1443">
        <v>31.8</v>
      </c>
      <c r="E1443">
        <v>43.298999999999999</v>
      </c>
      <c r="F1443">
        <v>2.3095000000000001E-2</v>
      </c>
      <c r="G1443">
        <v>-5.2107999999999999</v>
      </c>
      <c r="H1443">
        <v>-1.2711E-2</v>
      </c>
    </row>
    <row r="1444" spans="1:8" x14ac:dyDescent="0.25">
      <c r="B1444">
        <v>-8.9914999999999995E-5</v>
      </c>
      <c r="C1444">
        <v>-40</v>
      </c>
      <c r="D1444">
        <v>31.8</v>
      </c>
      <c r="E1444">
        <v>43.088999999999999</v>
      </c>
      <c r="F1444">
        <v>2.3207999999999999E-2</v>
      </c>
      <c r="G1444">
        <v>5.4244000000000001E-2</v>
      </c>
      <c r="H1444">
        <v>-8.9914999999999995E-5</v>
      </c>
    </row>
    <row r="1445" spans="1:8" x14ac:dyDescent="0.25">
      <c r="B1445">
        <v>1.2423E-2</v>
      </c>
      <c r="C1445">
        <v>-35</v>
      </c>
      <c r="D1445">
        <v>31.8</v>
      </c>
      <c r="E1445">
        <v>42.877000000000002</v>
      </c>
      <c r="F1445">
        <v>2.3321999999999999E-2</v>
      </c>
      <c r="G1445">
        <v>5.3365999999999998</v>
      </c>
      <c r="H1445">
        <v>1.2423E-2</v>
      </c>
    </row>
    <row r="1446" spans="1:8" x14ac:dyDescent="0.25">
      <c r="B1446">
        <v>2.4829E-2</v>
      </c>
      <c r="C1446">
        <v>-30</v>
      </c>
      <c r="D1446">
        <v>31.8</v>
      </c>
      <c r="E1446">
        <v>42.664000000000001</v>
      </c>
      <c r="F1446">
        <v>2.3439000000000002E-2</v>
      </c>
      <c r="G1446">
        <v>10.635999999999999</v>
      </c>
      <c r="H1446">
        <v>2.4829E-2</v>
      </c>
    </row>
    <row r="1447" spans="1:8" x14ac:dyDescent="0.25">
      <c r="B1447">
        <v>3.7130000000000003E-2</v>
      </c>
      <c r="C1447">
        <v>-25</v>
      </c>
      <c r="D1447">
        <v>31.8</v>
      </c>
      <c r="E1447">
        <v>42.448999999999998</v>
      </c>
      <c r="F1447">
        <v>2.3557999999999999E-2</v>
      </c>
      <c r="G1447">
        <v>15.952</v>
      </c>
      <c r="H1447">
        <v>3.7130000000000003E-2</v>
      </c>
    </row>
    <row r="1448" spans="1:8" x14ac:dyDescent="0.25">
      <c r="B1448">
        <v>4.9328999999999998E-2</v>
      </c>
      <c r="C1448">
        <v>-20</v>
      </c>
      <c r="D1448">
        <v>31.8</v>
      </c>
      <c r="E1448">
        <v>42.231999999999999</v>
      </c>
      <c r="F1448">
        <v>2.3678999999999999E-2</v>
      </c>
      <c r="G1448">
        <v>21.285</v>
      </c>
      <c r="H1448">
        <v>4.9328999999999998E-2</v>
      </c>
    </row>
    <row r="1449" spans="1:8" x14ac:dyDescent="0.25">
      <c r="B1449">
        <v>6.1428000000000003E-2</v>
      </c>
      <c r="C1449">
        <v>-15</v>
      </c>
      <c r="D1449">
        <v>31.8</v>
      </c>
      <c r="E1449">
        <v>42.012999999999998</v>
      </c>
      <c r="F1449">
        <v>2.3802E-2</v>
      </c>
      <c r="G1449">
        <v>26.635000000000002</v>
      </c>
      <c r="H1449">
        <v>6.1428000000000003E-2</v>
      </c>
    </row>
    <row r="1450" spans="1:8" x14ac:dyDescent="0.25">
      <c r="B1450">
        <v>7.3427999999999993E-2</v>
      </c>
      <c r="C1450">
        <v>-10</v>
      </c>
      <c r="D1450">
        <v>31.8</v>
      </c>
      <c r="E1450">
        <v>41.792000000000002</v>
      </c>
      <c r="F1450">
        <v>2.3928000000000001E-2</v>
      </c>
      <c r="G1450">
        <v>32.000999999999998</v>
      </c>
      <c r="H1450">
        <v>7.3427999999999993E-2</v>
      </c>
    </row>
    <row r="1451" spans="1:8" x14ac:dyDescent="0.25">
      <c r="B1451">
        <v>8.5332000000000005E-2</v>
      </c>
      <c r="C1451">
        <v>-5</v>
      </c>
      <c r="D1451">
        <v>31.8</v>
      </c>
      <c r="E1451">
        <v>41.569000000000003</v>
      </c>
      <c r="F1451">
        <v>2.4056000000000001E-2</v>
      </c>
      <c r="G1451">
        <v>37.384</v>
      </c>
      <c r="H1451">
        <v>8.5332000000000005E-2</v>
      </c>
    </row>
    <row r="1452" spans="1:8" x14ac:dyDescent="0.25">
      <c r="B1452">
        <v>9.7141000000000005E-2</v>
      </c>
      <c r="C1452">
        <v>0</v>
      </c>
      <c r="D1452">
        <v>31.8</v>
      </c>
      <c r="E1452">
        <v>41.344000000000001</v>
      </c>
      <c r="F1452">
        <v>2.4187E-2</v>
      </c>
      <c r="G1452">
        <v>42.781999999999996</v>
      </c>
      <c r="H1452">
        <v>9.7141000000000005E-2</v>
      </c>
    </row>
    <row r="1453" spans="1:8" x14ac:dyDescent="0.25">
      <c r="B1453">
        <v>1.3347</v>
      </c>
      <c r="C1453">
        <v>5</v>
      </c>
      <c r="D1453">
        <v>31.8</v>
      </c>
      <c r="E1453">
        <v>0.11351</v>
      </c>
      <c r="F1453">
        <v>8.8096999999999994</v>
      </c>
      <c r="G1453">
        <v>613.98</v>
      </c>
      <c r="H1453">
        <v>1.3347</v>
      </c>
    </row>
    <row r="1454" spans="1:8" x14ac:dyDescent="0.25">
      <c r="B1454">
        <v>1.3409</v>
      </c>
      <c r="C1454">
        <v>10</v>
      </c>
      <c r="D1454">
        <v>31.8</v>
      </c>
      <c r="E1454">
        <v>0.11206000000000001</v>
      </c>
      <c r="F1454">
        <v>8.9238999999999997</v>
      </c>
      <c r="G1454">
        <v>616.89</v>
      </c>
      <c r="H1454">
        <v>1.3409</v>
      </c>
    </row>
    <row r="1455" spans="1:8" x14ac:dyDescent="0.25">
      <c r="B1455">
        <v>1.347</v>
      </c>
      <c r="C1455">
        <v>15</v>
      </c>
      <c r="D1455">
        <v>31.8</v>
      </c>
      <c r="E1455">
        <v>0.11065</v>
      </c>
      <c r="F1455">
        <v>9.0373000000000001</v>
      </c>
      <c r="G1455">
        <v>619.77</v>
      </c>
      <c r="H1455">
        <v>1.347</v>
      </c>
    </row>
    <row r="1456" spans="1:8" x14ac:dyDescent="0.25">
      <c r="B1456">
        <v>1.353</v>
      </c>
      <c r="C1456">
        <v>20</v>
      </c>
      <c r="D1456">
        <v>31.8</v>
      </c>
      <c r="E1456">
        <v>0.10929</v>
      </c>
      <c r="F1456">
        <v>9.1496999999999993</v>
      </c>
      <c r="G1456">
        <v>622.62</v>
      </c>
      <c r="H1456">
        <v>1.353</v>
      </c>
    </row>
    <row r="1457" spans="2:8" x14ac:dyDescent="0.25">
      <c r="B1457">
        <v>1.3589</v>
      </c>
      <c r="C1457">
        <v>25</v>
      </c>
      <c r="D1457">
        <v>31.8</v>
      </c>
      <c r="E1457">
        <v>0.10797</v>
      </c>
      <c r="F1457">
        <v>9.2614000000000001</v>
      </c>
      <c r="G1457">
        <v>625.45000000000005</v>
      </c>
      <c r="H1457">
        <v>1.3589</v>
      </c>
    </row>
    <row r="1458" spans="2:8" x14ac:dyDescent="0.25">
      <c r="B1458">
        <v>1.3646</v>
      </c>
      <c r="C1458">
        <v>30</v>
      </c>
      <c r="D1458">
        <v>31.8</v>
      </c>
      <c r="E1458">
        <v>0.1067</v>
      </c>
      <c r="F1458">
        <v>9.3724000000000007</v>
      </c>
      <c r="G1458">
        <v>628.25</v>
      </c>
      <c r="H1458">
        <v>1.3646</v>
      </c>
    </row>
    <row r="1459" spans="2:8" x14ac:dyDescent="0.25">
      <c r="B1459">
        <v>1.3703000000000001</v>
      </c>
      <c r="C1459">
        <v>35</v>
      </c>
      <c r="D1459">
        <v>31.8</v>
      </c>
      <c r="E1459">
        <v>0.10546</v>
      </c>
      <c r="F1459">
        <v>9.4826999999999995</v>
      </c>
      <c r="G1459">
        <v>631.04</v>
      </c>
      <c r="H1459">
        <v>1.3703000000000001</v>
      </c>
    </row>
    <row r="1460" spans="2:8" x14ac:dyDescent="0.25">
      <c r="B1460">
        <v>1.3758999999999999</v>
      </c>
      <c r="C1460">
        <v>40</v>
      </c>
      <c r="D1460">
        <v>31.8</v>
      </c>
      <c r="E1460">
        <v>0.10425</v>
      </c>
      <c r="F1460">
        <v>9.5923999999999996</v>
      </c>
      <c r="G1460">
        <v>633.82000000000005</v>
      </c>
      <c r="H1460">
        <v>1.3758999999999999</v>
      </c>
    </row>
    <row r="1461" spans="2:8" x14ac:dyDescent="0.25">
      <c r="B1461">
        <v>1.3814</v>
      </c>
      <c r="C1461">
        <v>45</v>
      </c>
      <c r="D1461">
        <v>31.8</v>
      </c>
      <c r="E1461">
        <v>0.10308</v>
      </c>
      <c r="F1461">
        <v>9.7014999999999993</v>
      </c>
      <c r="G1461">
        <v>636.58000000000004</v>
      </c>
      <c r="H1461">
        <v>1.3814</v>
      </c>
    </row>
    <row r="1462" spans="2:8" x14ac:dyDescent="0.25">
      <c r="B1462">
        <v>1.3868</v>
      </c>
      <c r="C1462">
        <v>50</v>
      </c>
      <c r="D1462">
        <v>31.8</v>
      </c>
      <c r="E1462">
        <v>0.10194</v>
      </c>
      <c r="F1462">
        <v>9.8101000000000003</v>
      </c>
      <c r="G1462">
        <v>639.32000000000005</v>
      </c>
      <c r="H1462">
        <v>1.3868</v>
      </c>
    </row>
    <row r="1463" spans="2:8" x14ac:dyDescent="0.25">
      <c r="B1463">
        <v>1.3920999999999999</v>
      </c>
      <c r="C1463">
        <v>55</v>
      </c>
      <c r="D1463">
        <v>31.8</v>
      </c>
      <c r="E1463">
        <v>0.10083</v>
      </c>
      <c r="F1463">
        <v>9.9182000000000006</v>
      </c>
      <c r="G1463">
        <v>642.05999999999995</v>
      </c>
      <c r="H1463">
        <v>1.3920999999999999</v>
      </c>
    </row>
    <row r="1464" spans="2:8" x14ac:dyDescent="0.25">
      <c r="B1464">
        <v>1.3974</v>
      </c>
      <c r="C1464">
        <v>60</v>
      </c>
      <c r="D1464">
        <v>31.8</v>
      </c>
      <c r="E1464">
        <v>9.9742999999999998E-2</v>
      </c>
      <c r="F1464">
        <v>10.026</v>
      </c>
      <c r="G1464">
        <v>644.78</v>
      </c>
      <c r="H1464">
        <v>1.3974</v>
      </c>
    </row>
    <row r="1465" spans="2:8" x14ac:dyDescent="0.25">
      <c r="B1465">
        <v>1.4026000000000001</v>
      </c>
      <c r="C1465">
        <v>65</v>
      </c>
      <c r="D1465">
        <v>31.8</v>
      </c>
      <c r="E1465">
        <v>9.8686999999999997E-2</v>
      </c>
      <c r="F1465">
        <v>10.132999999999999</v>
      </c>
      <c r="G1465">
        <v>647.5</v>
      </c>
      <c r="H1465">
        <v>1.4026000000000001</v>
      </c>
    </row>
    <row r="1466" spans="2:8" x14ac:dyDescent="0.25">
      <c r="B1466">
        <v>1.4077</v>
      </c>
      <c r="C1466">
        <v>70</v>
      </c>
      <c r="D1466">
        <v>31.8</v>
      </c>
      <c r="E1466">
        <v>9.7657999999999995E-2</v>
      </c>
      <c r="F1466">
        <v>10.24</v>
      </c>
      <c r="G1466">
        <v>650.21</v>
      </c>
      <c r="H1466">
        <v>1.4077</v>
      </c>
    </row>
    <row r="1467" spans="2:8" x14ac:dyDescent="0.25">
      <c r="B1467">
        <v>1.4128000000000001</v>
      </c>
      <c r="C1467">
        <v>75</v>
      </c>
      <c r="D1467">
        <v>31.8</v>
      </c>
      <c r="E1467">
        <v>9.6653000000000003E-2</v>
      </c>
      <c r="F1467">
        <v>10.346</v>
      </c>
      <c r="G1467">
        <v>652.91</v>
      </c>
      <c r="H1467">
        <v>1.4128000000000001</v>
      </c>
    </row>
    <row r="1468" spans="2:8" x14ac:dyDescent="0.25">
      <c r="B1468">
        <v>1.4177999999999999</v>
      </c>
      <c r="C1468">
        <v>80</v>
      </c>
      <c r="D1468">
        <v>31.8</v>
      </c>
      <c r="E1468">
        <v>9.5671000000000006E-2</v>
      </c>
      <c r="F1468">
        <v>10.452</v>
      </c>
      <c r="G1468">
        <v>655.6</v>
      </c>
      <c r="H1468">
        <v>1.4177999999999999</v>
      </c>
    </row>
    <row r="1469" spans="2:8" x14ac:dyDescent="0.25">
      <c r="B1469">
        <v>1.4228000000000001</v>
      </c>
      <c r="C1469">
        <v>85</v>
      </c>
      <c r="D1469">
        <v>31.8</v>
      </c>
      <c r="E1469">
        <v>9.4712000000000005E-2</v>
      </c>
      <c r="F1469">
        <v>10.558</v>
      </c>
      <c r="G1469">
        <v>658.29</v>
      </c>
      <c r="H1469">
        <v>1.4228000000000001</v>
      </c>
    </row>
    <row r="1470" spans="2:8" x14ac:dyDescent="0.25">
      <c r="B1470">
        <v>1.4277</v>
      </c>
      <c r="C1470">
        <v>90</v>
      </c>
      <c r="D1470">
        <v>31.8</v>
      </c>
      <c r="E1470">
        <v>9.3774999999999997E-2</v>
      </c>
      <c r="F1470">
        <v>10.664</v>
      </c>
      <c r="G1470">
        <v>660.97</v>
      </c>
      <c r="H1470">
        <v>1.4277</v>
      </c>
    </row>
    <row r="1471" spans="2:8" x14ac:dyDescent="0.25">
      <c r="B1471">
        <v>1.4326000000000001</v>
      </c>
      <c r="C1471">
        <v>95</v>
      </c>
      <c r="D1471">
        <v>31.8</v>
      </c>
      <c r="E1471">
        <v>9.2858999999999997E-2</v>
      </c>
      <c r="F1471">
        <v>10.769</v>
      </c>
      <c r="G1471">
        <v>663.65</v>
      </c>
      <c r="H1471">
        <v>1.4326000000000001</v>
      </c>
    </row>
    <row r="1472" spans="2:8" x14ac:dyDescent="0.25">
      <c r="B1472">
        <v>1.4374</v>
      </c>
      <c r="C1472">
        <v>100</v>
      </c>
      <c r="D1472">
        <v>31.8</v>
      </c>
      <c r="E1472">
        <v>9.1962000000000002E-2</v>
      </c>
      <c r="F1472">
        <v>10.874000000000001</v>
      </c>
      <c r="G1472">
        <v>666.33</v>
      </c>
      <c r="H1472">
        <v>1.4374</v>
      </c>
    </row>
    <row r="1473" spans="2:8" x14ac:dyDescent="0.25">
      <c r="B1473">
        <v>1.4420999999999999</v>
      </c>
      <c r="C1473">
        <v>105</v>
      </c>
      <c r="D1473">
        <v>31.8</v>
      </c>
      <c r="E1473">
        <v>9.1084999999999999E-2</v>
      </c>
      <c r="F1473">
        <v>10.978999999999999</v>
      </c>
      <c r="G1473">
        <v>669</v>
      </c>
      <c r="H1473">
        <v>1.4420999999999999</v>
      </c>
    </row>
    <row r="1474" spans="2:8" x14ac:dyDescent="0.25">
      <c r="B1474">
        <v>1.4468000000000001</v>
      </c>
      <c r="C1474">
        <v>110</v>
      </c>
      <c r="D1474">
        <v>31.8</v>
      </c>
      <c r="E1474">
        <v>9.0226000000000001E-2</v>
      </c>
      <c r="F1474">
        <v>11.083</v>
      </c>
      <c r="G1474">
        <v>671.68</v>
      </c>
      <c r="H1474">
        <v>1.4468000000000001</v>
      </c>
    </row>
    <row r="1475" spans="2:8" x14ac:dyDescent="0.25">
      <c r="B1475">
        <v>1.4515</v>
      </c>
      <c r="C1475">
        <v>115</v>
      </c>
      <c r="D1475">
        <v>31.8</v>
      </c>
      <c r="E1475">
        <v>8.9385000000000006E-2</v>
      </c>
      <c r="F1475">
        <v>11.188000000000001</v>
      </c>
      <c r="G1475">
        <v>674.35</v>
      </c>
      <c r="H1475">
        <v>1.4515</v>
      </c>
    </row>
    <row r="1476" spans="2:8" x14ac:dyDescent="0.25">
      <c r="B1476">
        <v>1.4560999999999999</v>
      </c>
      <c r="C1476">
        <v>120</v>
      </c>
      <c r="D1476">
        <v>31.8</v>
      </c>
      <c r="E1476">
        <v>8.8561000000000001E-2</v>
      </c>
      <c r="F1476">
        <v>11.292</v>
      </c>
      <c r="G1476">
        <v>677.02</v>
      </c>
      <c r="H1476">
        <v>1.4560999999999999</v>
      </c>
    </row>
    <row r="1477" spans="2:8" x14ac:dyDescent="0.25">
      <c r="B1477">
        <v>1.4607000000000001</v>
      </c>
      <c r="C1477">
        <v>125</v>
      </c>
      <c r="D1477">
        <v>31.8</v>
      </c>
      <c r="E1477">
        <v>8.7753999999999999E-2</v>
      </c>
      <c r="F1477">
        <v>11.395</v>
      </c>
      <c r="G1477">
        <v>679.68</v>
      </c>
      <c r="H1477">
        <v>1.4607000000000001</v>
      </c>
    </row>
    <row r="1478" spans="2:8" x14ac:dyDescent="0.25">
      <c r="B1478">
        <v>1.4652000000000001</v>
      </c>
      <c r="C1478">
        <v>130</v>
      </c>
      <c r="D1478">
        <v>31.8</v>
      </c>
      <c r="E1478">
        <v>8.6962999999999999E-2</v>
      </c>
      <c r="F1478">
        <v>11.499000000000001</v>
      </c>
      <c r="G1478">
        <v>682.35</v>
      </c>
      <c r="H1478">
        <v>1.4652000000000001</v>
      </c>
    </row>
    <row r="1479" spans="2:8" x14ac:dyDescent="0.25">
      <c r="B1479">
        <v>1.4698</v>
      </c>
      <c r="C1479">
        <v>135</v>
      </c>
      <c r="D1479">
        <v>31.8</v>
      </c>
      <c r="E1479">
        <v>8.6187E-2</v>
      </c>
      <c r="F1479">
        <v>11.603</v>
      </c>
      <c r="G1479">
        <v>685.02</v>
      </c>
      <c r="H1479">
        <v>1.4698</v>
      </c>
    </row>
    <row r="1480" spans="2:8" x14ac:dyDescent="0.25">
      <c r="B1480">
        <v>1.4742</v>
      </c>
      <c r="C1480">
        <v>140</v>
      </c>
      <c r="D1480">
        <v>31.8</v>
      </c>
      <c r="E1480">
        <v>8.5426000000000002E-2</v>
      </c>
      <c r="F1480">
        <v>11.706</v>
      </c>
      <c r="G1480">
        <v>687.69</v>
      </c>
      <c r="H1480">
        <v>1.4742</v>
      </c>
    </row>
    <row r="1481" spans="2:8" x14ac:dyDescent="0.25">
      <c r="B1481">
        <v>1.4786999999999999</v>
      </c>
      <c r="C1481">
        <v>145</v>
      </c>
      <c r="D1481">
        <v>31.8</v>
      </c>
      <c r="E1481">
        <v>8.4679000000000004E-2</v>
      </c>
      <c r="F1481">
        <v>11.808999999999999</v>
      </c>
      <c r="G1481">
        <v>690.36</v>
      </c>
      <c r="H1481">
        <v>1.4786999999999999</v>
      </c>
    </row>
    <row r="1482" spans="2:8" x14ac:dyDescent="0.25">
      <c r="B1482">
        <v>1.4831000000000001</v>
      </c>
      <c r="C1482">
        <v>150</v>
      </c>
      <c r="D1482">
        <v>31.8</v>
      </c>
      <c r="E1482">
        <v>8.3946999999999994E-2</v>
      </c>
      <c r="F1482">
        <v>11.912000000000001</v>
      </c>
      <c r="G1482">
        <v>693.03</v>
      </c>
      <c r="H1482">
        <v>1.4831000000000001</v>
      </c>
    </row>
    <row r="1483" spans="2:8" x14ac:dyDescent="0.25">
      <c r="B1483">
        <v>1.4874000000000001</v>
      </c>
      <c r="C1483">
        <v>155</v>
      </c>
      <c r="D1483">
        <v>31.8</v>
      </c>
      <c r="E1483">
        <v>8.3227999999999996E-2</v>
      </c>
      <c r="F1483">
        <v>12.015000000000001</v>
      </c>
      <c r="G1483">
        <v>695.71</v>
      </c>
      <c r="H1483">
        <v>1.4874000000000001</v>
      </c>
    </row>
    <row r="1484" spans="2:8" x14ac:dyDescent="0.25">
      <c r="B1484">
        <v>1.4918</v>
      </c>
      <c r="C1484">
        <v>160</v>
      </c>
      <c r="D1484">
        <v>31.8</v>
      </c>
      <c r="E1484">
        <v>8.2521999999999998E-2</v>
      </c>
      <c r="F1484">
        <v>12.118</v>
      </c>
      <c r="G1484">
        <v>698.38</v>
      </c>
      <c r="H1484">
        <v>1.4918</v>
      </c>
    </row>
    <row r="1485" spans="2:8" x14ac:dyDescent="0.25">
      <c r="B1485">
        <v>1.4961</v>
      </c>
      <c r="C1485">
        <v>165</v>
      </c>
      <c r="D1485">
        <v>31.8</v>
      </c>
      <c r="E1485">
        <v>8.1828999999999999E-2</v>
      </c>
      <c r="F1485">
        <v>12.221</v>
      </c>
      <c r="G1485">
        <v>701.06</v>
      </c>
      <c r="H1485">
        <v>1.4961</v>
      </c>
    </row>
    <row r="1486" spans="2:8" x14ac:dyDescent="0.25">
      <c r="B1486">
        <v>1.5003</v>
      </c>
      <c r="C1486">
        <v>170</v>
      </c>
      <c r="D1486">
        <v>31.8</v>
      </c>
      <c r="E1486">
        <v>8.1147999999999998E-2</v>
      </c>
      <c r="F1486">
        <v>12.323</v>
      </c>
      <c r="G1486">
        <v>703.74</v>
      </c>
      <c r="H1486">
        <v>1.5003</v>
      </c>
    </row>
    <row r="1487" spans="2:8" x14ac:dyDescent="0.25">
      <c r="B1487">
        <v>1.5045999999999999</v>
      </c>
      <c r="C1487">
        <v>175</v>
      </c>
      <c r="D1487">
        <v>31.8</v>
      </c>
      <c r="E1487">
        <v>8.0478999999999995E-2</v>
      </c>
      <c r="F1487">
        <v>12.426</v>
      </c>
      <c r="G1487">
        <v>706.42</v>
      </c>
      <c r="H1487">
        <v>1.5045999999999999</v>
      </c>
    </row>
    <row r="1488" spans="2:8" x14ac:dyDescent="0.25">
      <c r="B1488">
        <v>1.5087999999999999</v>
      </c>
      <c r="C1488">
        <v>180</v>
      </c>
      <c r="D1488">
        <v>31.8</v>
      </c>
      <c r="E1488">
        <v>7.9822000000000004E-2</v>
      </c>
      <c r="F1488">
        <v>12.528</v>
      </c>
      <c r="G1488">
        <v>709.1</v>
      </c>
      <c r="H1488">
        <v>1.5087999999999999</v>
      </c>
    </row>
    <row r="1489" spans="2:8" x14ac:dyDescent="0.25">
      <c r="B1489">
        <v>1.5129999999999999</v>
      </c>
      <c r="C1489">
        <v>185</v>
      </c>
      <c r="D1489">
        <v>31.8</v>
      </c>
      <c r="E1489">
        <v>7.9175999999999996E-2</v>
      </c>
      <c r="F1489">
        <v>12.63</v>
      </c>
      <c r="G1489">
        <v>711.79</v>
      </c>
      <c r="H1489">
        <v>1.5129999999999999</v>
      </c>
    </row>
    <row r="1490" spans="2:8" x14ac:dyDescent="0.25">
      <c r="B1490">
        <v>1.5170999999999999</v>
      </c>
      <c r="C1490">
        <v>190</v>
      </c>
      <c r="D1490">
        <v>31.8</v>
      </c>
      <c r="E1490">
        <v>7.8541E-2</v>
      </c>
      <c r="F1490">
        <v>12.731999999999999</v>
      </c>
      <c r="G1490">
        <v>714.48</v>
      </c>
      <c r="H1490">
        <v>1.5170999999999999</v>
      </c>
    </row>
    <row r="1491" spans="2:8" x14ac:dyDescent="0.25">
      <c r="B1491">
        <v>1.5213000000000001</v>
      </c>
      <c r="C1491">
        <v>195</v>
      </c>
      <c r="D1491">
        <v>31.8</v>
      </c>
      <c r="E1491">
        <v>7.7915999999999999E-2</v>
      </c>
      <c r="F1491">
        <v>12.834</v>
      </c>
      <c r="G1491">
        <v>717.17</v>
      </c>
      <c r="H1491">
        <v>1.5213000000000001</v>
      </c>
    </row>
    <row r="1492" spans="2:8" x14ac:dyDescent="0.25">
      <c r="B1492">
        <v>1.5254000000000001</v>
      </c>
      <c r="C1492">
        <v>200</v>
      </c>
      <c r="D1492">
        <v>31.8</v>
      </c>
      <c r="E1492">
        <v>7.7301999999999996E-2</v>
      </c>
      <c r="F1492">
        <v>12.936</v>
      </c>
      <c r="G1492">
        <v>719.87</v>
      </c>
      <c r="H1492">
        <v>1.5254000000000001</v>
      </c>
    </row>
    <row r="1493" spans="2:8" x14ac:dyDescent="0.25">
      <c r="B1493">
        <v>1.5294000000000001</v>
      </c>
      <c r="C1493">
        <v>205</v>
      </c>
      <c r="D1493">
        <v>31.8</v>
      </c>
      <c r="E1493">
        <v>7.6699000000000003E-2</v>
      </c>
      <c r="F1493">
        <v>13.038</v>
      </c>
      <c r="G1493">
        <v>722.57</v>
      </c>
      <c r="H1493">
        <v>1.5294000000000001</v>
      </c>
    </row>
    <row r="1494" spans="2:8" x14ac:dyDescent="0.25">
      <c r="B1494">
        <v>1.5335000000000001</v>
      </c>
      <c r="C1494">
        <v>210</v>
      </c>
      <c r="D1494">
        <v>31.8</v>
      </c>
      <c r="E1494">
        <v>7.6105000000000006E-2</v>
      </c>
      <c r="F1494">
        <v>13.14</v>
      </c>
      <c r="G1494">
        <v>725.27</v>
      </c>
      <c r="H1494">
        <v>1.5335000000000001</v>
      </c>
    </row>
    <row r="1495" spans="2:8" x14ac:dyDescent="0.25">
      <c r="B1495">
        <v>1.5375000000000001</v>
      </c>
      <c r="C1495">
        <v>215</v>
      </c>
      <c r="D1495">
        <v>31.8</v>
      </c>
      <c r="E1495">
        <v>7.5520000000000004E-2</v>
      </c>
      <c r="F1495">
        <v>13.241</v>
      </c>
      <c r="G1495">
        <v>727.98</v>
      </c>
      <c r="H1495">
        <v>1.5375000000000001</v>
      </c>
    </row>
    <row r="1496" spans="2:8" x14ac:dyDescent="0.25">
      <c r="B1496">
        <v>1.5415000000000001</v>
      </c>
      <c r="C1496">
        <v>220</v>
      </c>
      <c r="D1496">
        <v>31.8</v>
      </c>
      <c r="E1496">
        <v>7.4944999999999998E-2</v>
      </c>
      <c r="F1496">
        <v>13.343</v>
      </c>
      <c r="G1496">
        <v>730.69</v>
      </c>
      <c r="H1496">
        <v>1.5415000000000001</v>
      </c>
    </row>
    <row r="1497" spans="2:8" x14ac:dyDescent="0.25">
      <c r="B1497">
        <v>1.5455000000000001</v>
      </c>
      <c r="C1497">
        <v>225</v>
      </c>
      <c r="D1497">
        <v>31.8</v>
      </c>
      <c r="E1497">
        <v>7.4379000000000001E-2</v>
      </c>
      <c r="F1497">
        <v>13.445</v>
      </c>
      <c r="G1497">
        <v>733.41</v>
      </c>
      <c r="H1497">
        <v>1.5455000000000001</v>
      </c>
    </row>
    <row r="1498" spans="2:8" x14ac:dyDescent="0.25">
      <c r="B1498">
        <v>1.5495000000000001</v>
      </c>
      <c r="C1498">
        <v>230</v>
      </c>
      <c r="D1498">
        <v>31.8</v>
      </c>
      <c r="E1498">
        <v>7.3821999999999999E-2</v>
      </c>
      <c r="F1498">
        <v>13.545999999999999</v>
      </c>
      <c r="G1498">
        <v>736.13</v>
      </c>
      <c r="H1498">
        <v>1.5495000000000001</v>
      </c>
    </row>
    <row r="1499" spans="2:8" x14ac:dyDescent="0.25">
      <c r="B1499">
        <v>1.5533999999999999</v>
      </c>
      <c r="C1499">
        <v>235</v>
      </c>
      <c r="D1499">
        <v>31.8</v>
      </c>
      <c r="E1499">
        <v>7.3274000000000006E-2</v>
      </c>
      <c r="F1499">
        <v>13.647</v>
      </c>
      <c r="G1499">
        <v>738.86</v>
      </c>
      <c r="H1499">
        <v>1.5533999999999999</v>
      </c>
    </row>
    <row r="1500" spans="2:8" x14ac:dyDescent="0.25">
      <c r="B1500">
        <v>1.5572999999999999</v>
      </c>
      <c r="C1500">
        <v>240</v>
      </c>
      <c r="D1500">
        <v>31.8</v>
      </c>
      <c r="E1500">
        <v>7.2733999999999993E-2</v>
      </c>
      <c r="F1500">
        <v>13.749000000000001</v>
      </c>
      <c r="G1500">
        <v>741.59</v>
      </c>
      <c r="H1500">
        <v>1.5572999999999999</v>
      </c>
    </row>
    <row r="1501" spans="2:8" x14ac:dyDescent="0.25">
      <c r="B1501">
        <v>1.5611999999999999</v>
      </c>
      <c r="C1501">
        <v>245</v>
      </c>
      <c r="D1501">
        <v>31.8</v>
      </c>
      <c r="E1501">
        <v>7.2202000000000002E-2</v>
      </c>
      <c r="F1501">
        <v>13.85</v>
      </c>
      <c r="G1501">
        <v>744.32</v>
      </c>
      <c r="H1501">
        <v>1.5611999999999999</v>
      </c>
    </row>
    <row r="1502" spans="2:8" x14ac:dyDescent="0.25">
      <c r="B1502">
        <v>1.5650999999999999</v>
      </c>
      <c r="C1502">
        <v>250</v>
      </c>
      <c r="D1502">
        <v>31.8</v>
      </c>
      <c r="E1502">
        <v>7.1678000000000006E-2</v>
      </c>
      <c r="F1502">
        <v>13.951000000000001</v>
      </c>
      <c r="G1502">
        <v>747.06</v>
      </c>
      <c r="H1502">
        <v>1.5650999999999999</v>
      </c>
    </row>
    <row r="1503" spans="2:8" x14ac:dyDescent="0.25">
      <c r="B1503">
        <v>1.5689</v>
      </c>
      <c r="C1503">
        <v>255</v>
      </c>
      <c r="D1503">
        <v>31.8</v>
      </c>
      <c r="E1503">
        <v>7.1162000000000003E-2</v>
      </c>
      <c r="F1503">
        <v>14.052</v>
      </c>
      <c r="G1503">
        <v>749.81</v>
      </c>
      <c r="H1503">
        <v>1.5689</v>
      </c>
    </row>
    <row r="1504" spans="2:8" x14ac:dyDescent="0.25">
      <c r="B1504">
        <v>1.5728</v>
      </c>
      <c r="C1504">
        <v>260</v>
      </c>
      <c r="D1504">
        <v>31.8</v>
      </c>
      <c r="E1504">
        <v>7.0653999999999995E-2</v>
      </c>
      <c r="F1504">
        <v>14.153</v>
      </c>
      <c r="G1504">
        <v>752.56</v>
      </c>
      <c r="H1504">
        <v>1.5728</v>
      </c>
    </row>
    <row r="1505" spans="1:8" x14ac:dyDescent="0.25">
      <c r="B1505">
        <v>1.5766</v>
      </c>
      <c r="C1505">
        <v>265</v>
      </c>
      <c r="D1505">
        <v>31.8</v>
      </c>
      <c r="E1505">
        <v>7.0152999999999993E-2</v>
      </c>
      <c r="F1505">
        <v>14.255000000000001</v>
      </c>
      <c r="G1505">
        <v>755.31</v>
      </c>
      <c r="H1505">
        <v>1.5766</v>
      </c>
    </row>
    <row r="1506" spans="1:8" x14ac:dyDescent="0.25">
      <c r="B1506">
        <v>1.5804</v>
      </c>
      <c r="C1506">
        <v>270</v>
      </c>
      <c r="D1506">
        <v>31.8</v>
      </c>
      <c r="E1506">
        <v>6.966E-2</v>
      </c>
      <c r="F1506">
        <v>14.356</v>
      </c>
      <c r="G1506">
        <v>758.07</v>
      </c>
      <c r="H1506">
        <v>1.5804</v>
      </c>
    </row>
    <row r="1507" spans="1:8" x14ac:dyDescent="0.25">
      <c r="B1507">
        <v>1.5842000000000001</v>
      </c>
      <c r="C1507">
        <v>275</v>
      </c>
      <c r="D1507">
        <v>31.8</v>
      </c>
      <c r="E1507">
        <v>6.9172999999999998E-2</v>
      </c>
      <c r="F1507">
        <v>14.456</v>
      </c>
      <c r="G1507">
        <v>760.84</v>
      </c>
      <c r="H1507">
        <v>1.5842000000000001</v>
      </c>
    </row>
    <row r="1508" spans="1:8" x14ac:dyDescent="0.25">
      <c r="B1508">
        <v>1.5879000000000001</v>
      </c>
      <c r="C1508">
        <v>280</v>
      </c>
      <c r="D1508">
        <v>31.8</v>
      </c>
      <c r="E1508">
        <v>6.8694000000000005E-2</v>
      </c>
      <c r="F1508">
        <v>14.557</v>
      </c>
      <c r="G1508">
        <v>763.61</v>
      </c>
      <c r="H1508">
        <v>1.5879000000000001</v>
      </c>
    </row>
    <row r="1509" spans="1:8" x14ac:dyDescent="0.25">
      <c r="B1509">
        <v>1.5916999999999999</v>
      </c>
      <c r="C1509">
        <v>285</v>
      </c>
      <c r="D1509">
        <v>31.8</v>
      </c>
      <c r="E1509">
        <v>6.8221000000000004E-2</v>
      </c>
      <c r="F1509">
        <v>14.657999999999999</v>
      </c>
      <c r="G1509">
        <v>766.38</v>
      </c>
      <c r="H1509">
        <v>1.5916999999999999</v>
      </c>
    </row>
    <row r="1510" spans="1:8" x14ac:dyDescent="0.25">
      <c r="B1510">
        <v>1.5953999999999999</v>
      </c>
      <c r="C1510">
        <v>290</v>
      </c>
      <c r="D1510">
        <v>31.8</v>
      </c>
      <c r="E1510">
        <v>6.7754999999999996E-2</v>
      </c>
      <c r="F1510">
        <v>14.759</v>
      </c>
      <c r="G1510">
        <v>769.16</v>
      </c>
      <c r="H1510">
        <v>1.5953999999999999</v>
      </c>
    </row>
    <row r="1511" spans="1:8" x14ac:dyDescent="0.25">
      <c r="B1511">
        <v>1.5991</v>
      </c>
      <c r="C1511">
        <v>295</v>
      </c>
      <c r="D1511">
        <v>31.8</v>
      </c>
      <c r="E1511">
        <v>6.7295999999999995E-2</v>
      </c>
      <c r="F1511">
        <v>14.86</v>
      </c>
      <c r="G1511">
        <v>771.95</v>
      </c>
      <c r="H1511">
        <v>1.5991</v>
      </c>
    </row>
    <row r="1512" spans="1:8" x14ac:dyDescent="0.25">
      <c r="B1512">
        <v>1.6028</v>
      </c>
      <c r="C1512">
        <v>300</v>
      </c>
      <c r="D1512">
        <v>31.8</v>
      </c>
      <c r="E1512">
        <v>6.6843E-2</v>
      </c>
      <c r="F1512">
        <v>14.961</v>
      </c>
      <c r="G1512">
        <v>774.74</v>
      </c>
      <c r="H1512">
        <v>1.6028</v>
      </c>
    </row>
    <row r="1514" spans="1:8" x14ac:dyDescent="0.25">
      <c r="A1514">
        <v>33.4</v>
      </c>
      <c r="B1514">
        <v>-2.5448999999999999E-2</v>
      </c>
      <c r="C1514">
        <v>-50</v>
      </c>
      <c r="D1514">
        <v>33.4</v>
      </c>
      <c r="E1514">
        <v>43.506999999999998</v>
      </c>
      <c r="F1514">
        <v>2.2984999999999998E-2</v>
      </c>
      <c r="G1514">
        <v>-10.454000000000001</v>
      </c>
      <c r="H1514">
        <v>-2.5448999999999999E-2</v>
      </c>
    </row>
    <row r="1515" spans="1:8" x14ac:dyDescent="0.25">
      <c r="B1515">
        <v>-1.2716999999999999E-2</v>
      </c>
      <c r="C1515">
        <v>-45</v>
      </c>
      <c r="D1515">
        <v>33.4</v>
      </c>
      <c r="E1515">
        <v>43.298999999999999</v>
      </c>
      <c r="F1515">
        <v>2.3095000000000001E-2</v>
      </c>
      <c r="G1515">
        <v>-5.2066999999999997</v>
      </c>
      <c r="H1515">
        <v>-1.2716999999999999E-2</v>
      </c>
    </row>
    <row r="1516" spans="1:8" x14ac:dyDescent="0.25">
      <c r="B1516">
        <v>-9.6634999999999999E-5</v>
      </c>
      <c r="C1516">
        <v>-40</v>
      </c>
      <c r="D1516">
        <v>33.4</v>
      </c>
      <c r="E1516">
        <v>43.088999999999999</v>
      </c>
      <c r="F1516">
        <v>2.3207999999999999E-2</v>
      </c>
      <c r="G1516">
        <v>5.8299999999999998E-2</v>
      </c>
      <c r="H1516">
        <v>-9.6634999999999999E-5</v>
      </c>
    </row>
    <row r="1517" spans="1:8" x14ac:dyDescent="0.25">
      <c r="B1517">
        <v>1.2416E-2</v>
      </c>
      <c r="C1517">
        <v>-35</v>
      </c>
      <c r="D1517">
        <v>33.4</v>
      </c>
      <c r="E1517">
        <v>42.878</v>
      </c>
      <c r="F1517">
        <v>2.3321999999999999E-2</v>
      </c>
      <c r="G1517">
        <v>5.3406000000000002</v>
      </c>
      <c r="H1517">
        <v>1.2416E-2</v>
      </c>
    </row>
    <row r="1518" spans="1:8" x14ac:dyDescent="0.25">
      <c r="B1518">
        <v>2.4822E-2</v>
      </c>
      <c r="C1518">
        <v>-30</v>
      </c>
      <c r="D1518">
        <v>33.4</v>
      </c>
      <c r="E1518">
        <v>42.664000000000001</v>
      </c>
      <c r="F1518">
        <v>2.3439000000000002E-2</v>
      </c>
      <c r="G1518">
        <v>10.64</v>
      </c>
      <c r="H1518">
        <v>2.4822E-2</v>
      </c>
    </row>
    <row r="1519" spans="1:8" x14ac:dyDescent="0.25">
      <c r="B1519">
        <v>3.7123000000000003E-2</v>
      </c>
      <c r="C1519">
        <v>-25</v>
      </c>
      <c r="D1519">
        <v>33.4</v>
      </c>
      <c r="E1519">
        <v>42.448999999999998</v>
      </c>
      <c r="F1519">
        <v>2.3557999999999999E-2</v>
      </c>
      <c r="G1519">
        <v>15.956</v>
      </c>
      <c r="H1519">
        <v>3.7123000000000003E-2</v>
      </c>
    </row>
    <row r="1520" spans="1:8" x14ac:dyDescent="0.25">
      <c r="B1520">
        <v>4.9321999999999998E-2</v>
      </c>
      <c r="C1520">
        <v>-20</v>
      </c>
      <c r="D1520">
        <v>33.4</v>
      </c>
      <c r="E1520">
        <v>42.231999999999999</v>
      </c>
      <c r="F1520">
        <v>2.3678999999999999E-2</v>
      </c>
      <c r="G1520">
        <v>21.289000000000001</v>
      </c>
      <c r="H1520">
        <v>4.9321999999999998E-2</v>
      </c>
    </row>
    <row r="1521" spans="2:8" x14ac:dyDescent="0.25">
      <c r="B1521">
        <v>6.1421000000000003E-2</v>
      </c>
      <c r="C1521">
        <v>-15</v>
      </c>
      <c r="D1521">
        <v>33.4</v>
      </c>
      <c r="E1521">
        <v>42.012999999999998</v>
      </c>
      <c r="F1521">
        <v>2.3802E-2</v>
      </c>
      <c r="G1521">
        <v>26.638999999999999</v>
      </c>
      <c r="H1521">
        <v>6.1421000000000003E-2</v>
      </c>
    </row>
    <row r="1522" spans="2:8" x14ac:dyDescent="0.25">
      <c r="B1522">
        <v>7.3421E-2</v>
      </c>
      <c r="C1522">
        <v>-10</v>
      </c>
      <c r="D1522">
        <v>33.4</v>
      </c>
      <c r="E1522">
        <v>41.792000000000002</v>
      </c>
      <c r="F1522">
        <v>2.3928000000000001E-2</v>
      </c>
      <c r="G1522">
        <v>32.005000000000003</v>
      </c>
      <c r="H1522">
        <v>7.3421E-2</v>
      </c>
    </row>
    <row r="1523" spans="2:8" x14ac:dyDescent="0.25">
      <c r="B1523">
        <v>8.5323999999999997E-2</v>
      </c>
      <c r="C1523">
        <v>-5</v>
      </c>
      <c r="D1523">
        <v>33.4</v>
      </c>
      <c r="E1523">
        <v>41.569000000000003</v>
      </c>
      <c r="F1523">
        <v>2.4056000000000001E-2</v>
      </c>
      <c r="G1523">
        <v>37.387</v>
      </c>
      <c r="H1523">
        <v>8.5323999999999997E-2</v>
      </c>
    </row>
    <row r="1524" spans="2:8" x14ac:dyDescent="0.25">
      <c r="B1524">
        <v>9.7132999999999997E-2</v>
      </c>
      <c r="C1524">
        <v>0</v>
      </c>
      <c r="D1524">
        <v>33.4</v>
      </c>
      <c r="E1524">
        <v>41.344000000000001</v>
      </c>
      <c r="F1524">
        <v>2.4187E-2</v>
      </c>
      <c r="G1524">
        <v>42.786000000000001</v>
      </c>
      <c r="H1524">
        <v>9.7132999999999997E-2</v>
      </c>
    </row>
    <row r="1525" spans="2:8" x14ac:dyDescent="0.25">
      <c r="B1525">
        <v>1.3281000000000001</v>
      </c>
      <c r="C1525">
        <v>5</v>
      </c>
      <c r="D1525">
        <v>33.4</v>
      </c>
      <c r="E1525">
        <v>0.11951000000000001</v>
      </c>
      <c r="F1525">
        <v>8.3673000000000002</v>
      </c>
      <c r="G1525">
        <v>613.42999999999995</v>
      </c>
      <c r="H1525">
        <v>1.3281000000000001</v>
      </c>
    </row>
    <row r="1526" spans="2:8" x14ac:dyDescent="0.25">
      <c r="B1526">
        <v>1.3343</v>
      </c>
      <c r="C1526">
        <v>10</v>
      </c>
      <c r="D1526">
        <v>33.4</v>
      </c>
      <c r="E1526">
        <v>0.11797000000000001</v>
      </c>
      <c r="F1526">
        <v>8.4770000000000003</v>
      </c>
      <c r="G1526">
        <v>616.36</v>
      </c>
      <c r="H1526">
        <v>1.3343</v>
      </c>
    </row>
    <row r="1527" spans="2:8" x14ac:dyDescent="0.25">
      <c r="B1527">
        <v>1.3405</v>
      </c>
      <c r="C1527">
        <v>15</v>
      </c>
      <c r="D1527">
        <v>33.4</v>
      </c>
      <c r="E1527">
        <v>0.11647</v>
      </c>
      <c r="F1527">
        <v>8.5856999999999992</v>
      </c>
      <c r="G1527">
        <v>619.27</v>
      </c>
      <c r="H1527">
        <v>1.3405</v>
      </c>
    </row>
    <row r="1528" spans="2:8" x14ac:dyDescent="0.25">
      <c r="B1528">
        <v>1.3465</v>
      </c>
      <c r="C1528">
        <v>20</v>
      </c>
      <c r="D1528">
        <v>33.4</v>
      </c>
      <c r="E1528">
        <v>0.11502999999999999</v>
      </c>
      <c r="F1528">
        <v>8.6935000000000002</v>
      </c>
      <c r="G1528">
        <v>622.14</v>
      </c>
      <c r="H1528">
        <v>1.3465</v>
      </c>
    </row>
    <row r="1529" spans="2:8" x14ac:dyDescent="0.25">
      <c r="B1529">
        <v>1.3524</v>
      </c>
      <c r="C1529">
        <v>25</v>
      </c>
      <c r="D1529">
        <v>33.4</v>
      </c>
      <c r="E1529">
        <v>0.11362999999999999</v>
      </c>
      <c r="F1529">
        <v>8.8004999999999995</v>
      </c>
      <c r="G1529">
        <v>624.99</v>
      </c>
      <c r="H1529">
        <v>1.3524</v>
      </c>
    </row>
    <row r="1530" spans="2:8" x14ac:dyDescent="0.25">
      <c r="B1530">
        <v>1.3582000000000001</v>
      </c>
      <c r="C1530">
        <v>30</v>
      </c>
      <c r="D1530">
        <v>33.4</v>
      </c>
      <c r="E1530">
        <v>0.11226999999999999</v>
      </c>
      <c r="F1530">
        <v>8.9068000000000005</v>
      </c>
      <c r="G1530">
        <v>627.82000000000005</v>
      </c>
      <c r="H1530">
        <v>1.3582000000000001</v>
      </c>
    </row>
    <row r="1531" spans="2:8" x14ac:dyDescent="0.25">
      <c r="B1531">
        <v>1.3638999999999999</v>
      </c>
      <c r="C1531">
        <v>35</v>
      </c>
      <c r="D1531">
        <v>33.4</v>
      </c>
      <c r="E1531">
        <v>0.11096</v>
      </c>
      <c r="F1531">
        <v>9.0123999999999995</v>
      </c>
      <c r="G1531">
        <v>630.63</v>
      </c>
      <c r="H1531">
        <v>1.3638999999999999</v>
      </c>
    </row>
    <row r="1532" spans="2:8" x14ac:dyDescent="0.25">
      <c r="B1532">
        <v>1.3695999999999999</v>
      </c>
      <c r="C1532">
        <v>40</v>
      </c>
      <c r="D1532">
        <v>33.4</v>
      </c>
      <c r="E1532">
        <v>0.10968</v>
      </c>
      <c r="F1532">
        <v>9.1173999999999999</v>
      </c>
      <c r="G1532">
        <v>633.41999999999996</v>
      </c>
      <c r="H1532">
        <v>1.3695999999999999</v>
      </c>
    </row>
    <row r="1533" spans="2:8" x14ac:dyDescent="0.25">
      <c r="B1533">
        <v>1.3751</v>
      </c>
      <c r="C1533">
        <v>45</v>
      </c>
      <c r="D1533">
        <v>33.4</v>
      </c>
      <c r="E1533">
        <v>0.10843999999999999</v>
      </c>
      <c r="F1533">
        <v>9.2218999999999998</v>
      </c>
      <c r="G1533">
        <v>636.20000000000005</v>
      </c>
      <c r="H1533">
        <v>1.3751</v>
      </c>
    </row>
    <row r="1534" spans="2:8" x14ac:dyDescent="0.25">
      <c r="B1534">
        <v>1.3805000000000001</v>
      </c>
      <c r="C1534">
        <v>50</v>
      </c>
      <c r="D1534">
        <v>33.4</v>
      </c>
      <c r="E1534">
        <v>0.10723000000000001</v>
      </c>
      <c r="F1534">
        <v>9.3256999999999994</v>
      </c>
      <c r="G1534">
        <v>638.96</v>
      </c>
      <c r="H1534">
        <v>1.3805000000000001</v>
      </c>
    </row>
    <row r="1535" spans="2:8" x14ac:dyDescent="0.25">
      <c r="B1535">
        <v>1.3858999999999999</v>
      </c>
      <c r="C1535">
        <v>55</v>
      </c>
      <c r="D1535">
        <v>33.4</v>
      </c>
      <c r="E1535">
        <v>0.10605000000000001</v>
      </c>
      <c r="F1535">
        <v>9.4291</v>
      </c>
      <c r="G1535">
        <v>641.71</v>
      </c>
      <c r="H1535">
        <v>1.3858999999999999</v>
      </c>
    </row>
    <row r="1536" spans="2:8" x14ac:dyDescent="0.25">
      <c r="B1536">
        <v>1.3912</v>
      </c>
      <c r="C1536">
        <v>60</v>
      </c>
      <c r="D1536">
        <v>33.4</v>
      </c>
      <c r="E1536">
        <v>0.10491</v>
      </c>
      <c r="F1536">
        <v>9.5320999999999998</v>
      </c>
      <c r="G1536">
        <v>644.44000000000005</v>
      </c>
      <c r="H1536">
        <v>1.3912</v>
      </c>
    </row>
    <row r="1537" spans="2:8" x14ac:dyDescent="0.25">
      <c r="B1537">
        <v>1.3964000000000001</v>
      </c>
      <c r="C1537">
        <v>65</v>
      </c>
      <c r="D1537">
        <v>33.4</v>
      </c>
      <c r="E1537">
        <v>0.10378999999999999</v>
      </c>
      <c r="F1537">
        <v>9.6346000000000007</v>
      </c>
      <c r="G1537">
        <v>647.16999999999996</v>
      </c>
      <c r="H1537">
        <v>1.3964000000000001</v>
      </c>
    </row>
    <row r="1538" spans="2:8" x14ac:dyDescent="0.25">
      <c r="B1538">
        <v>1.4016</v>
      </c>
      <c r="C1538">
        <v>70</v>
      </c>
      <c r="D1538">
        <v>33.4</v>
      </c>
      <c r="E1538">
        <v>0.1027</v>
      </c>
      <c r="F1538">
        <v>9.7367000000000008</v>
      </c>
      <c r="G1538">
        <v>649.89</v>
      </c>
      <c r="H1538">
        <v>1.4016</v>
      </c>
    </row>
    <row r="1539" spans="2:8" x14ac:dyDescent="0.25">
      <c r="B1539">
        <v>1.4067000000000001</v>
      </c>
      <c r="C1539">
        <v>75</v>
      </c>
      <c r="D1539">
        <v>33.4</v>
      </c>
      <c r="E1539">
        <v>0.10163999999999999</v>
      </c>
      <c r="F1539">
        <v>9.8384999999999998</v>
      </c>
      <c r="G1539">
        <v>652.6</v>
      </c>
      <c r="H1539">
        <v>1.4067000000000001</v>
      </c>
    </row>
    <row r="1540" spans="2:8" x14ac:dyDescent="0.25">
      <c r="B1540">
        <v>1.4117</v>
      </c>
      <c r="C1540">
        <v>80</v>
      </c>
      <c r="D1540">
        <v>33.4</v>
      </c>
      <c r="E1540">
        <v>0.10059999999999999</v>
      </c>
      <c r="F1540">
        <v>9.9398999999999997</v>
      </c>
      <c r="G1540">
        <v>655.30999999999995</v>
      </c>
      <c r="H1540">
        <v>1.4117</v>
      </c>
    </row>
    <row r="1541" spans="2:8" x14ac:dyDescent="0.25">
      <c r="B1541">
        <v>1.4167000000000001</v>
      </c>
      <c r="C1541">
        <v>85</v>
      </c>
      <c r="D1541">
        <v>33.4</v>
      </c>
      <c r="E1541">
        <v>9.9592E-2</v>
      </c>
      <c r="F1541">
        <v>10.041</v>
      </c>
      <c r="G1541">
        <v>658.01</v>
      </c>
      <c r="H1541">
        <v>1.4167000000000001</v>
      </c>
    </row>
    <row r="1542" spans="2:8" x14ac:dyDescent="0.25">
      <c r="B1542">
        <v>1.4216</v>
      </c>
      <c r="C1542">
        <v>90</v>
      </c>
      <c r="D1542">
        <v>33.4</v>
      </c>
      <c r="E1542">
        <v>9.8601999999999995E-2</v>
      </c>
      <c r="F1542">
        <v>10.141999999999999</v>
      </c>
      <c r="G1542">
        <v>660.7</v>
      </c>
      <c r="H1542">
        <v>1.4216</v>
      </c>
    </row>
    <row r="1543" spans="2:8" x14ac:dyDescent="0.25">
      <c r="B1543">
        <v>1.4265000000000001</v>
      </c>
      <c r="C1543">
        <v>95</v>
      </c>
      <c r="D1543">
        <v>33.4</v>
      </c>
      <c r="E1543">
        <v>9.7633999999999999E-2</v>
      </c>
      <c r="F1543">
        <v>10.242000000000001</v>
      </c>
      <c r="G1543">
        <v>663.39</v>
      </c>
      <c r="H1543">
        <v>1.4265000000000001</v>
      </c>
    </row>
    <row r="1544" spans="2:8" x14ac:dyDescent="0.25">
      <c r="B1544">
        <v>1.4313</v>
      </c>
      <c r="C1544">
        <v>100</v>
      </c>
      <c r="D1544">
        <v>33.4</v>
      </c>
      <c r="E1544">
        <v>9.6687999999999996E-2</v>
      </c>
      <c r="F1544">
        <v>10.343</v>
      </c>
      <c r="G1544">
        <v>666.07</v>
      </c>
      <c r="H1544">
        <v>1.4313</v>
      </c>
    </row>
    <row r="1545" spans="2:8" x14ac:dyDescent="0.25">
      <c r="B1545">
        <v>1.4360999999999999</v>
      </c>
      <c r="C1545">
        <v>105</v>
      </c>
      <c r="D1545">
        <v>33.4</v>
      </c>
      <c r="E1545">
        <v>9.5762E-2</v>
      </c>
      <c r="F1545">
        <v>10.443</v>
      </c>
      <c r="G1545">
        <v>668.76</v>
      </c>
      <c r="H1545">
        <v>1.4360999999999999</v>
      </c>
    </row>
    <row r="1546" spans="2:8" x14ac:dyDescent="0.25">
      <c r="B1546">
        <v>1.4408000000000001</v>
      </c>
      <c r="C1546">
        <v>110</v>
      </c>
      <c r="D1546">
        <v>33.4</v>
      </c>
      <c r="E1546">
        <v>9.4855999999999996E-2</v>
      </c>
      <c r="F1546">
        <v>10.542</v>
      </c>
      <c r="G1546">
        <v>671.44</v>
      </c>
      <c r="H1546">
        <v>1.4408000000000001</v>
      </c>
    </row>
    <row r="1547" spans="2:8" x14ac:dyDescent="0.25">
      <c r="B1547">
        <v>1.4455</v>
      </c>
      <c r="C1547">
        <v>115</v>
      </c>
      <c r="D1547">
        <v>33.4</v>
      </c>
      <c r="E1547">
        <v>9.3968999999999997E-2</v>
      </c>
      <c r="F1547">
        <v>10.641999999999999</v>
      </c>
      <c r="G1547">
        <v>674.11</v>
      </c>
      <c r="H1547">
        <v>1.4455</v>
      </c>
    </row>
    <row r="1548" spans="2:8" x14ac:dyDescent="0.25">
      <c r="B1548">
        <v>1.4500999999999999</v>
      </c>
      <c r="C1548">
        <v>120</v>
      </c>
      <c r="D1548">
        <v>33.4</v>
      </c>
      <c r="E1548">
        <v>9.3100000000000002E-2</v>
      </c>
      <c r="F1548">
        <v>10.741</v>
      </c>
      <c r="G1548">
        <v>676.79</v>
      </c>
      <c r="H1548">
        <v>1.4500999999999999</v>
      </c>
    </row>
    <row r="1549" spans="2:8" x14ac:dyDescent="0.25">
      <c r="B1549">
        <v>1.4547000000000001</v>
      </c>
      <c r="C1549">
        <v>125</v>
      </c>
      <c r="D1549">
        <v>33.4</v>
      </c>
      <c r="E1549">
        <v>9.2247999999999997E-2</v>
      </c>
      <c r="F1549">
        <v>10.84</v>
      </c>
      <c r="G1549">
        <v>679.46</v>
      </c>
      <c r="H1549">
        <v>1.4547000000000001</v>
      </c>
    </row>
    <row r="1550" spans="2:8" x14ac:dyDescent="0.25">
      <c r="B1550">
        <v>1.4592000000000001</v>
      </c>
      <c r="C1550">
        <v>130</v>
      </c>
      <c r="D1550">
        <v>33.4</v>
      </c>
      <c r="E1550">
        <v>9.1413999999999995E-2</v>
      </c>
      <c r="F1550">
        <v>10.939</v>
      </c>
      <c r="G1550">
        <v>682.14</v>
      </c>
      <c r="H1550">
        <v>1.4592000000000001</v>
      </c>
    </row>
    <row r="1551" spans="2:8" x14ac:dyDescent="0.25">
      <c r="B1551">
        <v>1.4638</v>
      </c>
      <c r="C1551">
        <v>135</v>
      </c>
      <c r="D1551">
        <v>33.4</v>
      </c>
      <c r="E1551">
        <v>9.0595999999999996E-2</v>
      </c>
      <c r="F1551">
        <v>11.038</v>
      </c>
      <c r="G1551">
        <v>684.81</v>
      </c>
      <c r="H1551">
        <v>1.4638</v>
      </c>
    </row>
    <row r="1552" spans="2:8" x14ac:dyDescent="0.25">
      <c r="B1552">
        <v>1.4681999999999999</v>
      </c>
      <c r="C1552">
        <v>140</v>
      </c>
      <c r="D1552">
        <v>33.4</v>
      </c>
      <c r="E1552">
        <v>8.9792999999999998E-2</v>
      </c>
      <c r="F1552">
        <v>11.137</v>
      </c>
      <c r="G1552">
        <v>687.49</v>
      </c>
      <c r="H1552">
        <v>1.4681999999999999</v>
      </c>
    </row>
    <row r="1553" spans="2:8" x14ac:dyDescent="0.25">
      <c r="B1553">
        <v>1.4726999999999999</v>
      </c>
      <c r="C1553">
        <v>145</v>
      </c>
      <c r="D1553">
        <v>33.4</v>
      </c>
      <c r="E1553">
        <v>8.9006000000000002E-2</v>
      </c>
      <c r="F1553">
        <v>11.234999999999999</v>
      </c>
      <c r="G1553">
        <v>690.16</v>
      </c>
      <c r="H1553">
        <v>1.4726999999999999</v>
      </c>
    </row>
    <row r="1554" spans="2:8" x14ac:dyDescent="0.25">
      <c r="B1554">
        <v>1.4771000000000001</v>
      </c>
      <c r="C1554">
        <v>150</v>
      </c>
      <c r="D1554">
        <v>33.4</v>
      </c>
      <c r="E1554">
        <v>8.8234000000000007E-2</v>
      </c>
      <c r="F1554">
        <v>11.333</v>
      </c>
      <c r="G1554">
        <v>692.84</v>
      </c>
      <c r="H1554">
        <v>1.4771000000000001</v>
      </c>
    </row>
    <row r="1555" spans="2:8" x14ac:dyDescent="0.25">
      <c r="B1555">
        <v>1.4815</v>
      </c>
      <c r="C1555">
        <v>155</v>
      </c>
      <c r="D1555">
        <v>33.4</v>
      </c>
      <c r="E1555">
        <v>8.7475999999999998E-2</v>
      </c>
      <c r="F1555">
        <v>11.432</v>
      </c>
      <c r="G1555">
        <v>695.52</v>
      </c>
      <c r="H1555">
        <v>1.4815</v>
      </c>
    </row>
    <row r="1556" spans="2:8" x14ac:dyDescent="0.25">
      <c r="B1556">
        <v>1.4858</v>
      </c>
      <c r="C1556">
        <v>160</v>
      </c>
      <c r="D1556">
        <v>33.4</v>
      </c>
      <c r="E1556">
        <v>8.6733000000000005E-2</v>
      </c>
      <c r="F1556">
        <v>11.53</v>
      </c>
      <c r="G1556">
        <v>698.2</v>
      </c>
      <c r="H1556">
        <v>1.4858</v>
      </c>
    </row>
    <row r="1557" spans="2:8" x14ac:dyDescent="0.25">
      <c r="B1557">
        <v>1.4901</v>
      </c>
      <c r="C1557">
        <v>165</v>
      </c>
      <c r="D1557">
        <v>33.4</v>
      </c>
      <c r="E1557">
        <v>8.6001999999999995E-2</v>
      </c>
      <c r="F1557">
        <v>11.628</v>
      </c>
      <c r="G1557">
        <v>700.88</v>
      </c>
      <c r="H1557">
        <v>1.4901</v>
      </c>
    </row>
    <row r="1558" spans="2:8" x14ac:dyDescent="0.25">
      <c r="B1558">
        <v>1.4944</v>
      </c>
      <c r="C1558">
        <v>170</v>
      </c>
      <c r="D1558">
        <v>33.4</v>
      </c>
      <c r="E1558">
        <v>8.5285E-2</v>
      </c>
      <c r="F1558">
        <v>11.725</v>
      </c>
      <c r="G1558">
        <v>703.56</v>
      </c>
      <c r="H1558">
        <v>1.4944</v>
      </c>
    </row>
    <row r="1559" spans="2:8" x14ac:dyDescent="0.25">
      <c r="B1559">
        <v>1.4985999999999999</v>
      </c>
      <c r="C1559">
        <v>175</v>
      </c>
      <c r="D1559">
        <v>33.4</v>
      </c>
      <c r="E1559">
        <v>8.4580000000000002E-2</v>
      </c>
      <c r="F1559">
        <v>11.823</v>
      </c>
      <c r="G1559">
        <v>706.25</v>
      </c>
      <c r="H1559">
        <v>1.4985999999999999</v>
      </c>
    </row>
    <row r="1560" spans="2:8" x14ac:dyDescent="0.25">
      <c r="B1560">
        <v>1.5028999999999999</v>
      </c>
      <c r="C1560">
        <v>180</v>
      </c>
      <c r="D1560">
        <v>33.4</v>
      </c>
      <c r="E1560">
        <v>8.3888000000000004E-2</v>
      </c>
      <c r="F1560">
        <v>11.920999999999999</v>
      </c>
      <c r="G1560">
        <v>708.94</v>
      </c>
      <c r="H1560">
        <v>1.5028999999999999</v>
      </c>
    </row>
    <row r="1561" spans="2:8" x14ac:dyDescent="0.25">
      <c r="B1561">
        <v>1.5071000000000001</v>
      </c>
      <c r="C1561">
        <v>185</v>
      </c>
      <c r="D1561">
        <v>33.4</v>
      </c>
      <c r="E1561">
        <v>8.3208000000000004E-2</v>
      </c>
      <c r="F1561">
        <v>12.018000000000001</v>
      </c>
      <c r="G1561">
        <v>711.63</v>
      </c>
      <c r="H1561">
        <v>1.5071000000000001</v>
      </c>
    </row>
    <row r="1562" spans="2:8" x14ac:dyDescent="0.25">
      <c r="B1562">
        <v>1.5112000000000001</v>
      </c>
      <c r="C1562">
        <v>190</v>
      </c>
      <c r="D1562">
        <v>33.4</v>
      </c>
      <c r="E1562">
        <v>8.2539000000000001E-2</v>
      </c>
      <c r="F1562">
        <v>12.115</v>
      </c>
      <c r="G1562">
        <v>714.32</v>
      </c>
      <c r="H1562">
        <v>1.5112000000000001</v>
      </c>
    </row>
    <row r="1563" spans="2:8" x14ac:dyDescent="0.25">
      <c r="B1563">
        <v>1.5154000000000001</v>
      </c>
      <c r="C1563">
        <v>195</v>
      </c>
      <c r="D1563">
        <v>33.4</v>
      </c>
      <c r="E1563">
        <v>8.1881999999999996E-2</v>
      </c>
      <c r="F1563">
        <v>12.212999999999999</v>
      </c>
      <c r="G1563">
        <v>717.02</v>
      </c>
      <c r="H1563">
        <v>1.5154000000000001</v>
      </c>
    </row>
    <row r="1564" spans="2:8" x14ac:dyDescent="0.25">
      <c r="B1564">
        <v>1.5195000000000001</v>
      </c>
      <c r="C1564">
        <v>200</v>
      </c>
      <c r="D1564">
        <v>33.4</v>
      </c>
      <c r="E1564">
        <v>8.1235000000000002E-2</v>
      </c>
      <c r="F1564">
        <v>12.31</v>
      </c>
      <c r="G1564">
        <v>719.72</v>
      </c>
      <c r="H1564">
        <v>1.5195000000000001</v>
      </c>
    </row>
    <row r="1565" spans="2:8" x14ac:dyDescent="0.25">
      <c r="B1565">
        <v>1.5235000000000001</v>
      </c>
      <c r="C1565">
        <v>205</v>
      </c>
      <c r="D1565">
        <v>33.4</v>
      </c>
      <c r="E1565">
        <v>8.0599000000000004E-2</v>
      </c>
      <c r="F1565">
        <v>12.407</v>
      </c>
      <c r="G1565">
        <v>722.42</v>
      </c>
      <c r="H1565">
        <v>1.5235000000000001</v>
      </c>
    </row>
    <row r="1566" spans="2:8" x14ac:dyDescent="0.25">
      <c r="B1566">
        <v>1.5276000000000001</v>
      </c>
      <c r="C1566">
        <v>210</v>
      </c>
      <c r="D1566">
        <v>33.4</v>
      </c>
      <c r="E1566">
        <v>7.9974000000000003E-2</v>
      </c>
      <c r="F1566">
        <v>12.504</v>
      </c>
      <c r="G1566">
        <v>725.13</v>
      </c>
      <c r="H1566">
        <v>1.5276000000000001</v>
      </c>
    </row>
    <row r="1567" spans="2:8" x14ac:dyDescent="0.25">
      <c r="B1567">
        <v>1.5316000000000001</v>
      </c>
      <c r="C1567">
        <v>215</v>
      </c>
      <c r="D1567">
        <v>33.4</v>
      </c>
      <c r="E1567">
        <v>7.9358999999999999E-2</v>
      </c>
      <c r="F1567">
        <v>12.601000000000001</v>
      </c>
      <c r="G1567">
        <v>727.84</v>
      </c>
      <c r="H1567">
        <v>1.5316000000000001</v>
      </c>
    </row>
    <row r="1568" spans="2:8" x14ac:dyDescent="0.25">
      <c r="B1568">
        <v>1.5356000000000001</v>
      </c>
      <c r="C1568">
        <v>220</v>
      </c>
      <c r="D1568">
        <v>33.4</v>
      </c>
      <c r="E1568">
        <v>7.8754000000000005E-2</v>
      </c>
      <c r="F1568">
        <v>12.698</v>
      </c>
      <c r="G1568">
        <v>730.56</v>
      </c>
      <c r="H1568">
        <v>1.5356000000000001</v>
      </c>
    </row>
    <row r="1569" spans="2:8" x14ac:dyDescent="0.25">
      <c r="B1569">
        <v>1.5396000000000001</v>
      </c>
      <c r="C1569">
        <v>225</v>
      </c>
      <c r="D1569">
        <v>33.4</v>
      </c>
      <c r="E1569">
        <v>7.8158000000000005E-2</v>
      </c>
      <c r="F1569">
        <v>12.795</v>
      </c>
      <c r="G1569">
        <v>733.28</v>
      </c>
      <c r="H1569">
        <v>1.5396000000000001</v>
      </c>
    </row>
    <row r="1570" spans="2:8" x14ac:dyDescent="0.25">
      <c r="B1570">
        <v>1.5436000000000001</v>
      </c>
      <c r="C1570">
        <v>230</v>
      </c>
      <c r="D1570">
        <v>33.4</v>
      </c>
      <c r="E1570">
        <v>7.7571000000000001E-2</v>
      </c>
      <c r="F1570">
        <v>12.891</v>
      </c>
      <c r="G1570">
        <v>736</v>
      </c>
      <c r="H1570">
        <v>1.5436000000000001</v>
      </c>
    </row>
    <row r="1571" spans="2:8" x14ac:dyDescent="0.25">
      <c r="B1571">
        <v>1.5475000000000001</v>
      </c>
      <c r="C1571">
        <v>235</v>
      </c>
      <c r="D1571">
        <v>33.4</v>
      </c>
      <c r="E1571">
        <v>7.6994000000000007E-2</v>
      </c>
      <c r="F1571">
        <v>12.988</v>
      </c>
      <c r="G1571">
        <v>738.73</v>
      </c>
      <c r="H1571">
        <v>1.5475000000000001</v>
      </c>
    </row>
    <row r="1572" spans="2:8" x14ac:dyDescent="0.25">
      <c r="B1572">
        <v>1.5515000000000001</v>
      </c>
      <c r="C1572">
        <v>240</v>
      </c>
      <c r="D1572">
        <v>33.4</v>
      </c>
      <c r="E1572">
        <v>7.6425999999999994E-2</v>
      </c>
      <c r="F1572">
        <v>13.085000000000001</v>
      </c>
      <c r="G1572">
        <v>741.46</v>
      </c>
      <c r="H1572">
        <v>1.5515000000000001</v>
      </c>
    </row>
    <row r="1573" spans="2:8" x14ac:dyDescent="0.25">
      <c r="B1573">
        <v>1.5553999999999999</v>
      </c>
      <c r="C1573">
        <v>245</v>
      </c>
      <c r="D1573">
        <v>33.4</v>
      </c>
      <c r="E1573">
        <v>7.5866000000000003E-2</v>
      </c>
      <c r="F1573">
        <v>13.180999999999999</v>
      </c>
      <c r="G1573">
        <v>744.2</v>
      </c>
      <c r="H1573">
        <v>1.5553999999999999</v>
      </c>
    </row>
    <row r="1574" spans="2:8" x14ac:dyDescent="0.25">
      <c r="B1574">
        <v>1.5591999999999999</v>
      </c>
      <c r="C1574">
        <v>250</v>
      </c>
      <c r="D1574">
        <v>33.4</v>
      </c>
      <c r="E1574">
        <v>7.5314999999999993E-2</v>
      </c>
      <c r="F1574">
        <v>13.278</v>
      </c>
      <c r="G1574">
        <v>746.94</v>
      </c>
      <c r="H1574">
        <v>1.5591999999999999</v>
      </c>
    </row>
    <row r="1575" spans="2:8" x14ac:dyDescent="0.25">
      <c r="B1575">
        <v>1.5630999999999999</v>
      </c>
      <c r="C1575">
        <v>255</v>
      </c>
      <c r="D1575">
        <v>33.4</v>
      </c>
      <c r="E1575">
        <v>7.4772000000000005E-2</v>
      </c>
      <c r="F1575">
        <v>13.374000000000001</v>
      </c>
      <c r="G1575">
        <v>749.69</v>
      </c>
      <c r="H1575">
        <v>1.5630999999999999</v>
      </c>
    </row>
    <row r="1576" spans="2:8" x14ac:dyDescent="0.25">
      <c r="B1576">
        <v>1.5669</v>
      </c>
      <c r="C1576">
        <v>260</v>
      </c>
      <c r="D1576">
        <v>33.4</v>
      </c>
      <c r="E1576">
        <v>7.4236999999999997E-2</v>
      </c>
      <c r="F1576">
        <v>13.47</v>
      </c>
      <c r="G1576">
        <v>752.44</v>
      </c>
      <c r="H1576">
        <v>1.5669</v>
      </c>
    </row>
    <row r="1577" spans="2:8" x14ac:dyDescent="0.25">
      <c r="B1577">
        <v>1.5707</v>
      </c>
      <c r="C1577">
        <v>265</v>
      </c>
      <c r="D1577">
        <v>33.4</v>
      </c>
      <c r="E1577">
        <v>7.3709999999999998E-2</v>
      </c>
      <c r="F1577">
        <v>13.567</v>
      </c>
      <c r="G1577">
        <v>755.2</v>
      </c>
      <c r="H1577">
        <v>1.5707</v>
      </c>
    </row>
    <row r="1578" spans="2:8" x14ac:dyDescent="0.25">
      <c r="B1578">
        <v>1.5745</v>
      </c>
      <c r="C1578">
        <v>270</v>
      </c>
      <c r="D1578">
        <v>33.4</v>
      </c>
      <c r="E1578">
        <v>7.3191000000000006E-2</v>
      </c>
      <c r="F1578">
        <v>13.663</v>
      </c>
      <c r="G1578">
        <v>757.96</v>
      </c>
      <c r="H1578">
        <v>1.5745</v>
      </c>
    </row>
    <row r="1579" spans="2:8" x14ac:dyDescent="0.25">
      <c r="B1579">
        <v>1.5783</v>
      </c>
      <c r="C1579">
        <v>275</v>
      </c>
      <c r="D1579">
        <v>33.4</v>
      </c>
      <c r="E1579">
        <v>7.2678999999999994E-2</v>
      </c>
      <c r="F1579">
        <v>13.759</v>
      </c>
      <c r="G1579">
        <v>760.73</v>
      </c>
      <c r="H1579">
        <v>1.5783</v>
      </c>
    </row>
    <row r="1580" spans="2:8" x14ac:dyDescent="0.25">
      <c r="B1580">
        <v>1.5821000000000001</v>
      </c>
      <c r="C1580">
        <v>280</v>
      </c>
      <c r="D1580">
        <v>33.4</v>
      </c>
      <c r="E1580">
        <v>7.2175000000000003E-2</v>
      </c>
      <c r="F1580">
        <v>13.855</v>
      </c>
      <c r="G1580">
        <v>763.5</v>
      </c>
      <c r="H1580">
        <v>1.5821000000000001</v>
      </c>
    </row>
    <row r="1581" spans="2:8" x14ac:dyDescent="0.25">
      <c r="B1581">
        <v>1.5858000000000001</v>
      </c>
      <c r="C1581">
        <v>285</v>
      </c>
      <c r="D1581">
        <v>33.4</v>
      </c>
      <c r="E1581">
        <v>7.1678000000000006E-2</v>
      </c>
      <c r="F1581">
        <v>13.951000000000001</v>
      </c>
      <c r="G1581">
        <v>766.28</v>
      </c>
      <c r="H1581">
        <v>1.5858000000000001</v>
      </c>
    </row>
    <row r="1582" spans="2:8" x14ac:dyDescent="0.25">
      <c r="B1582">
        <v>1.5895999999999999</v>
      </c>
      <c r="C1582">
        <v>290</v>
      </c>
      <c r="D1582">
        <v>33.4</v>
      </c>
      <c r="E1582">
        <v>7.1188000000000001E-2</v>
      </c>
      <c r="F1582">
        <v>14.047000000000001</v>
      </c>
      <c r="G1582">
        <v>769.06</v>
      </c>
      <c r="H1582">
        <v>1.5895999999999999</v>
      </c>
    </row>
    <row r="1583" spans="2:8" x14ac:dyDescent="0.25">
      <c r="B1583">
        <v>1.5932999999999999</v>
      </c>
      <c r="C1583">
        <v>295</v>
      </c>
      <c r="D1583">
        <v>33.4</v>
      </c>
      <c r="E1583">
        <v>7.0704000000000003E-2</v>
      </c>
      <c r="F1583">
        <v>14.143000000000001</v>
      </c>
      <c r="G1583">
        <v>771.85</v>
      </c>
      <c r="H1583">
        <v>1.5932999999999999</v>
      </c>
    </row>
    <row r="1584" spans="2:8" x14ac:dyDescent="0.25">
      <c r="B1584">
        <v>1.597</v>
      </c>
      <c r="C1584">
        <v>300</v>
      </c>
      <c r="D1584">
        <v>33.4</v>
      </c>
      <c r="E1584">
        <v>7.0227999999999999E-2</v>
      </c>
      <c r="F1584">
        <v>14.239000000000001</v>
      </c>
      <c r="G1584">
        <v>774.64</v>
      </c>
      <c r="H1584">
        <v>1.597</v>
      </c>
    </row>
    <row r="1586" spans="1:8" x14ac:dyDescent="0.25">
      <c r="A1586">
        <v>35</v>
      </c>
      <c r="B1586">
        <v>-2.5454999999999998E-2</v>
      </c>
      <c r="C1586">
        <v>-50</v>
      </c>
      <c r="D1586">
        <v>35</v>
      </c>
      <c r="E1586">
        <v>43.506999999999998</v>
      </c>
      <c r="F1586">
        <v>2.2984999999999998E-2</v>
      </c>
      <c r="G1586">
        <v>-10.45</v>
      </c>
      <c r="H1586">
        <v>-2.5454999999999998E-2</v>
      </c>
    </row>
    <row r="1587" spans="1:8" x14ac:dyDescent="0.25">
      <c r="B1587">
        <v>-1.2723999999999999E-2</v>
      </c>
      <c r="C1587">
        <v>-45</v>
      </c>
      <c r="D1587">
        <v>35</v>
      </c>
      <c r="E1587">
        <v>43.298999999999999</v>
      </c>
      <c r="F1587">
        <v>2.3095000000000001E-2</v>
      </c>
      <c r="G1587">
        <v>-5.2026000000000003</v>
      </c>
      <c r="H1587">
        <v>-1.2723999999999999E-2</v>
      </c>
    </row>
    <row r="1588" spans="1:8" x14ac:dyDescent="0.25">
      <c r="B1588">
        <v>-1.0335E-4</v>
      </c>
      <c r="C1588">
        <v>-40</v>
      </c>
      <c r="D1588">
        <v>35</v>
      </c>
      <c r="E1588">
        <v>43.09</v>
      </c>
      <c r="F1588">
        <v>2.3206999999999998E-2</v>
      </c>
      <c r="G1588">
        <v>6.2356000000000002E-2</v>
      </c>
      <c r="H1588">
        <v>-1.0335E-4</v>
      </c>
    </row>
    <row r="1589" spans="1:8" x14ac:dyDescent="0.25">
      <c r="B1589">
        <v>1.2409E-2</v>
      </c>
      <c r="C1589">
        <v>-35</v>
      </c>
      <c r="D1589">
        <v>35</v>
      </c>
      <c r="E1589">
        <v>42.878</v>
      </c>
      <c r="F1589">
        <v>2.3321999999999999E-2</v>
      </c>
      <c r="G1589">
        <v>5.3445999999999998</v>
      </c>
      <c r="H1589">
        <v>1.2409E-2</v>
      </c>
    </row>
    <row r="1590" spans="1:8" x14ac:dyDescent="0.25">
      <c r="B1590">
        <v>2.4815E-2</v>
      </c>
      <c r="C1590">
        <v>-30</v>
      </c>
      <c r="D1590">
        <v>35</v>
      </c>
      <c r="E1590">
        <v>42.664999999999999</v>
      </c>
      <c r="F1590">
        <v>2.3439000000000002E-2</v>
      </c>
      <c r="G1590">
        <v>10.644</v>
      </c>
      <c r="H1590">
        <v>2.4815E-2</v>
      </c>
    </row>
    <row r="1591" spans="1:8" x14ac:dyDescent="0.25">
      <c r="B1591">
        <v>3.7116000000000003E-2</v>
      </c>
      <c r="C1591">
        <v>-25</v>
      </c>
      <c r="D1591">
        <v>35</v>
      </c>
      <c r="E1591">
        <v>42.45</v>
      </c>
      <c r="F1591">
        <v>2.3557000000000002E-2</v>
      </c>
      <c r="G1591">
        <v>15.96</v>
      </c>
      <c r="H1591">
        <v>3.7116000000000003E-2</v>
      </c>
    </row>
    <row r="1592" spans="1:8" x14ac:dyDescent="0.25">
      <c r="B1592">
        <v>4.9314999999999998E-2</v>
      </c>
      <c r="C1592">
        <v>-20</v>
      </c>
      <c r="D1592">
        <v>35</v>
      </c>
      <c r="E1592">
        <v>42.231999999999999</v>
      </c>
      <c r="F1592">
        <v>2.3678000000000001E-2</v>
      </c>
      <c r="G1592">
        <v>21.292999999999999</v>
      </c>
      <c r="H1592">
        <v>4.9314999999999998E-2</v>
      </c>
    </row>
    <row r="1593" spans="1:8" x14ac:dyDescent="0.25">
      <c r="B1593">
        <v>6.1413000000000002E-2</v>
      </c>
      <c r="C1593">
        <v>-15</v>
      </c>
      <c r="D1593">
        <v>35</v>
      </c>
      <c r="E1593">
        <v>42.012999999999998</v>
      </c>
      <c r="F1593">
        <v>2.3802E-2</v>
      </c>
      <c r="G1593">
        <v>26.643000000000001</v>
      </c>
      <c r="H1593">
        <v>6.1413000000000002E-2</v>
      </c>
    </row>
    <row r="1594" spans="1:8" x14ac:dyDescent="0.25">
      <c r="B1594">
        <v>7.3413000000000006E-2</v>
      </c>
      <c r="C1594">
        <v>-10</v>
      </c>
      <c r="D1594">
        <v>35</v>
      </c>
      <c r="E1594">
        <v>41.792999999999999</v>
      </c>
      <c r="F1594">
        <v>2.3928000000000001E-2</v>
      </c>
      <c r="G1594">
        <v>32.008000000000003</v>
      </c>
      <c r="H1594">
        <v>7.3413000000000006E-2</v>
      </c>
    </row>
    <row r="1595" spans="1:8" x14ac:dyDescent="0.25">
      <c r="B1595">
        <v>8.5316000000000003E-2</v>
      </c>
      <c r="C1595">
        <v>-5</v>
      </c>
      <c r="D1595">
        <v>35</v>
      </c>
      <c r="E1595">
        <v>41.57</v>
      </c>
      <c r="F1595">
        <v>2.4056000000000001E-2</v>
      </c>
      <c r="G1595">
        <v>37.390999999999998</v>
      </c>
      <c r="H1595">
        <v>8.5316000000000003E-2</v>
      </c>
    </row>
    <row r="1596" spans="1:8" x14ac:dyDescent="0.25">
      <c r="B1596">
        <v>9.7125000000000003E-2</v>
      </c>
      <c r="C1596">
        <v>0</v>
      </c>
      <c r="D1596">
        <v>35</v>
      </c>
      <c r="E1596">
        <v>41.344999999999999</v>
      </c>
      <c r="F1596">
        <v>2.4187E-2</v>
      </c>
      <c r="G1596">
        <v>42.79</v>
      </c>
      <c r="H1596">
        <v>9.7125000000000003E-2</v>
      </c>
    </row>
    <row r="1597" spans="1:8" x14ac:dyDescent="0.25">
      <c r="B1597">
        <v>0.10884000000000001</v>
      </c>
      <c r="C1597">
        <v>5</v>
      </c>
      <c r="D1597">
        <v>35</v>
      </c>
      <c r="E1597">
        <v>41.118000000000002</v>
      </c>
      <c r="F1597">
        <v>2.4320000000000001E-2</v>
      </c>
      <c r="G1597">
        <v>48.204999999999998</v>
      </c>
      <c r="H1597">
        <v>0.10884000000000001</v>
      </c>
    </row>
    <row r="1598" spans="1:8" x14ac:dyDescent="0.25">
      <c r="B1598">
        <v>1.3280000000000001</v>
      </c>
      <c r="C1598">
        <v>10</v>
      </c>
      <c r="D1598">
        <v>35</v>
      </c>
      <c r="E1598">
        <v>0.1239</v>
      </c>
      <c r="F1598">
        <v>8.0707000000000004</v>
      </c>
      <c r="G1598">
        <v>615.84</v>
      </c>
      <c r="H1598">
        <v>1.3280000000000001</v>
      </c>
    </row>
    <row r="1599" spans="1:8" x14ac:dyDescent="0.25">
      <c r="B1599">
        <v>1.3342000000000001</v>
      </c>
      <c r="C1599">
        <v>15</v>
      </c>
      <c r="D1599">
        <v>35</v>
      </c>
      <c r="E1599">
        <v>0.12232</v>
      </c>
      <c r="F1599">
        <v>8.1753</v>
      </c>
      <c r="G1599">
        <v>618.76</v>
      </c>
      <c r="H1599">
        <v>1.3342000000000001</v>
      </c>
    </row>
    <row r="1600" spans="1:8" x14ac:dyDescent="0.25">
      <c r="B1600">
        <v>1.3403</v>
      </c>
      <c r="C1600">
        <v>20</v>
      </c>
      <c r="D1600">
        <v>35</v>
      </c>
      <c r="E1600">
        <v>0.12078999999999999</v>
      </c>
      <c r="F1600">
        <v>8.2789000000000001</v>
      </c>
      <c r="G1600">
        <v>621.66</v>
      </c>
      <c r="H1600">
        <v>1.3403</v>
      </c>
    </row>
    <row r="1601" spans="2:8" x14ac:dyDescent="0.25">
      <c r="B1601">
        <v>1.3462000000000001</v>
      </c>
      <c r="C1601">
        <v>25</v>
      </c>
      <c r="D1601">
        <v>35</v>
      </c>
      <c r="E1601">
        <v>0.11931</v>
      </c>
      <c r="F1601">
        <v>8.3817000000000004</v>
      </c>
      <c r="G1601">
        <v>624.53</v>
      </c>
      <c r="H1601">
        <v>1.3462000000000001</v>
      </c>
    </row>
    <row r="1602" spans="2:8" x14ac:dyDescent="0.25">
      <c r="B1602">
        <v>1.3521000000000001</v>
      </c>
      <c r="C1602">
        <v>30</v>
      </c>
      <c r="D1602">
        <v>35</v>
      </c>
      <c r="E1602">
        <v>0.11787</v>
      </c>
      <c r="F1602">
        <v>8.4838000000000005</v>
      </c>
      <c r="G1602">
        <v>627.38</v>
      </c>
      <c r="H1602">
        <v>1.3521000000000001</v>
      </c>
    </row>
    <row r="1603" spans="2:8" x14ac:dyDescent="0.25">
      <c r="B1603">
        <v>1.3577999999999999</v>
      </c>
      <c r="C1603">
        <v>35</v>
      </c>
      <c r="D1603">
        <v>35</v>
      </c>
      <c r="E1603">
        <v>0.11648</v>
      </c>
      <c r="F1603">
        <v>8.5851000000000006</v>
      </c>
      <c r="G1603">
        <v>630.21</v>
      </c>
      <c r="H1603">
        <v>1.3577999999999999</v>
      </c>
    </row>
    <row r="1604" spans="2:8" x14ac:dyDescent="0.25">
      <c r="B1604">
        <v>1.3634999999999999</v>
      </c>
      <c r="C1604">
        <v>40</v>
      </c>
      <c r="D1604">
        <v>35</v>
      </c>
      <c r="E1604">
        <v>0.11513</v>
      </c>
      <c r="F1604">
        <v>8.6859000000000002</v>
      </c>
      <c r="G1604">
        <v>633.02</v>
      </c>
      <c r="H1604">
        <v>1.3634999999999999</v>
      </c>
    </row>
    <row r="1605" spans="2:8" x14ac:dyDescent="0.25">
      <c r="B1605">
        <v>1.369</v>
      </c>
      <c r="C1605">
        <v>45</v>
      </c>
      <c r="D1605">
        <v>35</v>
      </c>
      <c r="E1605">
        <v>0.11382</v>
      </c>
      <c r="F1605">
        <v>8.7859999999999996</v>
      </c>
      <c r="G1605">
        <v>635.80999999999995</v>
      </c>
      <c r="H1605">
        <v>1.369</v>
      </c>
    </row>
    <row r="1606" spans="2:8" x14ac:dyDescent="0.25">
      <c r="B1606">
        <v>1.3745000000000001</v>
      </c>
      <c r="C1606">
        <v>50</v>
      </c>
      <c r="D1606">
        <v>35</v>
      </c>
      <c r="E1606">
        <v>0.11254</v>
      </c>
      <c r="F1606">
        <v>8.8856999999999999</v>
      </c>
      <c r="G1606">
        <v>638.59</v>
      </c>
      <c r="H1606">
        <v>1.3745000000000001</v>
      </c>
    </row>
    <row r="1607" spans="2:8" x14ac:dyDescent="0.25">
      <c r="B1607">
        <v>1.3798999999999999</v>
      </c>
      <c r="C1607">
        <v>55</v>
      </c>
      <c r="D1607">
        <v>35</v>
      </c>
      <c r="E1607">
        <v>0.1113</v>
      </c>
      <c r="F1607">
        <v>8.9847999999999999</v>
      </c>
      <c r="G1607">
        <v>641.35</v>
      </c>
      <c r="H1607">
        <v>1.3798999999999999</v>
      </c>
    </row>
    <row r="1608" spans="2:8" x14ac:dyDescent="0.25">
      <c r="B1608">
        <v>1.3852</v>
      </c>
      <c r="C1608">
        <v>60</v>
      </c>
      <c r="D1608">
        <v>35</v>
      </c>
      <c r="E1608">
        <v>0.11008999999999999</v>
      </c>
      <c r="F1608">
        <v>9.0835000000000008</v>
      </c>
      <c r="G1608">
        <v>644.11</v>
      </c>
      <c r="H1608">
        <v>1.3852</v>
      </c>
    </row>
    <row r="1609" spans="2:8" x14ac:dyDescent="0.25">
      <c r="B1609">
        <v>1.3905000000000001</v>
      </c>
      <c r="C1609">
        <v>65</v>
      </c>
      <c r="D1609">
        <v>35</v>
      </c>
      <c r="E1609">
        <v>0.10891000000000001</v>
      </c>
      <c r="F1609">
        <v>9.1816999999999993</v>
      </c>
      <c r="G1609">
        <v>646.85</v>
      </c>
      <c r="H1609">
        <v>1.3905000000000001</v>
      </c>
    </row>
    <row r="1610" spans="2:8" x14ac:dyDescent="0.25">
      <c r="B1610">
        <v>1.3956999999999999</v>
      </c>
      <c r="C1610">
        <v>70</v>
      </c>
      <c r="D1610">
        <v>35</v>
      </c>
      <c r="E1610">
        <v>0.10775999999999999</v>
      </c>
      <c r="F1610">
        <v>9.2796000000000003</v>
      </c>
      <c r="G1610">
        <v>649.58000000000004</v>
      </c>
      <c r="H1610">
        <v>1.3956999999999999</v>
      </c>
    </row>
    <row r="1611" spans="2:8" x14ac:dyDescent="0.25">
      <c r="B1611">
        <v>1.4008</v>
      </c>
      <c r="C1611">
        <v>75</v>
      </c>
      <c r="D1611">
        <v>35</v>
      </c>
      <c r="E1611">
        <v>0.10664</v>
      </c>
      <c r="F1611">
        <v>9.3770000000000007</v>
      </c>
      <c r="G1611">
        <v>652.29999999999995</v>
      </c>
      <c r="H1611">
        <v>1.4008</v>
      </c>
    </row>
    <row r="1612" spans="2:8" x14ac:dyDescent="0.25">
      <c r="B1612">
        <v>1.4057999999999999</v>
      </c>
      <c r="C1612">
        <v>80</v>
      </c>
      <c r="D1612">
        <v>35</v>
      </c>
      <c r="E1612">
        <v>0.10555</v>
      </c>
      <c r="F1612">
        <v>9.4741</v>
      </c>
      <c r="G1612">
        <v>655.01</v>
      </c>
      <c r="H1612">
        <v>1.4057999999999999</v>
      </c>
    </row>
    <row r="1613" spans="2:8" x14ac:dyDescent="0.25">
      <c r="B1613">
        <v>1.4108000000000001</v>
      </c>
      <c r="C1613">
        <v>85</v>
      </c>
      <c r="D1613">
        <v>35</v>
      </c>
      <c r="E1613">
        <v>0.10448</v>
      </c>
      <c r="F1613">
        <v>9.5709999999999997</v>
      </c>
      <c r="G1613">
        <v>657.72</v>
      </c>
      <c r="H1613">
        <v>1.4108000000000001</v>
      </c>
    </row>
    <row r="1614" spans="2:8" x14ac:dyDescent="0.25">
      <c r="B1614">
        <v>1.4157999999999999</v>
      </c>
      <c r="C1614">
        <v>90</v>
      </c>
      <c r="D1614">
        <v>35</v>
      </c>
      <c r="E1614">
        <v>0.10344</v>
      </c>
      <c r="F1614">
        <v>9.6675000000000004</v>
      </c>
      <c r="G1614">
        <v>660.43</v>
      </c>
      <c r="H1614">
        <v>1.4157999999999999</v>
      </c>
    </row>
    <row r="1615" spans="2:8" x14ac:dyDescent="0.25">
      <c r="B1615">
        <v>1.4206000000000001</v>
      </c>
      <c r="C1615">
        <v>95</v>
      </c>
      <c r="D1615">
        <v>35</v>
      </c>
      <c r="E1615">
        <v>0.10242</v>
      </c>
      <c r="F1615">
        <v>9.7637</v>
      </c>
      <c r="G1615">
        <v>663.12</v>
      </c>
      <c r="H1615">
        <v>1.4206000000000001</v>
      </c>
    </row>
    <row r="1616" spans="2:8" x14ac:dyDescent="0.25">
      <c r="B1616">
        <v>1.4255</v>
      </c>
      <c r="C1616">
        <v>100</v>
      </c>
      <c r="D1616">
        <v>35</v>
      </c>
      <c r="E1616">
        <v>0.10142</v>
      </c>
      <c r="F1616">
        <v>9.8596000000000004</v>
      </c>
      <c r="G1616">
        <v>665.82</v>
      </c>
      <c r="H1616">
        <v>1.4255</v>
      </c>
    </row>
    <row r="1617" spans="2:8" x14ac:dyDescent="0.25">
      <c r="B1617">
        <v>1.4302999999999999</v>
      </c>
      <c r="C1617">
        <v>105</v>
      </c>
      <c r="D1617">
        <v>35</v>
      </c>
      <c r="E1617">
        <v>0.10045</v>
      </c>
      <c r="F1617">
        <v>9.9552999999999994</v>
      </c>
      <c r="G1617">
        <v>668.51</v>
      </c>
      <c r="H1617">
        <v>1.4302999999999999</v>
      </c>
    </row>
    <row r="1618" spans="2:8" x14ac:dyDescent="0.25">
      <c r="B1618">
        <v>1.4350000000000001</v>
      </c>
      <c r="C1618">
        <v>110</v>
      </c>
      <c r="D1618">
        <v>35</v>
      </c>
      <c r="E1618">
        <v>9.9495E-2</v>
      </c>
      <c r="F1618">
        <v>10.051</v>
      </c>
      <c r="G1618">
        <v>671.19</v>
      </c>
      <c r="H1618">
        <v>1.4350000000000001</v>
      </c>
    </row>
    <row r="1619" spans="2:8" x14ac:dyDescent="0.25">
      <c r="B1619">
        <v>1.4397</v>
      </c>
      <c r="C1619">
        <v>115</v>
      </c>
      <c r="D1619">
        <v>35</v>
      </c>
      <c r="E1619">
        <v>9.8560999999999996E-2</v>
      </c>
      <c r="F1619">
        <v>10.146000000000001</v>
      </c>
      <c r="G1619">
        <v>673.88</v>
      </c>
      <c r="H1619">
        <v>1.4397</v>
      </c>
    </row>
    <row r="1620" spans="2:8" x14ac:dyDescent="0.25">
      <c r="B1620">
        <v>1.4442999999999999</v>
      </c>
      <c r="C1620">
        <v>120</v>
      </c>
      <c r="D1620">
        <v>35</v>
      </c>
      <c r="E1620">
        <v>9.7645999999999997E-2</v>
      </c>
      <c r="F1620">
        <v>10.241</v>
      </c>
      <c r="G1620">
        <v>676.56</v>
      </c>
      <c r="H1620">
        <v>1.4442999999999999</v>
      </c>
    </row>
    <row r="1621" spans="2:8" x14ac:dyDescent="0.25">
      <c r="B1621">
        <v>1.4490000000000001</v>
      </c>
      <c r="C1621">
        <v>125</v>
      </c>
      <c r="D1621">
        <v>35</v>
      </c>
      <c r="E1621">
        <v>9.6750000000000003E-2</v>
      </c>
      <c r="F1621">
        <v>10.336</v>
      </c>
      <c r="G1621">
        <v>679.24</v>
      </c>
      <c r="H1621">
        <v>1.4490000000000001</v>
      </c>
    </row>
    <row r="1622" spans="2:8" x14ac:dyDescent="0.25">
      <c r="B1622">
        <v>1.4535</v>
      </c>
      <c r="C1622">
        <v>130</v>
      </c>
      <c r="D1622">
        <v>35</v>
      </c>
      <c r="E1622">
        <v>9.5871999999999999E-2</v>
      </c>
      <c r="F1622">
        <v>10.430999999999999</v>
      </c>
      <c r="G1622">
        <v>681.93</v>
      </c>
      <c r="H1622">
        <v>1.4535</v>
      </c>
    </row>
    <row r="1623" spans="2:8" x14ac:dyDescent="0.25">
      <c r="B1623">
        <v>1.458</v>
      </c>
      <c r="C1623">
        <v>135</v>
      </c>
      <c r="D1623">
        <v>35</v>
      </c>
      <c r="E1623">
        <v>9.5010999999999998E-2</v>
      </c>
      <c r="F1623">
        <v>10.525</v>
      </c>
      <c r="G1623">
        <v>684.61</v>
      </c>
      <c r="H1623">
        <v>1.458</v>
      </c>
    </row>
    <row r="1624" spans="2:8" x14ac:dyDescent="0.25">
      <c r="B1624">
        <v>1.4624999999999999</v>
      </c>
      <c r="C1624">
        <v>140</v>
      </c>
      <c r="D1624">
        <v>35</v>
      </c>
      <c r="E1624">
        <v>9.4167000000000001E-2</v>
      </c>
      <c r="F1624">
        <v>10.619</v>
      </c>
      <c r="G1624">
        <v>687.29</v>
      </c>
      <c r="H1624">
        <v>1.4624999999999999</v>
      </c>
    </row>
    <row r="1625" spans="2:8" x14ac:dyDescent="0.25">
      <c r="B1625">
        <v>1.4670000000000001</v>
      </c>
      <c r="C1625">
        <v>145</v>
      </c>
      <c r="D1625">
        <v>35</v>
      </c>
      <c r="E1625">
        <v>9.3340000000000006E-2</v>
      </c>
      <c r="F1625">
        <v>10.714</v>
      </c>
      <c r="G1625">
        <v>689.97</v>
      </c>
      <c r="H1625">
        <v>1.4670000000000001</v>
      </c>
    </row>
    <row r="1626" spans="2:8" x14ac:dyDescent="0.25">
      <c r="B1626">
        <v>1.4714</v>
      </c>
      <c r="C1626">
        <v>150</v>
      </c>
      <c r="D1626">
        <v>35</v>
      </c>
      <c r="E1626">
        <v>9.2527999999999999E-2</v>
      </c>
      <c r="F1626">
        <v>10.808</v>
      </c>
      <c r="G1626">
        <v>692.65</v>
      </c>
      <c r="H1626">
        <v>1.4714</v>
      </c>
    </row>
    <row r="1627" spans="2:8" x14ac:dyDescent="0.25">
      <c r="B1627">
        <v>1.4758</v>
      </c>
      <c r="C1627">
        <v>155</v>
      </c>
      <c r="D1627">
        <v>35</v>
      </c>
      <c r="E1627">
        <v>9.1730999999999993E-2</v>
      </c>
      <c r="F1627">
        <v>10.901</v>
      </c>
      <c r="G1627">
        <v>695.33</v>
      </c>
      <c r="H1627">
        <v>1.4758</v>
      </c>
    </row>
    <row r="1628" spans="2:8" x14ac:dyDescent="0.25">
      <c r="B1628">
        <v>1.4801</v>
      </c>
      <c r="C1628">
        <v>160</v>
      </c>
      <c r="D1628">
        <v>35</v>
      </c>
      <c r="E1628">
        <v>9.0949000000000002E-2</v>
      </c>
      <c r="F1628">
        <v>10.994999999999999</v>
      </c>
      <c r="G1628">
        <v>698.02</v>
      </c>
      <c r="H1628">
        <v>1.4801</v>
      </c>
    </row>
    <row r="1629" spans="2:8" x14ac:dyDescent="0.25">
      <c r="B1629">
        <v>1.4844999999999999</v>
      </c>
      <c r="C1629">
        <v>165</v>
      </c>
      <c r="D1629">
        <v>35</v>
      </c>
      <c r="E1629">
        <v>9.0180999999999997E-2</v>
      </c>
      <c r="F1629">
        <v>11.089</v>
      </c>
      <c r="G1629">
        <v>700.7</v>
      </c>
      <c r="H1629">
        <v>1.4844999999999999</v>
      </c>
    </row>
    <row r="1630" spans="2:8" x14ac:dyDescent="0.25">
      <c r="B1630">
        <v>1.4886999999999999</v>
      </c>
      <c r="C1630">
        <v>170</v>
      </c>
      <c r="D1630">
        <v>35</v>
      </c>
      <c r="E1630">
        <v>8.9427000000000006E-2</v>
      </c>
      <c r="F1630">
        <v>11.182</v>
      </c>
      <c r="G1630">
        <v>703.39</v>
      </c>
      <c r="H1630">
        <v>1.4886999999999999</v>
      </c>
    </row>
    <row r="1631" spans="2:8" x14ac:dyDescent="0.25">
      <c r="B1631">
        <v>1.4930000000000001</v>
      </c>
      <c r="C1631">
        <v>175</v>
      </c>
      <c r="D1631">
        <v>35</v>
      </c>
      <c r="E1631">
        <v>8.8687000000000002E-2</v>
      </c>
      <c r="F1631">
        <v>11.276</v>
      </c>
      <c r="G1631">
        <v>706.08</v>
      </c>
      <c r="H1631">
        <v>1.4930000000000001</v>
      </c>
    </row>
    <row r="1632" spans="2:8" x14ac:dyDescent="0.25">
      <c r="B1632">
        <v>1.4972000000000001</v>
      </c>
      <c r="C1632">
        <v>180</v>
      </c>
      <c r="D1632">
        <v>35</v>
      </c>
      <c r="E1632">
        <v>8.7958999999999996E-2</v>
      </c>
      <c r="F1632">
        <v>11.369</v>
      </c>
      <c r="G1632">
        <v>708.77</v>
      </c>
      <c r="H1632">
        <v>1.4972000000000001</v>
      </c>
    </row>
    <row r="1633" spans="2:8" x14ac:dyDescent="0.25">
      <c r="B1633">
        <v>1.5014000000000001</v>
      </c>
      <c r="C1633">
        <v>185</v>
      </c>
      <c r="D1633">
        <v>35</v>
      </c>
      <c r="E1633">
        <v>8.7244000000000002E-2</v>
      </c>
      <c r="F1633">
        <v>11.462</v>
      </c>
      <c r="G1633">
        <v>711.47</v>
      </c>
      <c r="H1633">
        <v>1.5014000000000001</v>
      </c>
    </row>
    <row r="1634" spans="2:8" x14ac:dyDescent="0.25">
      <c r="B1634">
        <v>1.5056</v>
      </c>
      <c r="C1634">
        <v>190</v>
      </c>
      <c r="D1634">
        <v>35</v>
      </c>
      <c r="E1634">
        <v>8.6541999999999994E-2</v>
      </c>
      <c r="F1634">
        <v>11.555</v>
      </c>
      <c r="G1634">
        <v>714.16</v>
      </c>
      <c r="H1634">
        <v>1.5056</v>
      </c>
    </row>
    <row r="1635" spans="2:8" x14ac:dyDescent="0.25">
      <c r="B1635">
        <v>1.5097</v>
      </c>
      <c r="C1635">
        <v>195</v>
      </c>
      <c r="D1635">
        <v>35</v>
      </c>
      <c r="E1635">
        <v>8.5850999999999997E-2</v>
      </c>
      <c r="F1635">
        <v>11.648</v>
      </c>
      <c r="G1635">
        <v>716.86</v>
      </c>
      <c r="H1635">
        <v>1.5097</v>
      </c>
    </row>
    <row r="1636" spans="2:8" x14ac:dyDescent="0.25">
      <c r="B1636">
        <v>1.5138</v>
      </c>
      <c r="C1636">
        <v>200</v>
      </c>
      <c r="D1636">
        <v>35</v>
      </c>
      <c r="E1636">
        <v>8.5171999999999998E-2</v>
      </c>
      <c r="F1636">
        <v>11.741</v>
      </c>
      <c r="G1636">
        <v>719.57</v>
      </c>
      <c r="H1636">
        <v>1.5138</v>
      </c>
    </row>
    <row r="1637" spans="2:8" x14ac:dyDescent="0.25">
      <c r="B1637">
        <v>1.5179</v>
      </c>
      <c r="C1637">
        <v>205</v>
      </c>
      <c r="D1637">
        <v>35</v>
      </c>
      <c r="E1637">
        <v>8.4503999999999996E-2</v>
      </c>
      <c r="F1637">
        <v>11.834</v>
      </c>
      <c r="G1637">
        <v>722.28</v>
      </c>
      <c r="H1637">
        <v>1.5179</v>
      </c>
    </row>
    <row r="1638" spans="2:8" x14ac:dyDescent="0.25">
      <c r="B1638">
        <v>1.522</v>
      </c>
      <c r="C1638">
        <v>210</v>
      </c>
      <c r="D1638">
        <v>35</v>
      </c>
      <c r="E1638">
        <v>8.3847000000000005E-2</v>
      </c>
      <c r="F1638">
        <v>11.926</v>
      </c>
      <c r="G1638">
        <v>724.99</v>
      </c>
      <c r="H1638">
        <v>1.522</v>
      </c>
    </row>
    <row r="1639" spans="2:8" x14ac:dyDescent="0.25">
      <c r="B1639">
        <v>1.526</v>
      </c>
      <c r="C1639">
        <v>215</v>
      </c>
      <c r="D1639">
        <v>35</v>
      </c>
      <c r="E1639">
        <v>8.3200999999999997E-2</v>
      </c>
      <c r="F1639">
        <v>12.019</v>
      </c>
      <c r="G1639">
        <v>727.7</v>
      </c>
      <c r="H1639">
        <v>1.526</v>
      </c>
    </row>
    <row r="1640" spans="2:8" x14ac:dyDescent="0.25">
      <c r="B1640">
        <v>1.53</v>
      </c>
      <c r="C1640">
        <v>220</v>
      </c>
      <c r="D1640">
        <v>35</v>
      </c>
      <c r="E1640">
        <v>8.2565E-2</v>
      </c>
      <c r="F1640">
        <v>12.112</v>
      </c>
      <c r="G1640">
        <v>730.42</v>
      </c>
      <c r="H1640">
        <v>1.53</v>
      </c>
    </row>
    <row r="1641" spans="2:8" x14ac:dyDescent="0.25">
      <c r="B1641">
        <v>1.534</v>
      </c>
      <c r="C1641">
        <v>225</v>
      </c>
      <c r="D1641">
        <v>35</v>
      </c>
      <c r="E1641">
        <v>8.1939999999999999E-2</v>
      </c>
      <c r="F1641">
        <v>12.204000000000001</v>
      </c>
      <c r="G1641">
        <v>733.14</v>
      </c>
      <c r="H1641">
        <v>1.534</v>
      </c>
    </row>
    <row r="1642" spans="2:8" x14ac:dyDescent="0.25">
      <c r="B1642">
        <v>1.538</v>
      </c>
      <c r="C1642">
        <v>230</v>
      </c>
      <c r="D1642">
        <v>35</v>
      </c>
      <c r="E1642">
        <v>8.1323999999999994E-2</v>
      </c>
      <c r="F1642">
        <v>12.295999999999999</v>
      </c>
      <c r="G1642">
        <v>735.87</v>
      </c>
      <c r="H1642">
        <v>1.538</v>
      </c>
    </row>
    <row r="1643" spans="2:8" x14ac:dyDescent="0.25">
      <c r="B1643">
        <v>1.5419</v>
      </c>
      <c r="C1643">
        <v>235</v>
      </c>
      <c r="D1643">
        <v>35</v>
      </c>
      <c r="E1643">
        <v>8.0717999999999998E-2</v>
      </c>
      <c r="F1643">
        <v>12.388999999999999</v>
      </c>
      <c r="G1643">
        <v>738.6</v>
      </c>
      <c r="H1643">
        <v>1.5419</v>
      </c>
    </row>
    <row r="1644" spans="2:8" x14ac:dyDescent="0.25">
      <c r="B1644">
        <v>1.5459000000000001</v>
      </c>
      <c r="C1644">
        <v>240</v>
      </c>
      <c r="D1644">
        <v>35</v>
      </c>
      <c r="E1644">
        <v>8.0120999999999998E-2</v>
      </c>
      <c r="F1644">
        <v>12.481</v>
      </c>
      <c r="G1644">
        <v>741.33</v>
      </c>
      <c r="H1644">
        <v>1.5459000000000001</v>
      </c>
    </row>
    <row r="1645" spans="2:8" x14ac:dyDescent="0.25">
      <c r="B1645">
        <v>1.5498000000000001</v>
      </c>
      <c r="C1645">
        <v>245</v>
      </c>
      <c r="D1645">
        <v>35</v>
      </c>
      <c r="E1645">
        <v>7.9533999999999994E-2</v>
      </c>
      <c r="F1645">
        <v>12.573</v>
      </c>
      <c r="G1645">
        <v>744.07</v>
      </c>
      <c r="H1645">
        <v>1.5498000000000001</v>
      </c>
    </row>
    <row r="1646" spans="2:8" x14ac:dyDescent="0.25">
      <c r="B1646">
        <v>1.5537000000000001</v>
      </c>
      <c r="C1646">
        <v>250</v>
      </c>
      <c r="D1646">
        <v>35</v>
      </c>
      <c r="E1646">
        <v>7.8954999999999997E-2</v>
      </c>
      <c r="F1646">
        <v>12.664999999999999</v>
      </c>
      <c r="G1646">
        <v>746.82</v>
      </c>
      <c r="H1646">
        <v>1.5537000000000001</v>
      </c>
    </row>
    <row r="1647" spans="2:8" x14ac:dyDescent="0.25">
      <c r="B1647">
        <v>1.5575000000000001</v>
      </c>
      <c r="C1647">
        <v>255</v>
      </c>
      <c r="D1647">
        <v>35</v>
      </c>
      <c r="E1647">
        <v>7.8384999999999996E-2</v>
      </c>
      <c r="F1647">
        <v>12.757999999999999</v>
      </c>
      <c r="G1647">
        <v>749.57</v>
      </c>
      <c r="H1647">
        <v>1.5575000000000001</v>
      </c>
    </row>
    <row r="1648" spans="2:8" x14ac:dyDescent="0.25">
      <c r="B1648">
        <v>1.5613999999999999</v>
      </c>
      <c r="C1648">
        <v>260</v>
      </c>
      <c r="D1648">
        <v>35</v>
      </c>
      <c r="E1648">
        <v>7.7824000000000004E-2</v>
      </c>
      <c r="F1648">
        <v>12.85</v>
      </c>
      <c r="G1648">
        <v>752.32</v>
      </c>
      <c r="H1648">
        <v>1.5613999999999999</v>
      </c>
    </row>
    <row r="1649" spans="1:8" x14ac:dyDescent="0.25">
      <c r="B1649">
        <v>1.5651999999999999</v>
      </c>
      <c r="C1649">
        <v>265</v>
      </c>
      <c r="D1649">
        <v>35</v>
      </c>
      <c r="E1649">
        <v>7.7270000000000005E-2</v>
      </c>
      <c r="F1649">
        <v>12.942</v>
      </c>
      <c r="G1649">
        <v>755.08</v>
      </c>
      <c r="H1649">
        <v>1.5651999999999999</v>
      </c>
    </row>
    <row r="1650" spans="1:8" x14ac:dyDescent="0.25">
      <c r="B1650">
        <v>1.569</v>
      </c>
      <c r="C1650">
        <v>270</v>
      </c>
      <c r="D1650">
        <v>35</v>
      </c>
      <c r="E1650">
        <v>7.6725000000000002E-2</v>
      </c>
      <c r="F1650">
        <v>13.034000000000001</v>
      </c>
      <c r="G1650">
        <v>757.85</v>
      </c>
      <c r="H1650">
        <v>1.569</v>
      </c>
    </row>
    <row r="1651" spans="1:8" x14ac:dyDescent="0.25">
      <c r="B1651">
        <v>1.5728</v>
      </c>
      <c r="C1651">
        <v>275</v>
      </c>
      <c r="D1651">
        <v>35</v>
      </c>
      <c r="E1651">
        <v>7.6188000000000006E-2</v>
      </c>
      <c r="F1651">
        <v>13.125</v>
      </c>
      <c r="G1651">
        <v>760.62</v>
      </c>
      <c r="H1651">
        <v>1.5728</v>
      </c>
    </row>
    <row r="1652" spans="1:8" x14ac:dyDescent="0.25">
      <c r="B1652">
        <v>1.5765</v>
      </c>
      <c r="C1652">
        <v>280</v>
      </c>
      <c r="D1652">
        <v>35</v>
      </c>
      <c r="E1652">
        <v>7.5659000000000004E-2</v>
      </c>
      <c r="F1652">
        <v>13.217000000000001</v>
      </c>
      <c r="G1652">
        <v>763.39</v>
      </c>
      <c r="H1652">
        <v>1.5765</v>
      </c>
    </row>
    <row r="1653" spans="1:8" x14ac:dyDescent="0.25">
      <c r="B1653">
        <v>1.5803</v>
      </c>
      <c r="C1653">
        <v>285</v>
      </c>
      <c r="D1653">
        <v>35</v>
      </c>
      <c r="E1653">
        <v>7.5136999999999995E-2</v>
      </c>
      <c r="F1653">
        <v>13.308999999999999</v>
      </c>
      <c r="G1653">
        <v>766.17</v>
      </c>
      <c r="H1653">
        <v>1.5803</v>
      </c>
    </row>
    <row r="1654" spans="1:8" x14ac:dyDescent="0.25">
      <c r="B1654">
        <v>1.5840000000000001</v>
      </c>
      <c r="C1654">
        <v>290</v>
      </c>
      <c r="D1654">
        <v>35</v>
      </c>
      <c r="E1654">
        <v>7.4622999999999995E-2</v>
      </c>
      <c r="F1654">
        <v>13.401</v>
      </c>
      <c r="G1654">
        <v>768.96</v>
      </c>
      <c r="H1654">
        <v>1.5840000000000001</v>
      </c>
    </row>
    <row r="1655" spans="1:8" x14ac:dyDescent="0.25">
      <c r="B1655">
        <v>1.5876999999999999</v>
      </c>
      <c r="C1655">
        <v>295</v>
      </c>
      <c r="D1655">
        <v>35</v>
      </c>
      <c r="E1655">
        <v>7.4115E-2</v>
      </c>
      <c r="F1655">
        <v>13.492000000000001</v>
      </c>
      <c r="G1655">
        <v>771.75</v>
      </c>
      <c r="H1655">
        <v>1.5876999999999999</v>
      </c>
    </row>
    <row r="1656" spans="1:8" x14ac:dyDescent="0.25">
      <c r="B1656">
        <v>1.5913999999999999</v>
      </c>
      <c r="C1656">
        <v>300</v>
      </c>
      <c r="D1656">
        <v>35</v>
      </c>
      <c r="E1656">
        <v>7.3615E-2</v>
      </c>
      <c r="F1656">
        <v>13.584</v>
      </c>
      <c r="G1656">
        <v>774.54</v>
      </c>
      <c r="H1656">
        <v>1.5913999999999999</v>
      </c>
    </row>
    <row r="1658" spans="1:8" x14ac:dyDescent="0.25">
      <c r="A1658">
        <v>36.700000000000003</v>
      </c>
      <c r="B1658">
        <v>-2.5461999999999999E-2</v>
      </c>
      <c r="C1658">
        <v>-50</v>
      </c>
      <c r="D1658">
        <v>36.700000000000003</v>
      </c>
      <c r="E1658">
        <v>43.506999999999998</v>
      </c>
      <c r="F1658">
        <v>2.2984999999999998E-2</v>
      </c>
      <c r="G1658">
        <v>-10.445</v>
      </c>
      <c r="H1658">
        <v>-2.5461999999999999E-2</v>
      </c>
    </row>
    <row r="1659" spans="1:8" x14ac:dyDescent="0.25">
      <c r="B1659">
        <v>-1.2730999999999999E-2</v>
      </c>
      <c r="C1659">
        <v>-45</v>
      </c>
      <c r="D1659">
        <v>36.700000000000003</v>
      </c>
      <c r="E1659">
        <v>43.3</v>
      </c>
      <c r="F1659">
        <v>2.3095000000000001E-2</v>
      </c>
      <c r="G1659">
        <v>-5.1981999999999999</v>
      </c>
      <c r="H1659">
        <v>-1.2730999999999999E-2</v>
      </c>
    </row>
    <row r="1660" spans="1:8" x14ac:dyDescent="0.25">
      <c r="B1660">
        <v>-1.1048999999999999E-4</v>
      </c>
      <c r="C1660">
        <v>-40</v>
      </c>
      <c r="D1660">
        <v>36.700000000000003</v>
      </c>
      <c r="E1660">
        <v>43.09</v>
      </c>
      <c r="F1660">
        <v>2.3206999999999998E-2</v>
      </c>
      <c r="G1660">
        <v>6.6666000000000003E-2</v>
      </c>
      <c r="H1660">
        <v>-1.1048999999999999E-4</v>
      </c>
    </row>
    <row r="1661" spans="1:8" x14ac:dyDescent="0.25">
      <c r="B1661">
        <v>1.2402E-2</v>
      </c>
      <c r="C1661">
        <v>-35</v>
      </c>
      <c r="D1661">
        <v>36.700000000000003</v>
      </c>
      <c r="E1661">
        <v>42.878</v>
      </c>
      <c r="F1661">
        <v>2.3321999999999999E-2</v>
      </c>
      <c r="G1661">
        <v>5.3489000000000004</v>
      </c>
      <c r="H1661">
        <v>1.2402E-2</v>
      </c>
    </row>
    <row r="1662" spans="1:8" x14ac:dyDescent="0.25">
      <c r="B1662">
        <v>2.4806999999999999E-2</v>
      </c>
      <c r="C1662">
        <v>-30</v>
      </c>
      <c r="D1662">
        <v>36.700000000000003</v>
      </c>
      <c r="E1662">
        <v>42.664999999999999</v>
      </c>
      <c r="F1662">
        <v>2.3438000000000001E-2</v>
      </c>
      <c r="G1662">
        <v>10.648</v>
      </c>
      <c r="H1662">
        <v>2.4806999999999999E-2</v>
      </c>
    </row>
    <row r="1663" spans="1:8" x14ac:dyDescent="0.25">
      <c r="B1663">
        <v>3.7109000000000003E-2</v>
      </c>
      <c r="C1663">
        <v>-25</v>
      </c>
      <c r="D1663">
        <v>36.700000000000003</v>
      </c>
      <c r="E1663">
        <v>42.45</v>
      </c>
      <c r="F1663">
        <v>2.3557000000000002E-2</v>
      </c>
      <c r="G1663">
        <v>15.964</v>
      </c>
      <c r="H1663">
        <v>3.7109000000000003E-2</v>
      </c>
    </row>
    <row r="1664" spans="1:8" x14ac:dyDescent="0.25">
      <c r="B1664">
        <v>4.9306999999999997E-2</v>
      </c>
      <c r="C1664">
        <v>-20</v>
      </c>
      <c r="D1664">
        <v>36.700000000000003</v>
      </c>
      <c r="E1664">
        <v>42.232999999999997</v>
      </c>
      <c r="F1664">
        <v>2.3678000000000001E-2</v>
      </c>
      <c r="G1664">
        <v>21.297000000000001</v>
      </c>
      <c r="H1664">
        <v>4.9306999999999997E-2</v>
      </c>
    </row>
    <row r="1665" spans="2:8" x14ac:dyDescent="0.25">
      <c r="B1665">
        <v>6.1405000000000001E-2</v>
      </c>
      <c r="C1665">
        <v>-15</v>
      </c>
      <c r="D1665">
        <v>36.700000000000003</v>
      </c>
      <c r="E1665">
        <v>42.014000000000003</v>
      </c>
      <c r="F1665">
        <v>2.3802E-2</v>
      </c>
      <c r="G1665">
        <v>26.646999999999998</v>
      </c>
      <c r="H1665">
        <v>6.1405000000000001E-2</v>
      </c>
    </row>
    <row r="1666" spans="2:8" x14ac:dyDescent="0.25">
      <c r="B1666">
        <v>7.3404999999999998E-2</v>
      </c>
      <c r="C1666">
        <v>-10</v>
      </c>
      <c r="D1666">
        <v>36.700000000000003</v>
      </c>
      <c r="E1666">
        <v>41.792999999999999</v>
      </c>
      <c r="F1666">
        <v>2.3927E-2</v>
      </c>
      <c r="G1666">
        <v>32.012</v>
      </c>
      <c r="H1666">
        <v>7.3404999999999998E-2</v>
      </c>
    </row>
    <row r="1667" spans="2:8" x14ac:dyDescent="0.25">
      <c r="B1667">
        <v>8.5307999999999995E-2</v>
      </c>
      <c r="C1667">
        <v>-5</v>
      </c>
      <c r="D1667">
        <v>36.700000000000003</v>
      </c>
      <c r="E1667">
        <v>41.57</v>
      </c>
      <c r="F1667">
        <v>2.4056000000000001E-2</v>
      </c>
      <c r="G1667">
        <v>37.395000000000003</v>
      </c>
      <c r="H1667">
        <v>8.5307999999999995E-2</v>
      </c>
    </row>
    <row r="1668" spans="2:8" x14ac:dyDescent="0.25">
      <c r="B1668">
        <v>9.7116999999999995E-2</v>
      </c>
      <c r="C1668">
        <v>0</v>
      </c>
      <c r="D1668">
        <v>36.700000000000003</v>
      </c>
      <c r="E1668">
        <v>41.344999999999999</v>
      </c>
      <c r="F1668">
        <v>2.4187E-2</v>
      </c>
      <c r="G1668">
        <v>42.792999999999999</v>
      </c>
      <c r="H1668">
        <v>9.7116999999999995E-2</v>
      </c>
    </row>
    <row r="1669" spans="2:8" x14ac:dyDescent="0.25">
      <c r="B1669">
        <v>0.10883</v>
      </c>
      <c r="C1669">
        <v>5</v>
      </c>
      <c r="D1669">
        <v>36.700000000000003</v>
      </c>
      <c r="E1669">
        <v>41.119</v>
      </c>
      <c r="F1669">
        <v>2.4320000000000001E-2</v>
      </c>
      <c r="G1669">
        <v>48.209000000000003</v>
      </c>
      <c r="H1669">
        <v>0.10883</v>
      </c>
    </row>
    <row r="1670" spans="2:8" x14ac:dyDescent="0.25">
      <c r="B1670">
        <v>1.3214999999999999</v>
      </c>
      <c r="C1670">
        <v>10</v>
      </c>
      <c r="D1670">
        <v>36.700000000000003</v>
      </c>
      <c r="E1670">
        <v>0.13025</v>
      </c>
      <c r="F1670">
        <v>7.6778000000000004</v>
      </c>
      <c r="G1670">
        <v>615.27</v>
      </c>
      <c r="H1670">
        <v>1.3214999999999999</v>
      </c>
    </row>
    <row r="1671" spans="2:8" x14ac:dyDescent="0.25">
      <c r="B1671">
        <v>1.3278000000000001</v>
      </c>
      <c r="C1671">
        <v>15</v>
      </c>
      <c r="D1671">
        <v>36.700000000000003</v>
      </c>
      <c r="E1671">
        <v>0.12856000000000001</v>
      </c>
      <c r="F1671">
        <v>7.7782999999999998</v>
      </c>
      <c r="G1671">
        <v>618.23</v>
      </c>
      <c r="H1671">
        <v>1.3278000000000001</v>
      </c>
    </row>
    <row r="1672" spans="2:8" x14ac:dyDescent="0.25">
      <c r="B1672">
        <v>1.3339000000000001</v>
      </c>
      <c r="C1672">
        <v>20</v>
      </c>
      <c r="D1672">
        <v>36.700000000000003</v>
      </c>
      <c r="E1672">
        <v>0.12694</v>
      </c>
      <c r="F1672">
        <v>7.8779000000000003</v>
      </c>
      <c r="G1672">
        <v>621.15</v>
      </c>
      <c r="H1672">
        <v>1.3339000000000001</v>
      </c>
    </row>
    <row r="1673" spans="2:8" x14ac:dyDescent="0.25">
      <c r="B1673">
        <v>1.3399000000000001</v>
      </c>
      <c r="C1673">
        <v>25</v>
      </c>
      <c r="D1673">
        <v>36.700000000000003</v>
      </c>
      <c r="E1673">
        <v>0.12537000000000001</v>
      </c>
      <c r="F1673">
        <v>7.9766000000000004</v>
      </c>
      <c r="G1673">
        <v>624.04999999999995</v>
      </c>
      <c r="H1673">
        <v>1.3399000000000001</v>
      </c>
    </row>
    <row r="1674" spans="2:8" x14ac:dyDescent="0.25">
      <c r="B1674">
        <v>1.3458000000000001</v>
      </c>
      <c r="C1674">
        <v>30</v>
      </c>
      <c r="D1674">
        <v>36.700000000000003</v>
      </c>
      <c r="E1674">
        <v>0.12385</v>
      </c>
      <c r="F1674">
        <v>8.0746000000000002</v>
      </c>
      <c r="G1674">
        <v>626.91999999999996</v>
      </c>
      <c r="H1674">
        <v>1.3458000000000001</v>
      </c>
    </row>
    <row r="1675" spans="2:8" x14ac:dyDescent="0.25">
      <c r="B1675">
        <v>1.3515999999999999</v>
      </c>
      <c r="C1675">
        <v>35</v>
      </c>
      <c r="D1675">
        <v>36.700000000000003</v>
      </c>
      <c r="E1675">
        <v>0.12237000000000001</v>
      </c>
      <c r="F1675">
        <v>8.1719000000000008</v>
      </c>
      <c r="G1675">
        <v>629.77</v>
      </c>
      <c r="H1675">
        <v>1.3515999999999999</v>
      </c>
    </row>
    <row r="1676" spans="2:8" x14ac:dyDescent="0.25">
      <c r="B1676">
        <v>1.3573</v>
      </c>
      <c r="C1676">
        <v>40</v>
      </c>
      <c r="D1676">
        <v>36.700000000000003</v>
      </c>
      <c r="E1676">
        <v>0.12094000000000001</v>
      </c>
      <c r="F1676">
        <v>8.2684999999999995</v>
      </c>
      <c r="G1676">
        <v>632.59</v>
      </c>
      <c r="H1676">
        <v>1.3573</v>
      </c>
    </row>
    <row r="1677" spans="2:8" x14ac:dyDescent="0.25">
      <c r="B1677">
        <v>1.3629</v>
      </c>
      <c r="C1677">
        <v>45</v>
      </c>
      <c r="D1677">
        <v>36.700000000000003</v>
      </c>
      <c r="E1677">
        <v>0.11955</v>
      </c>
      <c r="F1677">
        <v>8.3645999999999994</v>
      </c>
      <c r="G1677">
        <v>635.4</v>
      </c>
      <c r="H1677">
        <v>1.3629</v>
      </c>
    </row>
    <row r="1678" spans="2:8" x14ac:dyDescent="0.25">
      <c r="B1678">
        <v>1.3684000000000001</v>
      </c>
      <c r="C1678">
        <v>50</v>
      </c>
      <c r="D1678">
        <v>36.700000000000003</v>
      </c>
      <c r="E1678">
        <v>0.1182</v>
      </c>
      <c r="F1678">
        <v>8.4601000000000006</v>
      </c>
      <c r="G1678">
        <v>638.20000000000005</v>
      </c>
      <c r="H1678">
        <v>1.3684000000000001</v>
      </c>
    </row>
    <row r="1679" spans="2:8" x14ac:dyDescent="0.25">
      <c r="B1679">
        <v>1.3737999999999999</v>
      </c>
      <c r="C1679">
        <v>55</v>
      </c>
      <c r="D1679">
        <v>36.700000000000003</v>
      </c>
      <c r="E1679">
        <v>0.11688999999999999</v>
      </c>
      <c r="F1679">
        <v>8.5550999999999995</v>
      </c>
      <c r="G1679">
        <v>640.98</v>
      </c>
      <c r="H1679">
        <v>1.3737999999999999</v>
      </c>
    </row>
    <row r="1680" spans="2:8" x14ac:dyDescent="0.25">
      <c r="B1680">
        <v>1.3792</v>
      </c>
      <c r="C1680">
        <v>60</v>
      </c>
      <c r="D1680">
        <v>36.700000000000003</v>
      </c>
      <c r="E1680">
        <v>0.11561</v>
      </c>
      <c r="F1680">
        <v>8.6495999999999995</v>
      </c>
      <c r="G1680">
        <v>643.74</v>
      </c>
      <c r="H1680">
        <v>1.3792</v>
      </c>
    </row>
    <row r="1681" spans="2:8" x14ac:dyDescent="0.25">
      <c r="B1681">
        <v>1.3844000000000001</v>
      </c>
      <c r="C1681">
        <v>65</v>
      </c>
      <c r="D1681">
        <v>36.700000000000003</v>
      </c>
      <c r="E1681">
        <v>0.11437</v>
      </c>
      <c r="F1681">
        <v>8.7437000000000005</v>
      </c>
      <c r="G1681">
        <v>646.5</v>
      </c>
      <c r="H1681">
        <v>1.3844000000000001</v>
      </c>
    </row>
    <row r="1682" spans="2:8" x14ac:dyDescent="0.25">
      <c r="B1682">
        <v>1.3895999999999999</v>
      </c>
      <c r="C1682">
        <v>70</v>
      </c>
      <c r="D1682">
        <v>36.700000000000003</v>
      </c>
      <c r="E1682">
        <v>0.11315</v>
      </c>
      <c r="F1682">
        <v>8.8374000000000006</v>
      </c>
      <c r="G1682">
        <v>649.24</v>
      </c>
      <c r="H1682">
        <v>1.3895999999999999</v>
      </c>
    </row>
    <row r="1683" spans="2:8" x14ac:dyDescent="0.25">
      <c r="B1683">
        <v>1.3948</v>
      </c>
      <c r="C1683">
        <v>75</v>
      </c>
      <c r="D1683">
        <v>36.700000000000003</v>
      </c>
      <c r="E1683">
        <v>0.11197</v>
      </c>
      <c r="F1683">
        <v>8.9307999999999996</v>
      </c>
      <c r="G1683">
        <v>651.98</v>
      </c>
      <c r="H1683">
        <v>1.3948</v>
      </c>
    </row>
    <row r="1684" spans="2:8" x14ac:dyDescent="0.25">
      <c r="B1684">
        <v>1.3998999999999999</v>
      </c>
      <c r="C1684">
        <v>80</v>
      </c>
      <c r="D1684">
        <v>36.700000000000003</v>
      </c>
      <c r="E1684">
        <v>0.11082</v>
      </c>
      <c r="F1684">
        <v>9.0237999999999996</v>
      </c>
      <c r="G1684">
        <v>654.70000000000005</v>
      </c>
      <c r="H1684">
        <v>1.3998999999999999</v>
      </c>
    </row>
    <row r="1685" spans="2:8" x14ac:dyDescent="0.25">
      <c r="B1685">
        <v>1.4049</v>
      </c>
      <c r="C1685">
        <v>85</v>
      </c>
      <c r="D1685">
        <v>36.700000000000003</v>
      </c>
      <c r="E1685">
        <v>0.10969</v>
      </c>
      <c r="F1685">
        <v>9.1164000000000005</v>
      </c>
      <c r="G1685">
        <v>657.42</v>
      </c>
      <c r="H1685">
        <v>1.4049</v>
      </c>
    </row>
    <row r="1686" spans="2:8" x14ac:dyDescent="0.25">
      <c r="B1686">
        <v>1.4097999999999999</v>
      </c>
      <c r="C1686">
        <v>90</v>
      </c>
      <c r="D1686">
        <v>36.700000000000003</v>
      </c>
      <c r="E1686">
        <v>0.10859000000000001</v>
      </c>
      <c r="F1686">
        <v>9.2088000000000001</v>
      </c>
      <c r="G1686">
        <v>660.13</v>
      </c>
      <c r="H1686">
        <v>1.4097999999999999</v>
      </c>
    </row>
    <row r="1687" spans="2:8" x14ac:dyDescent="0.25">
      <c r="B1687">
        <v>1.4147000000000001</v>
      </c>
      <c r="C1687">
        <v>95</v>
      </c>
      <c r="D1687">
        <v>36.700000000000003</v>
      </c>
      <c r="E1687">
        <v>0.10752</v>
      </c>
      <c r="F1687">
        <v>9.3008000000000006</v>
      </c>
      <c r="G1687">
        <v>662.84</v>
      </c>
      <c r="H1687">
        <v>1.4147000000000001</v>
      </c>
    </row>
    <row r="1688" spans="2:8" x14ac:dyDescent="0.25">
      <c r="B1688">
        <v>1.4196</v>
      </c>
      <c r="C1688">
        <v>100</v>
      </c>
      <c r="D1688">
        <v>36.700000000000003</v>
      </c>
      <c r="E1688">
        <v>0.10647</v>
      </c>
      <c r="F1688">
        <v>9.3925999999999998</v>
      </c>
      <c r="G1688">
        <v>665.54</v>
      </c>
      <c r="H1688">
        <v>1.4196</v>
      </c>
    </row>
    <row r="1689" spans="2:8" x14ac:dyDescent="0.25">
      <c r="B1689">
        <v>1.4244000000000001</v>
      </c>
      <c r="C1689">
        <v>105</v>
      </c>
      <c r="D1689">
        <v>36.700000000000003</v>
      </c>
      <c r="E1689">
        <v>0.10544000000000001</v>
      </c>
      <c r="F1689">
        <v>9.4841999999999995</v>
      </c>
      <c r="G1689">
        <v>668.24</v>
      </c>
      <c r="H1689">
        <v>1.4244000000000001</v>
      </c>
    </row>
    <row r="1690" spans="2:8" x14ac:dyDescent="0.25">
      <c r="B1690">
        <v>1.4291</v>
      </c>
      <c r="C1690">
        <v>110</v>
      </c>
      <c r="D1690">
        <v>36.700000000000003</v>
      </c>
      <c r="E1690">
        <v>0.10443</v>
      </c>
      <c r="F1690">
        <v>9.5754999999999999</v>
      </c>
      <c r="G1690">
        <v>670.94</v>
      </c>
      <c r="H1690">
        <v>1.4291</v>
      </c>
    </row>
    <row r="1691" spans="2:8" x14ac:dyDescent="0.25">
      <c r="B1691">
        <v>1.4338</v>
      </c>
      <c r="C1691">
        <v>115</v>
      </c>
      <c r="D1691">
        <v>36.700000000000003</v>
      </c>
      <c r="E1691">
        <v>0.10345</v>
      </c>
      <c r="F1691">
        <v>9.6666000000000007</v>
      </c>
      <c r="G1691">
        <v>673.63</v>
      </c>
      <c r="H1691">
        <v>1.4338</v>
      </c>
    </row>
    <row r="1692" spans="2:8" x14ac:dyDescent="0.25">
      <c r="B1692">
        <v>1.4384999999999999</v>
      </c>
      <c r="C1692">
        <v>120</v>
      </c>
      <c r="D1692">
        <v>36.700000000000003</v>
      </c>
      <c r="E1692">
        <v>0.10249</v>
      </c>
      <c r="F1692">
        <v>9.7575000000000003</v>
      </c>
      <c r="G1692">
        <v>676.32</v>
      </c>
      <c r="H1692">
        <v>1.4384999999999999</v>
      </c>
    </row>
    <row r="1693" spans="2:8" x14ac:dyDescent="0.25">
      <c r="B1693">
        <v>1.4431</v>
      </c>
      <c r="C1693">
        <v>125</v>
      </c>
      <c r="D1693">
        <v>36.700000000000003</v>
      </c>
      <c r="E1693">
        <v>0.10154000000000001</v>
      </c>
      <c r="F1693">
        <v>9.8482000000000003</v>
      </c>
      <c r="G1693">
        <v>679.01</v>
      </c>
      <c r="H1693">
        <v>1.4431</v>
      </c>
    </row>
    <row r="1694" spans="2:8" x14ac:dyDescent="0.25">
      <c r="B1694">
        <v>1.4477</v>
      </c>
      <c r="C1694">
        <v>130</v>
      </c>
      <c r="D1694">
        <v>36.700000000000003</v>
      </c>
      <c r="E1694">
        <v>0.10062</v>
      </c>
      <c r="F1694">
        <v>9.9387000000000008</v>
      </c>
      <c r="G1694">
        <v>681.7</v>
      </c>
      <c r="H1694">
        <v>1.4477</v>
      </c>
    </row>
    <row r="1695" spans="2:8" x14ac:dyDescent="0.25">
      <c r="B1695">
        <v>1.4521999999999999</v>
      </c>
      <c r="C1695">
        <v>135</v>
      </c>
      <c r="D1695">
        <v>36.700000000000003</v>
      </c>
      <c r="E1695">
        <v>9.9710999999999994E-2</v>
      </c>
      <c r="F1695">
        <v>10.029</v>
      </c>
      <c r="G1695">
        <v>684.39</v>
      </c>
      <c r="H1695">
        <v>1.4521999999999999</v>
      </c>
    </row>
    <row r="1696" spans="2:8" x14ac:dyDescent="0.25">
      <c r="B1696">
        <v>1.4567000000000001</v>
      </c>
      <c r="C1696">
        <v>140</v>
      </c>
      <c r="D1696">
        <v>36.700000000000003</v>
      </c>
      <c r="E1696">
        <v>9.8822999999999994E-2</v>
      </c>
      <c r="F1696">
        <v>10.119</v>
      </c>
      <c r="G1696">
        <v>687.07</v>
      </c>
      <c r="H1696">
        <v>1.4567000000000001</v>
      </c>
    </row>
    <row r="1697" spans="2:8" x14ac:dyDescent="0.25">
      <c r="B1697">
        <v>1.4612000000000001</v>
      </c>
      <c r="C1697">
        <v>145</v>
      </c>
      <c r="D1697">
        <v>36.700000000000003</v>
      </c>
      <c r="E1697">
        <v>9.7950999999999996E-2</v>
      </c>
      <c r="F1697">
        <v>10.209</v>
      </c>
      <c r="G1697">
        <v>689.76</v>
      </c>
      <c r="H1697">
        <v>1.4612000000000001</v>
      </c>
    </row>
    <row r="1698" spans="2:8" x14ac:dyDescent="0.25">
      <c r="B1698">
        <v>1.4656</v>
      </c>
      <c r="C1698">
        <v>150</v>
      </c>
      <c r="D1698">
        <v>36.700000000000003</v>
      </c>
      <c r="E1698">
        <v>9.7097000000000003E-2</v>
      </c>
      <c r="F1698">
        <v>10.298999999999999</v>
      </c>
      <c r="G1698">
        <v>692.45</v>
      </c>
      <c r="H1698">
        <v>1.4656</v>
      </c>
    </row>
    <row r="1699" spans="2:8" x14ac:dyDescent="0.25">
      <c r="B1699">
        <v>1.47</v>
      </c>
      <c r="C1699">
        <v>155</v>
      </c>
      <c r="D1699">
        <v>36.700000000000003</v>
      </c>
      <c r="E1699">
        <v>9.6258999999999997E-2</v>
      </c>
      <c r="F1699">
        <v>10.388999999999999</v>
      </c>
      <c r="G1699">
        <v>695.13</v>
      </c>
      <c r="H1699">
        <v>1.47</v>
      </c>
    </row>
    <row r="1700" spans="2:8" x14ac:dyDescent="0.25">
      <c r="B1700">
        <v>1.4743999999999999</v>
      </c>
      <c r="C1700">
        <v>160</v>
      </c>
      <c r="D1700">
        <v>36.700000000000003</v>
      </c>
      <c r="E1700">
        <v>9.5436000000000007E-2</v>
      </c>
      <c r="F1700">
        <v>10.478</v>
      </c>
      <c r="G1700">
        <v>697.82</v>
      </c>
      <c r="H1700">
        <v>1.4743999999999999</v>
      </c>
    </row>
    <row r="1701" spans="2:8" x14ac:dyDescent="0.25">
      <c r="B1701">
        <v>1.4786999999999999</v>
      </c>
      <c r="C1701">
        <v>165</v>
      </c>
      <c r="D1701">
        <v>36.700000000000003</v>
      </c>
      <c r="E1701">
        <v>9.4628000000000004E-2</v>
      </c>
      <c r="F1701">
        <v>10.568</v>
      </c>
      <c r="G1701">
        <v>700.51</v>
      </c>
      <c r="H1701">
        <v>1.4786999999999999</v>
      </c>
    </row>
    <row r="1702" spans="2:8" x14ac:dyDescent="0.25">
      <c r="B1702">
        <v>1.4830000000000001</v>
      </c>
      <c r="C1702">
        <v>170</v>
      </c>
      <c r="D1702">
        <v>36.700000000000003</v>
      </c>
      <c r="E1702">
        <v>9.3835000000000002E-2</v>
      </c>
      <c r="F1702">
        <v>10.657</v>
      </c>
      <c r="G1702">
        <v>703.21</v>
      </c>
      <c r="H1702">
        <v>1.4830000000000001</v>
      </c>
    </row>
    <row r="1703" spans="2:8" x14ac:dyDescent="0.25">
      <c r="B1703">
        <v>1.4873000000000001</v>
      </c>
      <c r="C1703">
        <v>175</v>
      </c>
      <c r="D1703">
        <v>36.700000000000003</v>
      </c>
      <c r="E1703">
        <v>9.3056E-2</v>
      </c>
      <c r="F1703">
        <v>10.746</v>
      </c>
      <c r="G1703">
        <v>705.9</v>
      </c>
      <c r="H1703">
        <v>1.4873000000000001</v>
      </c>
    </row>
    <row r="1704" spans="2:8" x14ac:dyDescent="0.25">
      <c r="B1704">
        <v>1.4915</v>
      </c>
      <c r="C1704">
        <v>180</v>
      </c>
      <c r="D1704">
        <v>36.700000000000003</v>
      </c>
      <c r="E1704">
        <v>9.2290999999999998E-2</v>
      </c>
      <c r="F1704">
        <v>10.835000000000001</v>
      </c>
      <c r="G1704">
        <v>708.6</v>
      </c>
      <c r="H1704">
        <v>1.4915</v>
      </c>
    </row>
    <row r="1705" spans="2:8" x14ac:dyDescent="0.25">
      <c r="B1705">
        <v>1.4957</v>
      </c>
      <c r="C1705">
        <v>185</v>
      </c>
      <c r="D1705">
        <v>36.700000000000003</v>
      </c>
      <c r="E1705">
        <v>9.1538999999999995E-2</v>
      </c>
      <c r="F1705">
        <v>10.923999999999999</v>
      </c>
      <c r="G1705">
        <v>711.3</v>
      </c>
      <c r="H1705">
        <v>1.4957</v>
      </c>
    </row>
    <row r="1706" spans="2:8" x14ac:dyDescent="0.25">
      <c r="B1706">
        <v>1.4999</v>
      </c>
      <c r="C1706">
        <v>190</v>
      </c>
      <c r="D1706">
        <v>36.700000000000003</v>
      </c>
      <c r="E1706">
        <v>9.0800000000000006E-2</v>
      </c>
      <c r="F1706">
        <v>11.013</v>
      </c>
      <c r="G1706">
        <v>714</v>
      </c>
      <c r="H1706">
        <v>1.4999</v>
      </c>
    </row>
    <row r="1707" spans="2:8" x14ac:dyDescent="0.25">
      <c r="B1707">
        <v>1.504</v>
      </c>
      <c r="C1707">
        <v>195</v>
      </c>
      <c r="D1707">
        <v>36.700000000000003</v>
      </c>
      <c r="E1707">
        <v>9.0074000000000001E-2</v>
      </c>
      <c r="F1707">
        <v>11.102</v>
      </c>
      <c r="G1707">
        <v>716.7</v>
      </c>
      <c r="H1707">
        <v>1.504</v>
      </c>
    </row>
    <row r="1708" spans="2:8" x14ac:dyDescent="0.25">
      <c r="B1708">
        <v>1.5081</v>
      </c>
      <c r="C1708">
        <v>200</v>
      </c>
      <c r="D1708">
        <v>36.700000000000003</v>
      </c>
      <c r="E1708">
        <v>8.9359999999999995E-2</v>
      </c>
      <c r="F1708">
        <v>11.191000000000001</v>
      </c>
      <c r="G1708">
        <v>719.41</v>
      </c>
      <c r="H1708">
        <v>1.5081</v>
      </c>
    </row>
    <row r="1709" spans="2:8" x14ac:dyDescent="0.25">
      <c r="B1709">
        <v>1.5122</v>
      </c>
      <c r="C1709">
        <v>205</v>
      </c>
      <c r="D1709">
        <v>36.700000000000003</v>
      </c>
      <c r="E1709">
        <v>8.8658000000000001E-2</v>
      </c>
      <c r="F1709">
        <v>11.279</v>
      </c>
      <c r="G1709">
        <v>722.12</v>
      </c>
      <c r="H1709">
        <v>1.5122</v>
      </c>
    </row>
    <row r="1710" spans="2:8" x14ac:dyDescent="0.25">
      <c r="B1710">
        <v>1.5163</v>
      </c>
      <c r="C1710">
        <v>210</v>
      </c>
      <c r="D1710">
        <v>36.700000000000003</v>
      </c>
      <c r="E1710">
        <v>8.7967000000000004E-2</v>
      </c>
      <c r="F1710">
        <v>11.368</v>
      </c>
      <c r="G1710">
        <v>724.83</v>
      </c>
      <c r="H1710">
        <v>1.5163</v>
      </c>
    </row>
    <row r="1711" spans="2:8" x14ac:dyDescent="0.25">
      <c r="B1711">
        <v>1.5203</v>
      </c>
      <c r="C1711">
        <v>215</v>
      </c>
      <c r="D1711">
        <v>36.700000000000003</v>
      </c>
      <c r="E1711">
        <v>8.7288000000000004E-2</v>
      </c>
      <c r="F1711">
        <v>11.456</v>
      </c>
      <c r="G1711">
        <v>727.55</v>
      </c>
      <c r="H1711">
        <v>1.5203</v>
      </c>
    </row>
    <row r="1712" spans="2:8" x14ac:dyDescent="0.25">
      <c r="B1712">
        <v>1.5244</v>
      </c>
      <c r="C1712">
        <v>220</v>
      </c>
      <c r="D1712">
        <v>36.700000000000003</v>
      </c>
      <c r="E1712">
        <v>8.6620000000000003E-2</v>
      </c>
      <c r="F1712">
        <v>11.545</v>
      </c>
      <c r="G1712">
        <v>730.27</v>
      </c>
      <c r="H1712">
        <v>1.5244</v>
      </c>
    </row>
    <row r="1713" spans="2:8" x14ac:dyDescent="0.25">
      <c r="B1713">
        <v>1.5283</v>
      </c>
      <c r="C1713">
        <v>225</v>
      </c>
      <c r="D1713">
        <v>36.700000000000003</v>
      </c>
      <c r="E1713">
        <v>8.5961999999999997E-2</v>
      </c>
      <c r="F1713">
        <v>11.632999999999999</v>
      </c>
      <c r="G1713">
        <v>733</v>
      </c>
      <c r="H1713">
        <v>1.5283</v>
      </c>
    </row>
    <row r="1714" spans="2:8" x14ac:dyDescent="0.25">
      <c r="B1714">
        <v>1.5323</v>
      </c>
      <c r="C1714">
        <v>230</v>
      </c>
      <c r="D1714">
        <v>36.700000000000003</v>
      </c>
      <c r="E1714">
        <v>8.5315000000000002E-2</v>
      </c>
      <c r="F1714">
        <v>11.721</v>
      </c>
      <c r="G1714">
        <v>735.73</v>
      </c>
      <c r="H1714">
        <v>1.5323</v>
      </c>
    </row>
    <row r="1715" spans="2:8" x14ac:dyDescent="0.25">
      <c r="B1715">
        <v>1.5363</v>
      </c>
      <c r="C1715">
        <v>235</v>
      </c>
      <c r="D1715">
        <v>36.700000000000003</v>
      </c>
      <c r="E1715">
        <v>8.4678000000000003E-2</v>
      </c>
      <c r="F1715">
        <v>11.808999999999999</v>
      </c>
      <c r="G1715">
        <v>738.46</v>
      </c>
      <c r="H1715">
        <v>1.5363</v>
      </c>
    </row>
    <row r="1716" spans="2:8" x14ac:dyDescent="0.25">
      <c r="B1716">
        <v>1.5402</v>
      </c>
      <c r="C1716">
        <v>240</v>
      </c>
      <c r="D1716">
        <v>36.700000000000003</v>
      </c>
      <c r="E1716">
        <v>8.4051000000000001E-2</v>
      </c>
      <c r="F1716">
        <v>11.898</v>
      </c>
      <c r="G1716">
        <v>741.2</v>
      </c>
      <c r="H1716">
        <v>1.5402</v>
      </c>
    </row>
    <row r="1717" spans="2:8" x14ac:dyDescent="0.25">
      <c r="B1717">
        <v>1.5441</v>
      </c>
      <c r="C1717">
        <v>245</v>
      </c>
      <c r="D1717">
        <v>36.700000000000003</v>
      </c>
      <c r="E1717">
        <v>8.3433999999999994E-2</v>
      </c>
      <c r="F1717">
        <v>11.986000000000001</v>
      </c>
      <c r="G1717">
        <v>743.94</v>
      </c>
      <c r="H1717">
        <v>1.5441</v>
      </c>
    </row>
    <row r="1718" spans="2:8" x14ac:dyDescent="0.25">
      <c r="B1718">
        <v>1.548</v>
      </c>
      <c r="C1718">
        <v>250</v>
      </c>
      <c r="D1718">
        <v>36.700000000000003</v>
      </c>
      <c r="E1718">
        <v>8.2825999999999997E-2</v>
      </c>
      <c r="F1718">
        <v>12.074</v>
      </c>
      <c r="G1718">
        <v>746.69</v>
      </c>
      <c r="H1718">
        <v>1.548</v>
      </c>
    </row>
    <row r="1719" spans="2:8" x14ac:dyDescent="0.25">
      <c r="B1719">
        <v>1.5519000000000001</v>
      </c>
      <c r="C1719">
        <v>255</v>
      </c>
      <c r="D1719">
        <v>36.700000000000003</v>
      </c>
      <c r="E1719">
        <v>8.2226999999999995E-2</v>
      </c>
      <c r="F1719">
        <v>12.161</v>
      </c>
      <c r="G1719">
        <v>749.44</v>
      </c>
      <c r="H1719">
        <v>1.5519000000000001</v>
      </c>
    </row>
    <row r="1720" spans="2:8" x14ac:dyDescent="0.25">
      <c r="B1720">
        <v>1.5557000000000001</v>
      </c>
      <c r="C1720">
        <v>260</v>
      </c>
      <c r="D1720">
        <v>36.700000000000003</v>
      </c>
      <c r="E1720">
        <v>8.1637000000000001E-2</v>
      </c>
      <c r="F1720">
        <v>12.249000000000001</v>
      </c>
      <c r="G1720">
        <v>752.2</v>
      </c>
      <c r="H1720">
        <v>1.5557000000000001</v>
      </c>
    </row>
    <row r="1721" spans="2:8" x14ac:dyDescent="0.25">
      <c r="B1721">
        <v>1.5595000000000001</v>
      </c>
      <c r="C1721">
        <v>265</v>
      </c>
      <c r="D1721">
        <v>36.700000000000003</v>
      </c>
      <c r="E1721">
        <v>8.1056000000000003E-2</v>
      </c>
      <c r="F1721">
        <v>12.337</v>
      </c>
      <c r="G1721">
        <v>754.96</v>
      </c>
      <c r="H1721">
        <v>1.5595000000000001</v>
      </c>
    </row>
    <row r="1722" spans="2:8" x14ac:dyDescent="0.25">
      <c r="B1722">
        <v>1.5632999999999999</v>
      </c>
      <c r="C1722">
        <v>270</v>
      </c>
      <c r="D1722">
        <v>36.700000000000003</v>
      </c>
      <c r="E1722">
        <v>8.0482999999999999E-2</v>
      </c>
      <c r="F1722">
        <v>12.425000000000001</v>
      </c>
      <c r="G1722">
        <v>757.73</v>
      </c>
      <c r="H1722">
        <v>1.5632999999999999</v>
      </c>
    </row>
    <row r="1723" spans="2:8" x14ac:dyDescent="0.25">
      <c r="B1723">
        <v>1.5670999999999999</v>
      </c>
      <c r="C1723">
        <v>275</v>
      </c>
      <c r="D1723">
        <v>36.700000000000003</v>
      </c>
      <c r="E1723">
        <v>7.9919000000000004E-2</v>
      </c>
      <c r="F1723">
        <v>12.513</v>
      </c>
      <c r="G1723">
        <v>760.5</v>
      </c>
      <c r="H1723">
        <v>1.5670999999999999</v>
      </c>
    </row>
    <row r="1724" spans="2:8" x14ac:dyDescent="0.25">
      <c r="B1724">
        <v>1.5709</v>
      </c>
      <c r="C1724">
        <v>280</v>
      </c>
      <c r="D1724">
        <v>36.700000000000003</v>
      </c>
      <c r="E1724">
        <v>7.9363000000000003E-2</v>
      </c>
      <c r="F1724">
        <v>12.6</v>
      </c>
      <c r="G1724">
        <v>763.27</v>
      </c>
      <c r="H1724">
        <v>1.5709</v>
      </c>
    </row>
    <row r="1725" spans="2:8" x14ac:dyDescent="0.25">
      <c r="B1725">
        <v>1.5746</v>
      </c>
      <c r="C1725">
        <v>285</v>
      </c>
      <c r="D1725">
        <v>36.700000000000003</v>
      </c>
      <c r="E1725">
        <v>7.8814999999999996E-2</v>
      </c>
      <c r="F1725">
        <v>12.688000000000001</v>
      </c>
      <c r="G1725">
        <v>766.06</v>
      </c>
      <c r="H1725">
        <v>1.5746</v>
      </c>
    </row>
    <row r="1726" spans="2:8" x14ac:dyDescent="0.25">
      <c r="B1726">
        <v>1.5784</v>
      </c>
      <c r="C1726">
        <v>290</v>
      </c>
      <c r="D1726">
        <v>36.700000000000003</v>
      </c>
      <c r="E1726">
        <v>7.8274999999999997E-2</v>
      </c>
      <c r="F1726">
        <v>12.776</v>
      </c>
      <c r="G1726">
        <v>768.84</v>
      </c>
      <c r="H1726">
        <v>1.5784</v>
      </c>
    </row>
    <row r="1727" spans="2:8" x14ac:dyDescent="0.25">
      <c r="B1727">
        <v>1.5821000000000001</v>
      </c>
      <c r="C1727">
        <v>295</v>
      </c>
      <c r="D1727">
        <v>36.700000000000003</v>
      </c>
      <c r="E1727">
        <v>7.7742000000000006E-2</v>
      </c>
      <c r="F1727">
        <v>12.863</v>
      </c>
      <c r="G1727">
        <v>771.64</v>
      </c>
      <c r="H1727">
        <v>1.5821000000000001</v>
      </c>
    </row>
    <row r="1728" spans="2:8" x14ac:dyDescent="0.25">
      <c r="B1728">
        <v>1.5858000000000001</v>
      </c>
      <c r="C1728">
        <v>300</v>
      </c>
      <c r="D1728">
        <v>36.700000000000003</v>
      </c>
      <c r="E1728">
        <v>7.7216999999999994E-2</v>
      </c>
      <c r="F1728">
        <v>12.951000000000001</v>
      </c>
      <c r="G1728">
        <v>774.44</v>
      </c>
      <c r="H1728">
        <v>1.5858000000000001</v>
      </c>
    </row>
    <row r="1730" spans="1:8" x14ac:dyDescent="0.25">
      <c r="A1730">
        <v>38.4</v>
      </c>
      <c r="B1730">
        <v>-2.5468999999999999E-2</v>
      </c>
      <c r="C1730">
        <v>-50</v>
      </c>
      <c r="D1730">
        <v>38.4</v>
      </c>
      <c r="E1730">
        <v>43.508000000000003</v>
      </c>
      <c r="F1730">
        <v>2.2984999999999998E-2</v>
      </c>
      <c r="G1730">
        <v>-10.441000000000001</v>
      </c>
      <c r="H1730">
        <v>-2.5468999999999999E-2</v>
      </c>
    </row>
    <row r="1731" spans="1:8" x14ac:dyDescent="0.25">
      <c r="B1731">
        <v>-1.2737999999999999E-2</v>
      </c>
      <c r="C1731">
        <v>-45</v>
      </c>
      <c r="D1731">
        <v>38.4</v>
      </c>
      <c r="E1731">
        <v>43.3</v>
      </c>
      <c r="F1731">
        <v>2.3095000000000001E-2</v>
      </c>
      <c r="G1731">
        <v>-5.1938000000000004</v>
      </c>
      <c r="H1731">
        <v>-1.2737999999999999E-2</v>
      </c>
    </row>
    <row r="1732" spans="1:8" x14ac:dyDescent="0.25">
      <c r="B1732">
        <v>-1.1763E-4</v>
      </c>
      <c r="C1732">
        <v>-40</v>
      </c>
      <c r="D1732">
        <v>38.4</v>
      </c>
      <c r="E1732">
        <v>43.09</v>
      </c>
      <c r="F1732">
        <v>2.3206999999999998E-2</v>
      </c>
      <c r="G1732">
        <v>7.0975999999999997E-2</v>
      </c>
      <c r="H1732">
        <v>-1.1763E-4</v>
      </c>
    </row>
    <row r="1733" spans="1:8" x14ac:dyDescent="0.25">
      <c r="B1733">
        <v>1.2394000000000001E-2</v>
      </c>
      <c r="C1733">
        <v>-35</v>
      </c>
      <c r="D1733">
        <v>38.4</v>
      </c>
      <c r="E1733">
        <v>42.878999999999998</v>
      </c>
      <c r="F1733">
        <v>2.3321999999999999E-2</v>
      </c>
      <c r="G1733">
        <v>5.3531000000000004</v>
      </c>
      <c r="H1733">
        <v>1.2394000000000001E-2</v>
      </c>
    </row>
    <row r="1734" spans="1:8" x14ac:dyDescent="0.25">
      <c r="B1734">
        <v>2.4799999999999999E-2</v>
      </c>
      <c r="C1734">
        <v>-30</v>
      </c>
      <c r="D1734">
        <v>38.4</v>
      </c>
      <c r="E1734">
        <v>42.665999999999997</v>
      </c>
      <c r="F1734">
        <v>2.3438000000000001E-2</v>
      </c>
      <c r="G1734">
        <v>10.651999999999999</v>
      </c>
      <c r="H1734">
        <v>2.4799999999999999E-2</v>
      </c>
    </row>
    <row r="1735" spans="1:8" x14ac:dyDescent="0.25">
      <c r="B1735">
        <v>3.7101000000000002E-2</v>
      </c>
      <c r="C1735">
        <v>-25</v>
      </c>
      <c r="D1735">
        <v>38.4</v>
      </c>
      <c r="E1735">
        <v>42.45</v>
      </c>
      <c r="F1735">
        <v>2.3557000000000002E-2</v>
      </c>
      <c r="G1735">
        <v>15.968999999999999</v>
      </c>
      <c r="H1735">
        <v>3.7101000000000002E-2</v>
      </c>
    </row>
    <row r="1736" spans="1:8" x14ac:dyDescent="0.25">
      <c r="B1736">
        <v>4.9299999999999997E-2</v>
      </c>
      <c r="C1736">
        <v>-20</v>
      </c>
      <c r="D1736">
        <v>38.4</v>
      </c>
      <c r="E1736">
        <v>42.232999999999997</v>
      </c>
      <c r="F1736">
        <v>2.3678000000000001E-2</v>
      </c>
      <c r="G1736">
        <v>21.300999999999998</v>
      </c>
      <c r="H1736">
        <v>4.9299999999999997E-2</v>
      </c>
    </row>
    <row r="1737" spans="1:8" x14ac:dyDescent="0.25">
      <c r="B1737">
        <v>6.1398000000000001E-2</v>
      </c>
      <c r="C1737">
        <v>-15</v>
      </c>
      <c r="D1737">
        <v>38.4</v>
      </c>
      <c r="E1737">
        <v>42.014000000000003</v>
      </c>
      <c r="F1737">
        <v>2.3800999999999999E-2</v>
      </c>
      <c r="G1737">
        <v>26.651</v>
      </c>
      <c r="H1737">
        <v>6.1398000000000001E-2</v>
      </c>
    </row>
    <row r="1738" spans="1:8" x14ac:dyDescent="0.25">
      <c r="B1738">
        <v>7.3397000000000004E-2</v>
      </c>
      <c r="C1738">
        <v>-10</v>
      </c>
      <c r="D1738">
        <v>38.4</v>
      </c>
      <c r="E1738">
        <v>41.792999999999999</v>
      </c>
      <c r="F1738">
        <v>2.3927E-2</v>
      </c>
      <c r="G1738">
        <v>32.015999999999998</v>
      </c>
      <c r="H1738">
        <v>7.3397000000000004E-2</v>
      </c>
    </row>
    <row r="1739" spans="1:8" x14ac:dyDescent="0.25">
      <c r="B1739">
        <v>8.5300000000000001E-2</v>
      </c>
      <c r="C1739">
        <v>-5</v>
      </c>
      <c r="D1739">
        <v>38.4</v>
      </c>
      <c r="E1739">
        <v>41.570999999999998</v>
      </c>
      <c r="F1739">
        <v>2.4056000000000001E-2</v>
      </c>
      <c r="G1739">
        <v>37.399000000000001</v>
      </c>
      <c r="H1739">
        <v>8.5300000000000001E-2</v>
      </c>
    </row>
    <row r="1740" spans="1:8" x14ac:dyDescent="0.25">
      <c r="B1740">
        <v>9.7109000000000001E-2</v>
      </c>
      <c r="C1740">
        <v>0</v>
      </c>
      <c r="D1740">
        <v>38.4</v>
      </c>
      <c r="E1740">
        <v>41.345999999999997</v>
      </c>
      <c r="F1740">
        <v>2.4185999999999999E-2</v>
      </c>
      <c r="G1740">
        <v>42.796999999999997</v>
      </c>
      <c r="H1740">
        <v>9.7109000000000001E-2</v>
      </c>
    </row>
    <row r="1741" spans="1:8" x14ac:dyDescent="0.25">
      <c r="B1741">
        <v>0.10883</v>
      </c>
      <c r="C1741">
        <v>5</v>
      </c>
      <c r="D1741">
        <v>38.4</v>
      </c>
      <c r="E1741">
        <v>41.119</v>
      </c>
      <c r="F1741">
        <v>2.4320000000000001E-2</v>
      </c>
      <c r="G1741">
        <v>48.212000000000003</v>
      </c>
      <c r="H1741">
        <v>0.10883</v>
      </c>
    </row>
    <row r="1742" spans="1:8" x14ac:dyDescent="0.25">
      <c r="B1742">
        <v>1.3152999999999999</v>
      </c>
      <c r="C1742">
        <v>10</v>
      </c>
      <c r="D1742">
        <v>38.4</v>
      </c>
      <c r="E1742">
        <v>0.13661999999999999</v>
      </c>
      <c r="F1742">
        <v>7.3196000000000003</v>
      </c>
      <c r="G1742">
        <v>614.70000000000005</v>
      </c>
      <c r="H1742">
        <v>1.3152999999999999</v>
      </c>
    </row>
    <row r="1743" spans="1:8" x14ac:dyDescent="0.25">
      <c r="B1743">
        <v>1.3216000000000001</v>
      </c>
      <c r="C1743">
        <v>15</v>
      </c>
      <c r="D1743">
        <v>38.4</v>
      </c>
      <c r="E1743">
        <v>0.13483999999999999</v>
      </c>
      <c r="F1743">
        <v>7.4164000000000003</v>
      </c>
      <c r="G1743">
        <v>617.67999999999995</v>
      </c>
      <c r="H1743">
        <v>1.3216000000000001</v>
      </c>
    </row>
    <row r="1744" spans="1:8" x14ac:dyDescent="0.25">
      <c r="B1744">
        <v>1.3278000000000001</v>
      </c>
      <c r="C1744">
        <v>20</v>
      </c>
      <c r="D1744">
        <v>38.4</v>
      </c>
      <c r="E1744">
        <v>0.13311999999999999</v>
      </c>
      <c r="F1744">
        <v>7.5122999999999998</v>
      </c>
      <c r="G1744">
        <v>620.63</v>
      </c>
      <c r="H1744">
        <v>1.3278000000000001</v>
      </c>
    </row>
    <row r="1745" spans="2:8" x14ac:dyDescent="0.25">
      <c r="B1745">
        <v>1.3338000000000001</v>
      </c>
      <c r="C1745">
        <v>25</v>
      </c>
      <c r="D1745">
        <v>38.4</v>
      </c>
      <c r="E1745">
        <v>0.13145000000000001</v>
      </c>
      <c r="F1745">
        <v>7.6073000000000004</v>
      </c>
      <c r="G1745">
        <v>623.54999999999995</v>
      </c>
      <c r="H1745">
        <v>1.3338000000000001</v>
      </c>
    </row>
    <row r="1746" spans="2:8" x14ac:dyDescent="0.25">
      <c r="B1746">
        <v>1.3398000000000001</v>
      </c>
      <c r="C1746">
        <v>30</v>
      </c>
      <c r="D1746">
        <v>38.4</v>
      </c>
      <c r="E1746">
        <v>0.12984000000000001</v>
      </c>
      <c r="F1746">
        <v>7.7016</v>
      </c>
      <c r="G1746">
        <v>626.45000000000005</v>
      </c>
      <c r="H1746">
        <v>1.3398000000000001</v>
      </c>
    </row>
    <row r="1747" spans="2:8" x14ac:dyDescent="0.25">
      <c r="B1747">
        <v>1.3455999999999999</v>
      </c>
      <c r="C1747">
        <v>35</v>
      </c>
      <c r="D1747">
        <v>38.4</v>
      </c>
      <c r="E1747">
        <v>0.12828999999999999</v>
      </c>
      <c r="F1747">
        <v>7.7950999999999997</v>
      </c>
      <c r="G1747">
        <v>629.32000000000005</v>
      </c>
      <c r="H1747">
        <v>1.3455999999999999</v>
      </c>
    </row>
    <row r="1748" spans="2:8" x14ac:dyDescent="0.25">
      <c r="B1748">
        <v>1.3512999999999999</v>
      </c>
      <c r="C1748">
        <v>40</v>
      </c>
      <c r="D1748">
        <v>38.4</v>
      </c>
      <c r="E1748">
        <v>0.12676999999999999</v>
      </c>
      <c r="F1748">
        <v>7.8879999999999999</v>
      </c>
      <c r="G1748">
        <v>632.16999999999996</v>
      </c>
      <c r="H1748">
        <v>1.3512999999999999</v>
      </c>
    </row>
    <row r="1749" spans="2:8" x14ac:dyDescent="0.25">
      <c r="B1749">
        <v>1.357</v>
      </c>
      <c r="C1749">
        <v>45</v>
      </c>
      <c r="D1749">
        <v>38.4</v>
      </c>
      <c r="E1749">
        <v>0.12531</v>
      </c>
      <c r="F1749">
        <v>7.9804000000000004</v>
      </c>
      <c r="G1749">
        <v>634.99</v>
      </c>
      <c r="H1749">
        <v>1.357</v>
      </c>
    </row>
    <row r="1750" spans="2:8" x14ac:dyDescent="0.25">
      <c r="B1750">
        <v>1.3625</v>
      </c>
      <c r="C1750">
        <v>50</v>
      </c>
      <c r="D1750">
        <v>38.4</v>
      </c>
      <c r="E1750">
        <v>0.12388</v>
      </c>
      <c r="F1750">
        <v>8.0721000000000007</v>
      </c>
      <c r="G1750">
        <v>637.79999999999995</v>
      </c>
      <c r="H1750">
        <v>1.3625</v>
      </c>
    </row>
    <row r="1751" spans="2:8" x14ac:dyDescent="0.25">
      <c r="B1751">
        <v>1.3680000000000001</v>
      </c>
      <c r="C1751">
        <v>55</v>
      </c>
      <c r="D1751">
        <v>38.4</v>
      </c>
      <c r="E1751">
        <v>0.1225</v>
      </c>
      <c r="F1751">
        <v>8.1633999999999993</v>
      </c>
      <c r="G1751">
        <v>640.6</v>
      </c>
      <c r="H1751">
        <v>1.3680000000000001</v>
      </c>
    </row>
    <row r="1752" spans="2:8" x14ac:dyDescent="0.25">
      <c r="B1752">
        <v>1.3733</v>
      </c>
      <c r="C1752">
        <v>60</v>
      </c>
      <c r="D1752">
        <v>38.4</v>
      </c>
      <c r="E1752">
        <v>0.12114999999999999</v>
      </c>
      <c r="F1752">
        <v>8.2542000000000009</v>
      </c>
      <c r="G1752">
        <v>643.38</v>
      </c>
      <c r="H1752">
        <v>1.3733</v>
      </c>
    </row>
    <row r="1753" spans="2:8" x14ac:dyDescent="0.25">
      <c r="B1753">
        <v>1.3786</v>
      </c>
      <c r="C1753">
        <v>65</v>
      </c>
      <c r="D1753">
        <v>38.4</v>
      </c>
      <c r="E1753">
        <v>0.11984</v>
      </c>
      <c r="F1753">
        <v>8.3445</v>
      </c>
      <c r="G1753">
        <v>646.15</v>
      </c>
      <c r="H1753">
        <v>1.3786</v>
      </c>
    </row>
    <row r="1754" spans="2:8" x14ac:dyDescent="0.25">
      <c r="B1754">
        <v>1.3838999999999999</v>
      </c>
      <c r="C1754">
        <v>70</v>
      </c>
      <c r="D1754">
        <v>38.4</v>
      </c>
      <c r="E1754">
        <v>0.11856</v>
      </c>
      <c r="F1754">
        <v>8.4344999999999999</v>
      </c>
      <c r="G1754">
        <v>648.9</v>
      </c>
      <c r="H1754">
        <v>1.3838999999999999</v>
      </c>
    </row>
    <row r="1755" spans="2:8" x14ac:dyDescent="0.25">
      <c r="B1755">
        <v>1.389</v>
      </c>
      <c r="C1755">
        <v>75</v>
      </c>
      <c r="D1755">
        <v>38.4</v>
      </c>
      <c r="E1755">
        <v>0.11731999999999999</v>
      </c>
      <c r="F1755">
        <v>8.5239999999999991</v>
      </c>
      <c r="G1755">
        <v>651.65</v>
      </c>
      <c r="H1755">
        <v>1.389</v>
      </c>
    </row>
    <row r="1756" spans="2:8" x14ac:dyDescent="0.25">
      <c r="B1756">
        <v>1.3940999999999999</v>
      </c>
      <c r="C1756">
        <v>80</v>
      </c>
      <c r="D1756">
        <v>38.4</v>
      </c>
      <c r="E1756">
        <v>0.11609999999999999</v>
      </c>
      <c r="F1756">
        <v>8.6132000000000009</v>
      </c>
      <c r="G1756">
        <v>654.39</v>
      </c>
      <c r="H1756">
        <v>1.3940999999999999</v>
      </c>
    </row>
    <row r="1757" spans="2:8" x14ac:dyDescent="0.25">
      <c r="B1757">
        <v>1.3992</v>
      </c>
      <c r="C1757">
        <v>85</v>
      </c>
      <c r="D1757">
        <v>38.4</v>
      </c>
      <c r="E1757">
        <v>0.11491</v>
      </c>
      <c r="F1757">
        <v>8.7020999999999997</v>
      </c>
      <c r="G1757">
        <v>657.12</v>
      </c>
      <c r="H1757">
        <v>1.3992</v>
      </c>
    </row>
    <row r="1758" spans="2:8" x14ac:dyDescent="0.25">
      <c r="B1758">
        <v>1.4040999999999999</v>
      </c>
      <c r="C1758">
        <v>90</v>
      </c>
      <c r="D1758">
        <v>38.4</v>
      </c>
      <c r="E1758">
        <v>0.11376</v>
      </c>
      <c r="F1758">
        <v>8.7906999999999993</v>
      </c>
      <c r="G1758">
        <v>659.84</v>
      </c>
      <c r="H1758">
        <v>1.4040999999999999</v>
      </c>
    </row>
    <row r="1759" spans="2:8" x14ac:dyDescent="0.25">
      <c r="B1759">
        <v>1.4091</v>
      </c>
      <c r="C1759">
        <v>95</v>
      </c>
      <c r="D1759">
        <v>38.4</v>
      </c>
      <c r="E1759">
        <v>0.11262999999999999</v>
      </c>
      <c r="F1759">
        <v>8.8789999999999996</v>
      </c>
      <c r="G1759">
        <v>662.56</v>
      </c>
      <c r="H1759">
        <v>1.4091</v>
      </c>
    </row>
    <row r="1760" spans="2:8" x14ac:dyDescent="0.25">
      <c r="B1760">
        <v>1.4138999999999999</v>
      </c>
      <c r="C1760">
        <v>100</v>
      </c>
      <c r="D1760">
        <v>38.4</v>
      </c>
      <c r="E1760">
        <v>0.11151999999999999</v>
      </c>
      <c r="F1760">
        <v>8.9670000000000005</v>
      </c>
      <c r="G1760">
        <v>665.27</v>
      </c>
      <c r="H1760">
        <v>1.4138999999999999</v>
      </c>
    </row>
    <row r="1761" spans="2:8" x14ac:dyDescent="0.25">
      <c r="B1761">
        <v>1.4187000000000001</v>
      </c>
      <c r="C1761">
        <v>105</v>
      </c>
      <c r="D1761">
        <v>38.4</v>
      </c>
      <c r="E1761">
        <v>0.11044</v>
      </c>
      <c r="F1761">
        <v>9.0548000000000002</v>
      </c>
      <c r="G1761">
        <v>667.98</v>
      </c>
      <c r="H1761">
        <v>1.4187000000000001</v>
      </c>
    </row>
    <row r="1762" spans="2:8" x14ac:dyDescent="0.25">
      <c r="B1762">
        <v>1.4235</v>
      </c>
      <c r="C1762">
        <v>110</v>
      </c>
      <c r="D1762">
        <v>38.4</v>
      </c>
      <c r="E1762">
        <v>0.10938000000000001</v>
      </c>
      <c r="F1762">
        <v>9.1423000000000005</v>
      </c>
      <c r="G1762">
        <v>670.68</v>
      </c>
      <c r="H1762">
        <v>1.4235</v>
      </c>
    </row>
    <row r="1763" spans="2:8" x14ac:dyDescent="0.25">
      <c r="B1763">
        <v>1.4281999999999999</v>
      </c>
      <c r="C1763">
        <v>115</v>
      </c>
      <c r="D1763">
        <v>38.4</v>
      </c>
      <c r="E1763">
        <v>0.10835</v>
      </c>
      <c r="F1763">
        <v>9.2295999999999996</v>
      </c>
      <c r="G1763">
        <v>673.38</v>
      </c>
      <c r="H1763">
        <v>1.4281999999999999</v>
      </c>
    </row>
    <row r="1764" spans="2:8" x14ac:dyDescent="0.25">
      <c r="B1764">
        <v>1.4329000000000001</v>
      </c>
      <c r="C1764">
        <v>120</v>
      </c>
      <c r="D1764">
        <v>38.4</v>
      </c>
      <c r="E1764">
        <v>0.10732999999999999</v>
      </c>
      <c r="F1764">
        <v>9.3167000000000009</v>
      </c>
      <c r="G1764">
        <v>676.08</v>
      </c>
      <c r="H1764">
        <v>1.4329000000000001</v>
      </c>
    </row>
    <row r="1765" spans="2:8" x14ac:dyDescent="0.25">
      <c r="B1765">
        <v>1.4375</v>
      </c>
      <c r="C1765">
        <v>125</v>
      </c>
      <c r="D1765">
        <v>38.4</v>
      </c>
      <c r="E1765">
        <v>0.10634</v>
      </c>
      <c r="F1765">
        <v>9.4036000000000008</v>
      </c>
      <c r="G1765">
        <v>678.78</v>
      </c>
      <c r="H1765">
        <v>1.4375</v>
      </c>
    </row>
    <row r="1766" spans="2:8" x14ac:dyDescent="0.25">
      <c r="B1766">
        <v>1.4420999999999999</v>
      </c>
      <c r="C1766">
        <v>130</v>
      </c>
      <c r="D1766">
        <v>38.4</v>
      </c>
      <c r="E1766">
        <v>0.10537000000000001</v>
      </c>
      <c r="F1766">
        <v>9.4902999999999995</v>
      </c>
      <c r="G1766">
        <v>681.47</v>
      </c>
      <c r="H1766">
        <v>1.4420999999999999</v>
      </c>
    </row>
    <row r="1767" spans="2:8" x14ac:dyDescent="0.25">
      <c r="B1767">
        <v>1.4467000000000001</v>
      </c>
      <c r="C1767">
        <v>135</v>
      </c>
      <c r="D1767">
        <v>38.4</v>
      </c>
      <c r="E1767">
        <v>0.10442</v>
      </c>
      <c r="F1767">
        <v>9.5768000000000004</v>
      </c>
      <c r="G1767">
        <v>684.16</v>
      </c>
      <c r="H1767">
        <v>1.4467000000000001</v>
      </c>
    </row>
    <row r="1768" spans="2:8" x14ac:dyDescent="0.25">
      <c r="B1768">
        <v>1.4512</v>
      </c>
      <c r="C1768">
        <v>140</v>
      </c>
      <c r="D1768">
        <v>38.4</v>
      </c>
      <c r="E1768">
        <v>0.10349</v>
      </c>
      <c r="F1768">
        <v>9.6631999999999998</v>
      </c>
      <c r="G1768">
        <v>686.86</v>
      </c>
      <c r="H1768">
        <v>1.4512</v>
      </c>
    </row>
    <row r="1769" spans="2:8" x14ac:dyDescent="0.25">
      <c r="B1769">
        <v>1.4557</v>
      </c>
      <c r="C1769">
        <v>145</v>
      </c>
      <c r="D1769">
        <v>38.4</v>
      </c>
      <c r="E1769">
        <v>0.10256999999999999</v>
      </c>
      <c r="F1769">
        <v>9.7493999999999996</v>
      </c>
      <c r="G1769">
        <v>689.55</v>
      </c>
      <c r="H1769">
        <v>1.4557</v>
      </c>
    </row>
    <row r="1770" spans="2:8" x14ac:dyDescent="0.25">
      <c r="B1770">
        <v>1.4601</v>
      </c>
      <c r="C1770">
        <v>150</v>
      </c>
      <c r="D1770">
        <v>38.4</v>
      </c>
      <c r="E1770">
        <v>0.10167</v>
      </c>
      <c r="F1770">
        <v>9.8353999999999999</v>
      </c>
      <c r="G1770">
        <v>692.24</v>
      </c>
      <c r="H1770">
        <v>1.4601</v>
      </c>
    </row>
    <row r="1771" spans="2:8" x14ac:dyDescent="0.25">
      <c r="B1771">
        <v>1.4644999999999999</v>
      </c>
      <c r="C1771">
        <v>155</v>
      </c>
      <c r="D1771">
        <v>38.4</v>
      </c>
      <c r="E1771">
        <v>0.10079</v>
      </c>
      <c r="F1771">
        <v>9.9214000000000002</v>
      </c>
      <c r="G1771">
        <v>694.94</v>
      </c>
      <c r="H1771">
        <v>1.4644999999999999</v>
      </c>
    </row>
    <row r="1772" spans="2:8" x14ac:dyDescent="0.25">
      <c r="B1772">
        <v>1.4689000000000001</v>
      </c>
      <c r="C1772">
        <v>160</v>
      </c>
      <c r="D1772">
        <v>38.4</v>
      </c>
      <c r="E1772">
        <v>9.9929000000000004E-2</v>
      </c>
      <c r="F1772">
        <v>10.007</v>
      </c>
      <c r="G1772">
        <v>697.63</v>
      </c>
      <c r="H1772">
        <v>1.4689000000000001</v>
      </c>
    </row>
    <row r="1773" spans="2:8" x14ac:dyDescent="0.25">
      <c r="B1773">
        <v>1.4732000000000001</v>
      </c>
      <c r="C1773">
        <v>165</v>
      </c>
      <c r="D1773">
        <v>38.4</v>
      </c>
      <c r="E1773">
        <v>9.9081000000000002E-2</v>
      </c>
      <c r="F1773">
        <v>10.093</v>
      </c>
      <c r="G1773">
        <v>700.33</v>
      </c>
      <c r="H1773">
        <v>1.4732000000000001</v>
      </c>
    </row>
    <row r="1774" spans="2:8" x14ac:dyDescent="0.25">
      <c r="B1774">
        <v>1.4775</v>
      </c>
      <c r="C1774">
        <v>170</v>
      </c>
      <c r="D1774">
        <v>38.4</v>
      </c>
      <c r="E1774">
        <v>9.8248000000000002E-2</v>
      </c>
      <c r="F1774">
        <v>10.178000000000001</v>
      </c>
      <c r="G1774">
        <v>703.02</v>
      </c>
      <c r="H1774">
        <v>1.4775</v>
      </c>
    </row>
    <row r="1775" spans="2:8" x14ac:dyDescent="0.25">
      <c r="B1775">
        <v>1.4818</v>
      </c>
      <c r="C1775">
        <v>175</v>
      </c>
      <c r="D1775">
        <v>38.4</v>
      </c>
      <c r="E1775">
        <v>9.7431000000000004E-2</v>
      </c>
      <c r="F1775">
        <v>10.263999999999999</v>
      </c>
      <c r="G1775">
        <v>705.72</v>
      </c>
      <c r="H1775">
        <v>1.4818</v>
      </c>
    </row>
    <row r="1776" spans="2:8" x14ac:dyDescent="0.25">
      <c r="B1776">
        <v>1.486</v>
      </c>
      <c r="C1776">
        <v>180</v>
      </c>
      <c r="D1776">
        <v>38.4</v>
      </c>
      <c r="E1776">
        <v>9.6627000000000005E-2</v>
      </c>
      <c r="F1776">
        <v>10.349</v>
      </c>
      <c r="G1776">
        <v>708.42</v>
      </c>
      <c r="H1776">
        <v>1.486</v>
      </c>
    </row>
    <row r="1777" spans="2:8" x14ac:dyDescent="0.25">
      <c r="B1777">
        <v>1.4902</v>
      </c>
      <c r="C1777">
        <v>185</v>
      </c>
      <c r="D1777">
        <v>38.4</v>
      </c>
      <c r="E1777">
        <v>9.5838000000000007E-2</v>
      </c>
      <c r="F1777">
        <v>10.433999999999999</v>
      </c>
      <c r="G1777">
        <v>711.12</v>
      </c>
      <c r="H1777">
        <v>1.4902</v>
      </c>
    </row>
    <row r="1778" spans="2:8" x14ac:dyDescent="0.25">
      <c r="B1778">
        <v>1.4944</v>
      </c>
      <c r="C1778">
        <v>190</v>
      </c>
      <c r="D1778">
        <v>38.4</v>
      </c>
      <c r="E1778">
        <v>9.5062999999999995E-2</v>
      </c>
      <c r="F1778">
        <v>10.519</v>
      </c>
      <c r="G1778">
        <v>713.83</v>
      </c>
      <c r="H1778">
        <v>1.4944</v>
      </c>
    </row>
    <row r="1779" spans="2:8" x14ac:dyDescent="0.25">
      <c r="B1779">
        <v>1.4984999999999999</v>
      </c>
      <c r="C1779">
        <v>195</v>
      </c>
      <c r="D1779">
        <v>38.4</v>
      </c>
      <c r="E1779">
        <v>9.4300999999999996E-2</v>
      </c>
      <c r="F1779">
        <v>10.603999999999999</v>
      </c>
      <c r="G1779">
        <v>716.54</v>
      </c>
      <c r="H1779">
        <v>1.4984999999999999</v>
      </c>
    </row>
    <row r="1780" spans="2:8" x14ac:dyDescent="0.25">
      <c r="B1780">
        <v>1.5026999999999999</v>
      </c>
      <c r="C1780">
        <v>200</v>
      </c>
      <c r="D1780">
        <v>38.4</v>
      </c>
      <c r="E1780">
        <v>9.3551999999999996E-2</v>
      </c>
      <c r="F1780">
        <v>10.689</v>
      </c>
      <c r="G1780">
        <v>719.25</v>
      </c>
      <c r="H1780">
        <v>1.5026999999999999</v>
      </c>
    </row>
    <row r="1781" spans="2:8" x14ac:dyDescent="0.25">
      <c r="B1781">
        <v>1.5067999999999999</v>
      </c>
      <c r="C1781">
        <v>205</v>
      </c>
      <c r="D1781">
        <v>38.4</v>
      </c>
      <c r="E1781">
        <v>9.2815999999999996E-2</v>
      </c>
      <c r="F1781">
        <v>10.773999999999999</v>
      </c>
      <c r="G1781">
        <v>721.96</v>
      </c>
      <c r="H1781">
        <v>1.5067999999999999</v>
      </c>
    </row>
    <row r="1782" spans="2:8" x14ac:dyDescent="0.25">
      <c r="B1782">
        <v>1.5107999999999999</v>
      </c>
      <c r="C1782">
        <v>210</v>
      </c>
      <c r="D1782">
        <v>38.4</v>
      </c>
      <c r="E1782">
        <v>9.2091000000000006E-2</v>
      </c>
      <c r="F1782">
        <v>10.859</v>
      </c>
      <c r="G1782">
        <v>724.68</v>
      </c>
      <c r="H1782">
        <v>1.5107999999999999</v>
      </c>
    </row>
    <row r="1783" spans="2:8" x14ac:dyDescent="0.25">
      <c r="B1783">
        <v>1.5148999999999999</v>
      </c>
      <c r="C1783">
        <v>215</v>
      </c>
      <c r="D1783">
        <v>38.4</v>
      </c>
      <c r="E1783">
        <v>9.1379000000000002E-2</v>
      </c>
      <c r="F1783">
        <v>10.943</v>
      </c>
      <c r="G1783">
        <v>727.4</v>
      </c>
      <c r="H1783">
        <v>1.5148999999999999</v>
      </c>
    </row>
    <row r="1784" spans="2:8" x14ac:dyDescent="0.25">
      <c r="B1784">
        <v>1.5188999999999999</v>
      </c>
      <c r="C1784">
        <v>220</v>
      </c>
      <c r="D1784">
        <v>38.4</v>
      </c>
      <c r="E1784">
        <v>9.0677999999999995E-2</v>
      </c>
      <c r="F1784">
        <v>11.028</v>
      </c>
      <c r="G1784">
        <v>730.13</v>
      </c>
      <c r="H1784">
        <v>1.5188999999999999</v>
      </c>
    </row>
    <row r="1785" spans="2:8" x14ac:dyDescent="0.25">
      <c r="B1785">
        <v>1.5228999999999999</v>
      </c>
      <c r="C1785">
        <v>225</v>
      </c>
      <c r="D1785">
        <v>38.4</v>
      </c>
      <c r="E1785">
        <v>8.9987999999999999E-2</v>
      </c>
      <c r="F1785">
        <v>11.113</v>
      </c>
      <c r="G1785">
        <v>732.86</v>
      </c>
      <c r="H1785">
        <v>1.5228999999999999</v>
      </c>
    </row>
    <row r="1786" spans="2:8" x14ac:dyDescent="0.25">
      <c r="B1786">
        <v>1.5268999999999999</v>
      </c>
      <c r="C1786">
        <v>230</v>
      </c>
      <c r="D1786">
        <v>38.4</v>
      </c>
      <c r="E1786">
        <v>8.931E-2</v>
      </c>
      <c r="F1786">
        <v>11.196999999999999</v>
      </c>
      <c r="G1786">
        <v>735.59</v>
      </c>
      <c r="H1786">
        <v>1.5268999999999999</v>
      </c>
    </row>
    <row r="1787" spans="2:8" x14ac:dyDescent="0.25">
      <c r="B1787">
        <v>1.5307999999999999</v>
      </c>
      <c r="C1787">
        <v>235</v>
      </c>
      <c r="D1787">
        <v>38.4</v>
      </c>
      <c r="E1787">
        <v>8.8641999999999999E-2</v>
      </c>
      <c r="F1787">
        <v>11.281000000000001</v>
      </c>
      <c r="G1787">
        <v>738.32</v>
      </c>
      <c r="H1787">
        <v>1.5307999999999999</v>
      </c>
    </row>
    <row r="1788" spans="2:8" x14ac:dyDescent="0.25">
      <c r="B1788">
        <v>1.5347999999999999</v>
      </c>
      <c r="C1788">
        <v>240</v>
      </c>
      <c r="D1788">
        <v>38.4</v>
      </c>
      <c r="E1788">
        <v>8.7984000000000007E-2</v>
      </c>
      <c r="F1788">
        <v>11.366</v>
      </c>
      <c r="G1788">
        <v>741.07</v>
      </c>
      <c r="H1788">
        <v>1.5347999999999999</v>
      </c>
    </row>
    <row r="1789" spans="2:8" x14ac:dyDescent="0.25">
      <c r="B1789">
        <v>1.5387</v>
      </c>
      <c r="C1789">
        <v>245</v>
      </c>
      <c r="D1789">
        <v>38.4</v>
      </c>
      <c r="E1789">
        <v>8.7336999999999998E-2</v>
      </c>
      <c r="F1789">
        <v>11.45</v>
      </c>
      <c r="G1789">
        <v>743.81</v>
      </c>
      <c r="H1789">
        <v>1.5387</v>
      </c>
    </row>
    <row r="1790" spans="2:8" x14ac:dyDescent="0.25">
      <c r="B1790">
        <v>1.5426</v>
      </c>
      <c r="C1790">
        <v>250</v>
      </c>
      <c r="D1790">
        <v>38.4</v>
      </c>
      <c r="E1790">
        <v>8.6699999999999999E-2</v>
      </c>
      <c r="F1790">
        <v>11.534000000000001</v>
      </c>
      <c r="G1790">
        <v>746.56</v>
      </c>
      <c r="H1790">
        <v>1.5426</v>
      </c>
    </row>
    <row r="1791" spans="2:8" x14ac:dyDescent="0.25">
      <c r="B1791">
        <v>1.5464</v>
      </c>
      <c r="C1791">
        <v>255</v>
      </c>
      <c r="D1791">
        <v>38.4</v>
      </c>
      <c r="E1791">
        <v>8.6071999999999996E-2</v>
      </c>
      <c r="F1791">
        <v>11.618</v>
      </c>
      <c r="G1791">
        <v>749.32</v>
      </c>
      <c r="H1791">
        <v>1.5464</v>
      </c>
    </row>
    <row r="1792" spans="2:8" x14ac:dyDescent="0.25">
      <c r="B1792">
        <v>1.5503</v>
      </c>
      <c r="C1792">
        <v>260</v>
      </c>
      <c r="D1792">
        <v>38.4</v>
      </c>
      <c r="E1792">
        <v>8.5453000000000001E-2</v>
      </c>
      <c r="F1792">
        <v>11.702</v>
      </c>
      <c r="G1792">
        <v>752.07</v>
      </c>
      <c r="H1792">
        <v>1.5503</v>
      </c>
    </row>
    <row r="1793" spans="1:8" x14ac:dyDescent="0.25">
      <c r="B1793">
        <v>1.5541</v>
      </c>
      <c r="C1793">
        <v>265</v>
      </c>
      <c r="D1793">
        <v>38.4</v>
      </c>
      <c r="E1793">
        <v>8.4844000000000003E-2</v>
      </c>
      <c r="F1793">
        <v>11.786</v>
      </c>
      <c r="G1793">
        <v>754.84</v>
      </c>
      <c r="H1793">
        <v>1.5541</v>
      </c>
    </row>
    <row r="1794" spans="1:8" x14ac:dyDescent="0.25">
      <c r="B1794">
        <v>1.5579000000000001</v>
      </c>
      <c r="C1794">
        <v>270</v>
      </c>
      <c r="D1794">
        <v>38.4</v>
      </c>
      <c r="E1794">
        <v>8.4243999999999999E-2</v>
      </c>
      <c r="F1794">
        <v>11.87</v>
      </c>
      <c r="G1794">
        <v>757.61</v>
      </c>
      <c r="H1794">
        <v>1.5579000000000001</v>
      </c>
    </row>
    <row r="1795" spans="1:8" x14ac:dyDescent="0.25">
      <c r="B1795">
        <v>1.5617000000000001</v>
      </c>
      <c r="C1795">
        <v>275</v>
      </c>
      <c r="D1795">
        <v>38.4</v>
      </c>
      <c r="E1795">
        <v>8.3653000000000005E-2</v>
      </c>
      <c r="F1795">
        <v>11.954000000000001</v>
      </c>
      <c r="G1795">
        <v>760.38</v>
      </c>
      <c r="H1795">
        <v>1.5617000000000001</v>
      </c>
    </row>
    <row r="1796" spans="1:8" x14ac:dyDescent="0.25">
      <c r="B1796">
        <v>1.5654999999999999</v>
      </c>
      <c r="C1796">
        <v>280</v>
      </c>
      <c r="D1796">
        <v>38.4</v>
      </c>
      <c r="E1796">
        <v>8.3070000000000005E-2</v>
      </c>
      <c r="F1796">
        <v>12.038</v>
      </c>
      <c r="G1796">
        <v>763.16</v>
      </c>
      <c r="H1796">
        <v>1.5654999999999999</v>
      </c>
    </row>
    <row r="1797" spans="1:8" x14ac:dyDescent="0.25">
      <c r="B1797">
        <v>1.5691999999999999</v>
      </c>
      <c r="C1797">
        <v>285</v>
      </c>
      <c r="D1797">
        <v>38.4</v>
      </c>
      <c r="E1797">
        <v>8.2494999999999999E-2</v>
      </c>
      <c r="F1797">
        <v>12.122</v>
      </c>
      <c r="G1797">
        <v>765.94</v>
      </c>
      <c r="H1797">
        <v>1.5691999999999999</v>
      </c>
    </row>
    <row r="1798" spans="1:8" x14ac:dyDescent="0.25">
      <c r="B1798">
        <v>1.573</v>
      </c>
      <c r="C1798">
        <v>290</v>
      </c>
      <c r="D1798">
        <v>38.4</v>
      </c>
      <c r="E1798">
        <v>8.1929000000000002E-2</v>
      </c>
      <c r="F1798">
        <v>12.206</v>
      </c>
      <c r="G1798">
        <v>768.73</v>
      </c>
      <c r="H1798">
        <v>1.573</v>
      </c>
    </row>
    <row r="1799" spans="1:8" x14ac:dyDescent="0.25">
      <c r="B1799">
        <v>1.5767</v>
      </c>
      <c r="C1799">
        <v>295</v>
      </c>
      <c r="D1799">
        <v>38.4</v>
      </c>
      <c r="E1799">
        <v>8.1370999999999999E-2</v>
      </c>
      <c r="F1799">
        <v>12.289</v>
      </c>
      <c r="G1799">
        <v>771.53</v>
      </c>
      <c r="H1799">
        <v>1.5767</v>
      </c>
    </row>
    <row r="1800" spans="1:8" x14ac:dyDescent="0.25">
      <c r="B1800">
        <v>1.5804</v>
      </c>
      <c r="C1800">
        <v>300</v>
      </c>
      <c r="D1800">
        <v>38.4</v>
      </c>
      <c r="E1800">
        <v>8.0821000000000004E-2</v>
      </c>
      <c r="F1800">
        <v>12.372999999999999</v>
      </c>
      <c r="G1800">
        <v>774.33</v>
      </c>
      <c r="H1800">
        <v>1.5804</v>
      </c>
    </row>
    <row r="1802" spans="1:8" x14ac:dyDescent="0.25">
      <c r="A1802">
        <v>40.200000000000003</v>
      </c>
      <c r="B1802">
        <v>-2.5475999999999999E-2</v>
      </c>
      <c r="C1802">
        <v>-50</v>
      </c>
      <c r="D1802">
        <v>40.200000000000003</v>
      </c>
      <c r="E1802">
        <v>43.508000000000003</v>
      </c>
      <c r="F1802">
        <v>2.2984000000000001E-2</v>
      </c>
      <c r="G1802">
        <v>-10.436</v>
      </c>
      <c r="H1802">
        <v>-2.5475999999999999E-2</v>
      </c>
    </row>
    <row r="1803" spans="1:8" x14ac:dyDescent="0.25">
      <c r="B1803">
        <v>-1.2744999999999999E-2</v>
      </c>
      <c r="C1803">
        <v>-45</v>
      </c>
      <c r="D1803">
        <v>40.200000000000003</v>
      </c>
      <c r="E1803">
        <v>43.3</v>
      </c>
      <c r="F1803">
        <v>2.3095000000000001E-2</v>
      </c>
      <c r="G1803">
        <v>-5.1891999999999996</v>
      </c>
      <c r="H1803">
        <v>-1.2744999999999999E-2</v>
      </c>
    </row>
    <row r="1804" spans="1:8" x14ac:dyDescent="0.25">
      <c r="B1804">
        <v>-1.2519000000000001E-4</v>
      </c>
      <c r="C1804">
        <v>-40</v>
      </c>
      <c r="D1804">
        <v>40.200000000000003</v>
      </c>
      <c r="E1804">
        <v>43.091000000000001</v>
      </c>
      <c r="F1804">
        <v>2.3206999999999998E-2</v>
      </c>
      <c r="G1804">
        <v>7.5538999999999995E-2</v>
      </c>
      <c r="H1804">
        <v>-1.2519000000000001E-4</v>
      </c>
    </row>
    <row r="1805" spans="1:8" x14ac:dyDescent="0.25">
      <c r="B1805">
        <v>1.2387E-2</v>
      </c>
      <c r="C1805">
        <v>-35</v>
      </c>
      <c r="D1805">
        <v>40.200000000000003</v>
      </c>
      <c r="E1805">
        <v>42.878999999999998</v>
      </c>
      <c r="F1805">
        <v>2.3321000000000001E-2</v>
      </c>
      <c r="G1805">
        <v>5.3575999999999997</v>
      </c>
      <c r="H1805">
        <v>1.2387E-2</v>
      </c>
    </row>
    <row r="1806" spans="1:8" x14ac:dyDescent="0.25">
      <c r="B1806">
        <v>2.4792000000000002E-2</v>
      </c>
      <c r="C1806">
        <v>-30</v>
      </c>
      <c r="D1806">
        <v>40.200000000000003</v>
      </c>
      <c r="E1806">
        <v>42.665999999999997</v>
      </c>
      <c r="F1806">
        <v>2.3438000000000001E-2</v>
      </c>
      <c r="G1806">
        <v>10.657</v>
      </c>
      <c r="H1806">
        <v>2.4792000000000002E-2</v>
      </c>
    </row>
    <row r="1807" spans="1:8" x14ac:dyDescent="0.25">
      <c r="B1807">
        <v>3.7093000000000001E-2</v>
      </c>
      <c r="C1807">
        <v>-25</v>
      </c>
      <c r="D1807">
        <v>40.200000000000003</v>
      </c>
      <c r="E1807">
        <v>42.451000000000001</v>
      </c>
      <c r="F1807">
        <v>2.3557000000000002E-2</v>
      </c>
      <c r="G1807">
        <v>15.973000000000001</v>
      </c>
      <c r="H1807">
        <v>3.7093000000000001E-2</v>
      </c>
    </row>
    <row r="1808" spans="1:8" x14ac:dyDescent="0.25">
      <c r="B1808">
        <v>4.9291000000000001E-2</v>
      </c>
      <c r="C1808">
        <v>-20</v>
      </c>
      <c r="D1808">
        <v>40.200000000000003</v>
      </c>
      <c r="E1808">
        <v>42.234000000000002</v>
      </c>
      <c r="F1808">
        <v>2.3678000000000001E-2</v>
      </c>
      <c r="G1808">
        <v>21.306000000000001</v>
      </c>
      <c r="H1808">
        <v>4.9291000000000001E-2</v>
      </c>
    </row>
    <row r="1809" spans="2:8" x14ac:dyDescent="0.25">
      <c r="B1809">
        <v>6.1388999999999999E-2</v>
      </c>
      <c r="C1809">
        <v>-15</v>
      </c>
      <c r="D1809">
        <v>40.200000000000003</v>
      </c>
      <c r="E1809">
        <v>42.015000000000001</v>
      </c>
      <c r="F1809">
        <v>2.3800999999999999E-2</v>
      </c>
      <c r="G1809">
        <v>26.655000000000001</v>
      </c>
      <c r="H1809">
        <v>6.1388999999999999E-2</v>
      </c>
    </row>
    <row r="1810" spans="2:8" x14ac:dyDescent="0.25">
      <c r="B1810">
        <v>7.3388999999999996E-2</v>
      </c>
      <c r="C1810">
        <v>-10</v>
      </c>
      <c r="D1810">
        <v>40.200000000000003</v>
      </c>
      <c r="E1810">
        <v>41.793999999999997</v>
      </c>
      <c r="F1810">
        <v>2.3927E-2</v>
      </c>
      <c r="G1810">
        <v>32.021000000000001</v>
      </c>
      <c r="H1810">
        <v>7.3388999999999996E-2</v>
      </c>
    </row>
    <row r="1811" spans="2:8" x14ac:dyDescent="0.25">
      <c r="B1811">
        <v>8.5291000000000006E-2</v>
      </c>
      <c r="C1811">
        <v>-5</v>
      </c>
      <c r="D1811">
        <v>40.200000000000003</v>
      </c>
      <c r="E1811">
        <v>41.570999999999998</v>
      </c>
      <c r="F1811">
        <v>2.4055E-2</v>
      </c>
      <c r="G1811">
        <v>37.402999999999999</v>
      </c>
      <c r="H1811">
        <v>8.5291000000000006E-2</v>
      </c>
    </row>
    <row r="1812" spans="2:8" x14ac:dyDescent="0.25">
      <c r="B1812">
        <v>9.7100000000000006E-2</v>
      </c>
      <c r="C1812">
        <v>0</v>
      </c>
      <c r="D1812">
        <v>40.200000000000003</v>
      </c>
      <c r="E1812">
        <v>41.345999999999997</v>
      </c>
      <c r="F1812">
        <v>2.4185999999999999E-2</v>
      </c>
      <c r="G1812">
        <v>42.801000000000002</v>
      </c>
      <c r="H1812">
        <v>9.7100000000000006E-2</v>
      </c>
    </row>
    <row r="1813" spans="2:8" x14ac:dyDescent="0.25">
      <c r="B1813">
        <v>0.10882</v>
      </c>
      <c r="C1813">
        <v>5</v>
      </c>
      <c r="D1813">
        <v>40.200000000000003</v>
      </c>
      <c r="E1813">
        <v>41.119</v>
      </c>
      <c r="F1813">
        <v>2.4319E-2</v>
      </c>
      <c r="G1813">
        <v>48.216000000000001</v>
      </c>
      <c r="H1813">
        <v>0.10882</v>
      </c>
    </row>
    <row r="1814" spans="2:8" x14ac:dyDescent="0.25">
      <c r="B1814">
        <v>0.12044000000000001</v>
      </c>
      <c r="C1814">
        <v>10</v>
      </c>
      <c r="D1814">
        <v>40.200000000000003</v>
      </c>
      <c r="E1814">
        <v>40.890999999999998</v>
      </c>
      <c r="F1814">
        <v>2.4455000000000001E-2</v>
      </c>
      <c r="G1814">
        <v>53.648000000000003</v>
      </c>
      <c r="H1814">
        <v>0.12044000000000001</v>
      </c>
    </row>
    <row r="1815" spans="2:8" x14ac:dyDescent="0.25">
      <c r="B1815">
        <v>1.3152999999999999</v>
      </c>
      <c r="C1815">
        <v>15</v>
      </c>
      <c r="D1815">
        <v>40.200000000000003</v>
      </c>
      <c r="E1815">
        <v>0.14151</v>
      </c>
      <c r="F1815">
        <v>7.0663999999999998</v>
      </c>
      <c r="G1815">
        <v>617.1</v>
      </c>
      <c r="H1815">
        <v>1.3152999999999999</v>
      </c>
    </row>
    <row r="1816" spans="2:8" x14ac:dyDescent="0.25">
      <c r="B1816">
        <v>1.3214999999999999</v>
      </c>
      <c r="C1816">
        <v>20</v>
      </c>
      <c r="D1816">
        <v>40.200000000000003</v>
      </c>
      <c r="E1816">
        <v>0.13969000000000001</v>
      </c>
      <c r="F1816">
        <v>7.1588000000000003</v>
      </c>
      <c r="G1816">
        <v>620.08000000000004</v>
      </c>
      <c r="H1816">
        <v>1.3214999999999999</v>
      </c>
    </row>
    <row r="1817" spans="2:8" x14ac:dyDescent="0.25">
      <c r="B1817">
        <v>1.3277000000000001</v>
      </c>
      <c r="C1817">
        <v>25</v>
      </c>
      <c r="D1817">
        <v>40.200000000000003</v>
      </c>
      <c r="E1817">
        <v>0.13793</v>
      </c>
      <c r="F1817">
        <v>7.2502000000000004</v>
      </c>
      <c r="G1817">
        <v>623.03</v>
      </c>
      <c r="H1817">
        <v>1.3277000000000001</v>
      </c>
    </row>
    <row r="1818" spans="2:8" x14ac:dyDescent="0.25">
      <c r="B1818">
        <v>1.3335999999999999</v>
      </c>
      <c r="C1818">
        <v>30</v>
      </c>
      <c r="D1818">
        <v>40.200000000000003</v>
      </c>
      <c r="E1818">
        <v>0.13622000000000001</v>
      </c>
      <c r="F1818">
        <v>7.3409000000000004</v>
      </c>
      <c r="G1818">
        <v>625.95000000000005</v>
      </c>
      <c r="H1818">
        <v>1.3335999999999999</v>
      </c>
    </row>
    <row r="1819" spans="2:8" x14ac:dyDescent="0.25">
      <c r="B1819">
        <v>1.3394999999999999</v>
      </c>
      <c r="C1819">
        <v>35</v>
      </c>
      <c r="D1819">
        <v>40.200000000000003</v>
      </c>
      <c r="E1819">
        <v>0.13457</v>
      </c>
      <c r="F1819">
        <v>7.4309000000000003</v>
      </c>
      <c r="G1819">
        <v>628.84</v>
      </c>
      <c r="H1819">
        <v>1.3394999999999999</v>
      </c>
    </row>
    <row r="1820" spans="2:8" x14ac:dyDescent="0.25">
      <c r="B1820">
        <v>1.3452999999999999</v>
      </c>
      <c r="C1820">
        <v>40</v>
      </c>
      <c r="D1820">
        <v>40.200000000000003</v>
      </c>
      <c r="E1820">
        <v>0.13297999999999999</v>
      </c>
      <c r="F1820">
        <v>7.5202</v>
      </c>
      <c r="G1820">
        <v>631.71</v>
      </c>
      <c r="H1820">
        <v>1.3452999999999999</v>
      </c>
    </row>
    <row r="1821" spans="2:8" x14ac:dyDescent="0.25">
      <c r="B1821">
        <v>1.351</v>
      </c>
      <c r="C1821">
        <v>45</v>
      </c>
      <c r="D1821">
        <v>40.200000000000003</v>
      </c>
      <c r="E1821">
        <v>0.13142000000000001</v>
      </c>
      <c r="F1821">
        <v>7.6089000000000002</v>
      </c>
      <c r="G1821">
        <v>634.55999999999995</v>
      </c>
      <c r="H1821">
        <v>1.351</v>
      </c>
    </row>
    <row r="1822" spans="2:8" x14ac:dyDescent="0.25">
      <c r="B1822">
        <v>1.3565</v>
      </c>
      <c r="C1822">
        <v>50</v>
      </c>
      <c r="D1822">
        <v>40.200000000000003</v>
      </c>
      <c r="E1822">
        <v>0.12992000000000001</v>
      </c>
      <c r="F1822">
        <v>7.6970999999999998</v>
      </c>
      <c r="G1822">
        <v>637.38</v>
      </c>
      <c r="H1822">
        <v>1.3565</v>
      </c>
    </row>
    <row r="1823" spans="2:8" x14ac:dyDescent="0.25">
      <c r="B1823">
        <v>1.3620000000000001</v>
      </c>
      <c r="C1823">
        <v>55</v>
      </c>
      <c r="D1823">
        <v>40.200000000000003</v>
      </c>
      <c r="E1823">
        <v>0.12845999999999999</v>
      </c>
      <c r="F1823">
        <v>7.7847</v>
      </c>
      <c r="G1823">
        <v>640.20000000000005</v>
      </c>
      <c r="H1823">
        <v>1.3620000000000001</v>
      </c>
    </row>
    <row r="1824" spans="2:8" x14ac:dyDescent="0.25">
      <c r="B1824">
        <v>1.3673999999999999</v>
      </c>
      <c r="C1824">
        <v>60</v>
      </c>
      <c r="D1824">
        <v>40.200000000000003</v>
      </c>
      <c r="E1824">
        <v>0.12703</v>
      </c>
      <c r="F1824">
        <v>7.8718000000000004</v>
      </c>
      <c r="G1824">
        <v>642.99</v>
      </c>
      <c r="H1824">
        <v>1.3673999999999999</v>
      </c>
    </row>
    <row r="1825" spans="2:8" x14ac:dyDescent="0.25">
      <c r="B1825">
        <v>1.3728</v>
      </c>
      <c r="C1825">
        <v>65</v>
      </c>
      <c r="D1825">
        <v>40.200000000000003</v>
      </c>
      <c r="E1825">
        <v>0.12565000000000001</v>
      </c>
      <c r="F1825">
        <v>7.9585999999999997</v>
      </c>
      <c r="G1825">
        <v>645.77</v>
      </c>
      <c r="H1825">
        <v>1.3728</v>
      </c>
    </row>
    <row r="1826" spans="2:8" x14ac:dyDescent="0.25">
      <c r="B1826">
        <v>1.3779999999999999</v>
      </c>
      <c r="C1826">
        <v>70</v>
      </c>
      <c r="D1826">
        <v>40.200000000000003</v>
      </c>
      <c r="E1826">
        <v>0.12429999999999999</v>
      </c>
      <c r="F1826">
        <v>8.0449000000000002</v>
      </c>
      <c r="G1826">
        <v>648.54999999999995</v>
      </c>
      <c r="H1826">
        <v>1.3779999999999999</v>
      </c>
    </row>
    <row r="1827" spans="2:8" x14ac:dyDescent="0.25">
      <c r="B1827">
        <v>1.3832</v>
      </c>
      <c r="C1827">
        <v>75</v>
      </c>
      <c r="D1827">
        <v>40.200000000000003</v>
      </c>
      <c r="E1827">
        <v>0.12299</v>
      </c>
      <c r="F1827">
        <v>8.1308000000000007</v>
      </c>
      <c r="G1827">
        <v>651.30999999999995</v>
      </c>
      <c r="H1827">
        <v>1.3832</v>
      </c>
    </row>
    <row r="1828" spans="2:8" x14ac:dyDescent="0.25">
      <c r="B1828">
        <v>1.3883000000000001</v>
      </c>
      <c r="C1828">
        <v>80</v>
      </c>
      <c r="D1828">
        <v>40.200000000000003</v>
      </c>
      <c r="E1828">
        <v>0.12171</v>
      </c>
      <c r="F1828">
        <v>8.2164000000000001</v>
      </c>
      <c r="G1828">
        <v>654.05999999999995</v>
      </c>
      <c r="H1828">
        <v>1.3883000000000001</v>
      </c>
    </row>
    <row r="1829" spans="2:8" x14ac:dyDescent="0.25">
      <c r="B1829">
        <v>1.3934</v>
      </c>
      <c r="C1829">
        <v>85</v>
      </c>
      <c r="D1829">
        <v>40.200000000000003</v>
      </c>
      <c r="E1829">
        <v>0.12046</v>
      </c>
      <c r="F1829">
        <v>8.3016000000000005</v>
      </c>
      <c r="G1829">
        <v>656.8</v>
      </c>
      <c r="H1829">
        <v>1.3934</v>
      </c>
    </row>
    <row r="1830" spans="2:8" x14ac:dyDescent="0.25">
      <c r="B1830">
        <v>1.3984000000000001</v>
      </c>
      <c r="C1830">
        <v>90</v>
      </c>
      <c r="D1830">
        <v>40.200000000000003</v>
      </c>
      <c r="E1830">
        <v>0.11924</v>
      </c>
      <c r="F1830">
        <v>8.3864999999999998</v>
      </c>
      <c r="G1830">
        <v>659.53</v>
      </c>
      <c r="H1830">
        <v>1.3984000000000001</v>
      </c>
    </row>
    <row r="1831" spans="2:8" x14ac:dyDescent="0.25">
      <c r="B1831">
        <v>1.4033</v>
      </c>
      <c r="C1831">
        <v>95</v>
      </c>
      <c r="D1831">
        <v>40.200000000000003</v>
      </c>
      <c r="E1831">
        <v>0.11805</v>
      </c>
      <c r="F1831">
        <v>8.4711999999999996</v>
      </c>
      <c r="G1831">
        <v>662.26</v>
      </c>
      <c r="H1831">
        <v>1.4033</v>
      </c>
    </row>
    <row r="1832" spans="2:8" x14ac:dyDescent="0.25">
      <c r="B1832">
        <v>1.4081999999999999</v>
      </c>
      <c r="C1832">
        <v>100</v>
      </c>
      <c r="D1832">
        <v>40.200000000000003</v>
      </c>
      <c r="E1832">
        <v>0.11688</v>
      </c>
      <c r="F1832">
        <v>8.5555000000000003</v>
      </c>
      <c r="G1832">
        <v>664.98</v>
      </c>
      <c r="H1832">
        <v>1.4081999999999999</v>
      </c>
    </row>
    <row r="1833" spans="2:8" x14ac:dyDescent="0.25">
      <c r="B1833">
        <v>1.413</v>
      </c>
      <c r="C1833">
        <v>105</v>
      </c>
      <c r="D1833">
        <v>40.200000000000003</v>
      </c>
      <c r="E1833">
        <v>0.11575000000000001</v>
      </c>
      <c r="F1833">
        <v>8.6395999999999997</v>
      </c>
      <c r="G1833">
        <v>667.7</v>
      </c>
      <c r="H1833">
        <v>1.413</v>
      </c>
    </row>
    <row r="1834" spans="2:8" x14ac:dyDescent="0.25">
      <c r="B1834">
        <v>1.4177999999999999</v>
      </c>
      <c r="C1834">
        <v>110</v>
      </c>
      <c r="D1834">
        <v>40.200000000000003</v>
      </c>
      <c r="E1834">
        <v>0.11463</v>
      </c>
      <c r="F1834">
        <v>8.7234999999999996</v>
      </c>
      <c r="G1834">
        <v>670.41</v>
      </c>
      <c r="H1834">
        <v>1.4177999999999999</v>
      </c>
    </row>
    <row r="1835" spans="2:8" x14ac:dyDescent="0.25">
      <c r="B1835">
        <v>1.4225000000000001</v>
      </c>
      <c r="C1835">
        <v>115</v>
      </c>
      <c r="D1835">
        <v>40.200000000000003</v>
      </c>
      <c r="E1835">
        <v>0.11354</v>
      </c>
      <c r="F1835">
        <v>8.8071000000000002</v>
      </c>
      <c r="G1835">
        <v>673.12</v>
      </c>
      <c r="H1835">
        <v>1.4225000000000001</v>
      </c>
    </row>
    <row r="1836" spans="2:8" x14ac:dyDescent="0.25">
      <c r="B1836">
        <v>1.4272</v>
      </c>
      <c r="C1836">
        <v>120</v>
      </c>
      <c r="D1836">
        <v>40.200000000000003</v>
      </c>
      <c r="E1836">
        <v>0.11248</v>
      </c>
      <c r="F1836">
        <v>8.8905999999999992</v>
      </c>
      <c r="G1836">
        <v>675.82</v>
      </c>
      <c r="H1836">
        <v>1.4272</v>
      </c>
    </row>
    <row r="1837" spans="2:8" x14ac:dyDescent="0.25">
      <c r="B1837">
        <v>1.4319</v>
      </c>
      <c r="C1837">
        <v>125</v>
      </c>
      <c r="D1837">
        <v>40.200000000000003</v>
      </c>
      <c r="E1837">
        <v>0.11144</v>
      </c>
      <c r="F1837">
        <v>8.9738000000000007</v>
      </c>
      <c r="G1837">
        <v>678.53</v>
      </c>
      <c r="H1837">
        <v>1.4319</v>
      </c>
    </row>
    <row r="1838" spans="2:8" x14ac:dyDescent="0.25">
      <c r="B1838">
        <v>1.4365000000000001</v>
      </c>
      <c r="C1838">
        <v>130</v>
      </c>
      <c r="D1838">
        <v>40.200000000000003</v>
      </c>
      <c r="E1838">
        <v>0.11040999999999999</v>
      </c>
      <c r="F1838">
        <v>9.0569000000000006</v>
      </c>
      <c r="G1838">
        <v>681.23</v>
      </c>
      <c r="H1838">
        <v>1.4365000000000001</v>
      </c>
    </row>
    <row r="1839" spans="2:8" x14ac:dyDescent="0.25">
      <c r="B1839">
        <v>1.4410000000000001</v>
      </c>
      <c r="C1839">
        <v>135</v>
      </c>
      <c r="D1839">
        <v>40.200000000000003</v>
      </c>
      <c r="E1839">
        <v>0.10940999999999999</v>
      </c>
      <c r="F1839">
        <v>9.1396999999999995</v>
      </c>
      <c r="G1839">
        <v>683.93</v>
      </c>
      <c r="H1839">
        <v>1.4410000000000001</v>
      </c>
    </row>
    <row r="1840" spans="2:8" x14ac:dyDescent="0.25">
      <c r="B1840">
        <v>1.4456</v>
      </c>
      <c r="C1840">
        <v>140</v>
      </c>
      <c r="D1840">
        <v>40.200000000000003</v>
      </c>
      <c r="E1840">
        <v>0.10843</v>
      </c>
      <c r="F1840">
        <v>9.2224000000000004</v>
      </c>
      <c r="G1840">
        <v>686.63</v>
      </c>
      <c r="H1840">
        <v>1.4456</v>
      </c>
    </row>
    <row r="1841" spans="2:8" x14ac:dyDescent="0.25">
      <c r="B1841">
        <v>1.45</v>
      </c>
      <c r="C1841">
        <v>145</v>
      </c>
      <c r="D1841">
        <v>40.200000000000003</v>
      </c>
      <c r="E1841">
        <v>0.10747</v>
      </c>
      <c r="F1841">
        <v>9.3049999999999997</v>
      </c>
      <c r="G1841">
        <v>689.33</v>
      </c>
      <c r="H1841">
        <v>1.45</v>
      </c>
    </row>
    <row r="1842" spans="2:8" x14ac:dyDescent="0.25">
      <c r="B1842">
        <v>1.4544999999999999</v>
      </c>
      <c r="C1842">
        <v>150</v>
      </c>
      <c r="D1842">
        <v>40.200000000000003</v>
      </c>
      <c r="E1842">
        <v>0.10653</v>
      </c>
      <c r="F1842">
        <v>9.3873999999999995</v>
      </c>
      <c r="G1842">
        <v>692.03</v>
      </c>
      <c r="H1842">
        <v>1.4544999999999999</v>
      </c>
    </row>
    <row r="1843" spans="2:8" x14ac:dyDescent="0.25">
      <c r="B1843">
        <v>1.4589000000000001</v>
      </c>
      <c r="C1843">
        <v>155</v>
      </c>
      <c r="D1843">
        <v>40.200000000000003</v>
      </c>
      <c r="E1843">
        <v>0.1056</v>
      </c>
      <c r="F1843">
        <v>9.4695999999999998</v>
      </c>
      <c r="G1843">
        <v>694.72</v>
      </c>
      <c r="H1843">
        <v>1.4589000000000001</v>
      </c>
    </row>
    <row r="1844" spans="2:8" x14ac:dyDescent="0.25">
      <c r="B1844">
        <v>1.4633</v>
      </c>
      <c r="C1844">
        <v>160</v>
      </c>
      <c r="D1844">
        <v>40.200000000000003</v>
      </c>
      <c r="E1844">
        <v>0.10469000000000001</v>
      </c>
      <c r="F1844">
        <v>9.5517000000000003</v>
      </c>
      <c r="G1844">
        <v>697.42</v>
      </c>
      <c r="H1844">
        <v>1.4633</v>
      </c>
    </row>
    <row r="1845" spans="2:8" x14ac:dyDescent="0.25">
      <c r="B1845">
        <v>1.4676</v>
      </c>
      <c r="C1845">
        <v>165</v>
      </c>
      <c r="D1845">
        <v>40.200000000000003</v>
      </c>
      <c r="E1845">
        <v>0.1038</v>
      </c>
      <c r="F1845">
        <v>9.6336999999999993</v>
      </c>
      <c r="G1845">
        <v>700.12</v>
      </c>
      <c r="H1845">
        <v>1.4676</v>
      </c>
    </row>
    <row r="1846" spans="2:8" x14ac:dyDescent="0.25">
      <c r="B1846">
        <v>1.4719</v>
      </c>
      <c r="C1846">
        <v>170</v>
      </c>
      <c r="D1846">
        <v>40.200000000000003</v>
      </c>
      <c r="E1846">
        <v>0.10292999999999999</v>
      </c>
      <c r="F1846">
        <v>9.7156000000000002</v>
      </c>
      <c r="G1846">
        <v>702.83</v>
      </c>
      <c r="H1846">
        <v>1.4719</v>
      </c>
    </row>
    <row r="1847" spans="2:8" x14ac:dyDescent="0.25">
      <c r="B1847">
        <v>1.4762</v>
      </c>
      <c r="C1847">
        <v>175</v>
      </c>
      <c r="D1847">
        <v>40.200000000000003</v>
      </c>
      <c r="E1847">
        <v>0.10206999999999999</v>
      </c>
      <c r="F1847">
        <v>9.7972999999999999</v>
      </c>
      <c r="G1847">
        <v>705.53</v>
      </c>
      <c r="H1847">
        <v>1.4762</v>
      </c>
    </row>
    <row r="1848" spans="2:8" x14ac:dyDescent="0.25">
      <c r="B1848">
        <v>1.4803999999999999</v>
      </c>
      <c r="C1848">
        <v>180</v>
      </c>
      <c r="D1848">
        <v>40.200000000000003</v>
      </c>
      <c r="E1848">
        <v>0.10123</v>
      </c>
      <c r="F1848">
        <v>9.8788999999999998</v>
      </c>
      <c r="G1848">
        <v>708.24</v>
      </c>
      <c r="H1848">
        <v>1.4803999999999999</v>
      </c>
    </row>
    <row r="1849" spans="2:8" x14ac:dyDescent="0.25">
      <c r="B1849">
        <v>1.4846999999999999</v>
      </c>
      <c r="C1849">
        <v>185</v>
      </c>
      <c r="D1849">
        <v>40.200000000000003</v>
      </c>
      <c r="E1849">
        <v>0.1004</v>
      </c>
      <c r="F1849">
        <v>9.9604999999999997</v>
      </c>
      <c r="G1849">
        <v>710.94</v>
      </c>
      <c r="H1849">
        <v>1.4846999999999999</v>
      </c>
    </row>
    <row r="1850" spans="2:8" x14ac:dyDescent="0.25">
      <c r="B1850">
        <v>1.4887999999999999</v>
      </c>
      <c r="C1850">
        <v>190</v>
      </c>
      <c r="D1850">
        <v>40.200000000000003</v>
      </c>
      <c r="E1850">
        <v>9.9583000000000005E-2</v>
      </c>
      <c r="F1850">
        <v>10.042</v>
      </c>
      <c r="G1850">
        <v>713.65</v>
      </c>
      <c r="H1850">
        <v>1.4887999999999999</v>
      </c>
    </row>
    <row r="1851" spans="2:8" x14ac:dyDescent="0.25">
      <c r="B1851">
        <v>1.4930000000000001</v>
      </c>
      <c r="C1851">
        <v>195</v>
      </c>
      <c r="D1851">
        <v>40.200000000000003</v>
      </c>
      <c r="E1851">
        <v>9.8782999999999996E-2</v>
      </c>
      <c r="F1851">
        <v>10.122999999999999</v>
      </c>
      <c r="G1851">
        <v>716.37</v>
      </c>
      <c r="H1851">
        <v>1.4930000000000001</v>
      </c>
    </row>
    <row r="1852" spans="2:8" x14ac:dyDescent="0.25">
      <c r="B1852">
        <v>1.4971000000000001</v>
      </c>
      <c r="C1852">
        <v>200</v>
      </c>
      <c r="D1852">
        <v>40.200000000000003</v>
      </c>
      <c r="E1852">
        <v>9.7996E-2</v>
      </c>
      <c r="F1852">
        <v>10.204000000000001</v>
      </c>
      <c r="G1852">
        <v>719.08</v>
      </c>
      <c r="H1852">
        <v>1.4971000000000001</v>
      </c>
    </row>
    <row r="1853" spans="2:8" x14ac:dyDescent="0.25">
      <c r="B1853">
        <v>1.5012000000000001</v>
      </c>
      <c r="C1853">
        <v>205</v>
      </c>
      <c r="D1853">
        <v>40.200000000000003</v>
      </c>
      <c r="E1853">
        <v>9.7223000000000004E-2</v>
      </c>
      <c r="F1853">
        <v>10.286</v>
      </c>
      <c r="G1853">
        <v>721.8</v>
      </c>
      <c r="H1853">
        <v>1.5012000000000001</v>
      </c>
    </row>
    <row r="1854" spans="2:8" x14ac:dyDescent="0.25">
      <c r="B1854">
        <v>1.5053000000000001</v>
      </c>
      <c r="C1854">
        <v>210</v>
      </c>
      <c r="D1854">
        <v>40.200000000000003</v>
      </c>
      <c r="E1854">
        <v>9.6462999999999993E-2</v>
      </c>
      <c r="F1854">
        <v>10.367000000000001</v>
      </c>
      <c r="G1854">
        <v>724.52</v>
      </c>
      <c r="H1854">
        <v>1.5053000000000001</v>
      </c>
    </row>
    <row r="1855" spans="2:8" x14ac:dyDescent="0.25">
      <c r="B1855">
        <v>1.5094000000000001</v>
      </c>
      <c r="C1855">
        <v>215</v>
      </c>
      <c r="D1855">
        <v>40.200000000000003</v>
      </c>
      <c r="E1855">
        <v>9.5714999999999995E-2</v>
      </c>
      <c r="F1855">
        <v>10.448</v>
      </c>
      <c r="G1855">
        <v>727.24</v>
      </c>
      <c r="H1855">
        <v>1.5094000000000001</v>
      </c>
    </row>
    <row r="1856" spans="2:8" x14ac:dyDescent="0.25">
      <c r="B1856">
        <v>1.5134000000000001</v>
      </c>
      <c r="C1856">
        <v>220</v>
      </c>
      <c r="D1856">
        <v>40.200000000000003</v>
      </c>
      <c r="E1856">
        <v>9.4979999999999995E-2</v>
      </c>
      <c r="F1856">
        <v>10.529</v>
      </c>
      <c r="G1856">
        <v>729.97</v>
      </c>
      <c r="H1856">
        <v>1.5134000000000001</v>
      </c>
    </row>
    <row r="1857" spans="2:8" x14ac:dyDescent="0.25">
      <c r="B1857">
        <v>1.5174000000000001</v>
      </c>
      <c r="C1857">
        <v>225</v>
      </c>
      <c r="D1857">
        <v>40.200000000000003</v>
      </c>
      <c r="E1857">
        <v>9.4256000000000006E-2</v>
      </c>
      <c r="F1857">
        <v>10.609</v>
      </c>
      <c r="G1857">
        <v>732.7</v>
      </c>
      <c r="H1857">
        <v>1.5174000000000001</v>
      </c>
    </row>
    <row r="1858" spans="2:8" x14ac:dyDescent="0.25">
      <c r="B1858">
        <v>1.5214000000000001</v>
      </c>
      <c r="C1858">
        <v>230</v>
      </c>
      <c r="D1858">
        <v>40.200000000000003</v>
      </c>
      <c r="E1858">
        <v>9.3544000000000002E-2</v>
      </c>
      <c r="F1858">
        <v>10.69</v>
      </c>
      <c r="G1858">
        <v>735.44</v>
      </c>
      <c r="H1858">
        <v>1.5214000000000001</v>
      </c>
    </row>
    <row r="1859" spans="2:8" x14ac:dyDescent="0.25">
      <c r="B1859">
        <v>1.5253000000000001</v>
      </c>
      <c r="C1859">
        <v>235</v>
      </c>
      <c r="D1859">
        <v>40.200000000000003</v>
      </c>
      <c r="E1859">
        <v>9.2842999999999995E-2</v>
      </c>
      <c r="F1859">
        <v>10.771000000000001</v>
      </c>
      <c r="G1859">
        <v>738.18</v>
      </c>
      <c r="H1859">
        <v>1.5253000000000001</v>
      </c>
    </row>
    <row r="1860" spans="2:8" x14ac:dyDescent="0.25">
      <c r="B1860">
        <v>1.5293000000000001</v>
      </c>
      <c r="C1860">
        <v>240</v>
      </c>
      <c r="D1860">
        <v>40.200000000000003</v>
      </c>
      <c r="E1860">
        <v>9.2152999999999999E-2</v>
      </c>
      <c r="F1860">
        <v>10.852</v>
      </c>
      <c r="G1860">
        <v>740.92</v>
      </c>
      <c r="H1860">
        <v>1.5293000000000001</v>
      </c>
    </row>
    <row r="1861" spans="2:8" x14ac:dyDescent="0.25">
      <c r="B1861">
        <v>1.5331999999999999</v>
      </c>
      <c r="C1861">
        <v>245</v>
      </c>
      <c r="D1861">
        <v>40.200000000000003</v>
      </c>
      <c r="E1861">
        <v>9.1474E-2</v>
      </c>
      <c r="F1861">
        <v>10.932</v>
      </c>
      <c r="G1861">
        <v>743.67</v>
      </c>
      <c r="H1861">
        <v>1.5331999999999999</v>
      </c>
    </row>
    <row r="1862" spans="2:8" x14ac:dyDescent="0.25">
      <c r="B1862">
        <v>1.5370999999999999</v>
      </c>
      <c r="C1862">
        <v>250</v>
      </c>
      <c r="D1862">
        <v>40.200000000000003</v>
      </c>
      <c r="E1862">
        <v>9.0804999999999997E-2</v>
      </c>
      <c r="F1862">
        <v>11.013</v>
      </c>
      <c r="G1862">
        <v>746.42</v>
      </c>
      <c r="H1862">
        <v>1.5370999999999999</v>
      </c>
    </row>
    <row r="1863" spans="2:8" x14ac:dyDescent="0.25">
      <c r="B1863">
        <v>1.5409999999999999</v>
      </c>
      <c r="C1863">
        <v>255</v>
      </c>
      <c r="D1863">
        <v>40.200000000000003</v>
      </c>
      <c r="E1863">
        <v>9.0147000000000005E-2</v>
      </c>
      <c r="F1863">
        <v>11.093</v>
      </c>
      <c r="G1863">
        <v>749.18</v>
      </c>
      <c r="H1863">
        <v>1.5409999999999999</v>
      </c>
    </row>
    <row r="1864" spans="2:8" x14ac:dyDescent="0.25">
      <c r="B1864">
        <v>1.5448</v>
      </c>
      <c r="C1864">
        <v>260</v>
      </c>
      <c r="D1864">
        <v>40.200000000000003</v>
      </c>
      <c r="E1864">
        <v>8.9497999999999994E-2</v>
      </c>
      <c r="F1864">
        <v>11.173</v>
      </c>
      <c r="G1864">
        <v>751.94</v>
      </c>
      <c r="H1864">
        <v>1.5448</v>
      </c>
    </row>
    <row r="1865" spans="2:8" x14ac:dyDescent="0.25">
      <c r="B1865">
        <v>1.5486</v>
      </c>
      <c r="C1865">
        <v>265</v>
      </c>
      <c r="D1865">
        <v>40.200000000000003</v>
      </c>
      <c r="E1865">
        <v>8.8858999999999994E-2</v>
      </c>
      <c r="F1865">
        <v>11.254</v>
      </c>
      <c r="G1865">
        <v>754.71</v>
      </c>
      <c r="H1865">
        <v>1.5486</v>
      </c>
    </row>
    <row r="1866" spans="2:8" x14ac:dyDescent="0.25">
      <c r="B1866">
        <v>1.5524</v>
      </c>
      <c r="C1866">
        <v>270</v>
      </c>
      <c r="D1866">
        <v>40.200000000000003</v>
      </c>
      <c r="E1866">
        <v>8.8229000000000002E-2</v>
      </c>
      <c r="F1866">
        <v>11.334</v>
      </c>
      <c r="G1866">
        <v>757.48</v>
      </c>
      <c r="H1866">
        <v>1.5524</v>
      </c>
    </row>
    <row r="1867" spans="2:8" x14ac:dyDescent="0.25">
      <c r="B1867">
        <v>1.5562</v>
      </c>
      <c r="C1867">
        <v>275</v>
      </c>
      <c r="D1867">
        <v>40.200000000000003</v>
      </c>
      <c r="E1867">
        <v>8.7609000000000006E-2</v>
      </c>
      <c r="F1867">
        <v>11.414</v>
      </c>
      <c r="G1867">
        <v>760.26</v>
      </c>
      <c r="H1867">
        <v>1.5562</v>
      </c>
    </row>
    <row r="1868" spans="2:8" x14ac:dyDescent="0.25">
      <c r="B1868">
        <v>1.56</v>
      </c>
      <c r="C1868">
        <v>280</v>
      </c>
      <c r="D1868">
        <v>40.200000000000003</v>
      </c>
      <c r="E1868">
        <v>8.6998000000000006E-2</v>
      </c>
      <c r="F1868">
        <v>11.494999999999999</v>
      </c>
      <c r="G1868">
        <v>763.04</v>
      </c>
      <c r="H1868">
        <v>1.56</v>
      </c>
    </row>
    <row r="1869" spans="2:8" x14ac:dyDescent="0.25">
      <c r="B1869">
        <v>1.5638000000000001</v>
      </c>
      <c r="C1869">
        <v>285</v>
      </c>
      <c r="D1869">
        <v>40.200000000000003</v>
      </c>
      <c r="E1869">
        <v>8.6395E-2</v>
      </c>
      <c r="F1869">
        <v>11.574999999999999</v>
      </c>
      <c r="G1869">
        <v>765.82</v>
      </c>
      <c r="H1869">
        <v>1.5638000000000001</v>
      </c>
    </row>
    <row r="1870" spans="2:8" x14ac:dyDescent="0.25">
      <c r="B1870">
        <v>1.5674999999999999</v>
      </c>
      <c r="C1870">
        <v>290</v>
      </c>
      <c r="D1870">
        <v>40.200000000000003</v>
      </c>
      <c r="E1870">
        <v>8.5802000000000003E-2</v>
      </c>
      <c r="F1870">
        <v>11.654999999999999</v>
      </c>
      <c r="G1870">
        <v>768.62</v>
      </c>
      <c r="H1870">
        <v>1.5674999999999999</v>
      </c>
    </row>
    <row r="1871" spans="2:8" x14ac:dyDescent="0.25">
      <c r="B1871">
        <v>1.5711999999999999</v>
      </c>
      <c r="C1871">
        <v>295</v>
      </c>
      <c r="D1871">
        <v>40.200000000000003</v>
      </c>
      <c r="E1871">
        <v>8.5216E-2</v>
      </c>
      <c r="F1871">
        <v>11.734999999999999</v>
      </c>
      <c r="G1871">
        <v>771.41</v>
      </c>
      <c r="H1871">
        <v>1.5711999999999999</v>
      </c>
    </row>
    <row r="1872" spans="2:8" x14ac:dyDescent="0.25">
      <c r="B1872">
        <v>1.5749</v>
      </c>
      <c r="C1872">
        <v>300</v>
      </c>
      <c r="D1872">
        <v>40.200000000000003</v>
      </c>
      <c r="E1872">
        <v>8.4639000000000006E-2</v>
      </c>
      <c r="F1872">
        <v>11.815</v>
      </c>
      <c r="G1872">
        <v>774.21</v>
      </c>
      <c r="H1872">
        <v>1.5749</v>
      </c>
    </row>
    <row r="1874" spans="1:8" x14ac:dyDescent="0.25">
      <c r="A1874">
        <v>42.1</v>
      </c>
      <c r="B1874">
        <v>-2.5484E-2</v>
      </c>
      <c r="C1874">
        <v>-50</v>
      </c>
      <c r="D1874">
        <v>42.1</v>
      </c>
      <c r="E1874">
        <v>43.508000000000003</v>
      </c>
      <c r="F1874">
        <v>2.2984000000000001E-2</v>
      </c>
      <c r="G1874">
        <v>-10.430999999999999</v>
      </c>
      <c r="H1874">
        <v>-2.5484E-2</v>
      </c>
    </row>
    <row r="1875" spans="1:8" x14ac:dyDescent="0.25">
      <c r="B1875">
        <v>-1.2753E-2</v>
      </c>
      <c r="C1875">
        <v>-45</v>
      </c>
      <c r="D1875">
        <v>42.1</v>
      </c>
      <c r="E1875">
        <v>43.301000000000002</v>
      </c>
      <c r="F1875">
        <v>2.3094E-2</v>
      </c>
      <c r="G1875">
        <v>-5.1843000000000004</v>
      </c>
      <c r="H1875">
        <v>-1.2753E-2</v>
      </c>
    </row>
    <row r="1876" spans="1:8" x14ac:dyDescent="0.25">
      <c r="B1876">
        <v>-1.3316000000000001E-4</v>
      </c>
      <c r="C1876">
        <v>-40</v>
      </c>
      <c r="D1876">
        <v>42.1</v>
      </c>
      <c r="E1876">
        <v>43.091000000000001</v>
      </c>
      <c r="F1876">
        <v>2.3206999999999998E-2</v>
      </c>
      <c r="G1876">
        <v>8.0356999999999998E-2</v>
      </c>
      <c r="H1876">
        <v>-1.3316000000000001E-4</v>
      </c>
    </row>
    <row r="1877" spans="1:8" x14ac:dyDescent="0.25">
      <c r="B1877">
        <v>1.2378999999999999E-2</v>
      </c>
      <c r="C1877">
        <v>-35</v>
      </c>
      <c r="D1877">
        <v>42.1</v>
      </c>
      <c r="E1877">
        <v>42.88</v>
      </c>
      <c r="F1877">
        <v>2.3321000000000001E-2</v>
      </c>
      <c r="G1877">
        <v>5.3624000000000001</v>
      </c>
      <c r="H1877">
        <v>1.2378999999999999E-2</v>
      </c>
    </row>
    <row r="1878" spans="1:8" x14ac:dyDescent="0.25">
      <c r="B1878">
        <v>2.4784E-2</v>
      </c>
      <c r="C1878">
        <v>-30</v>
      </c>
      <c r="D1878">
        <v>42.1</v>
      </c>
      <c r="E1878">
        <v>42.665999999999997</v>
      </c>
      <c r="F1878">
        <v>2.3438000000000001E-2</v>
      </c>
      <c r="G1878">
        <v>10.662000000000001</v>
      </c>
      <c r="H1878">
        <v>2.4784E-2</v>
      </c>
    </row>
    <row r="1879" spans="1:8" x14ac:dyDescent="0.25">
      <c r="B1879">
        <v>3.7085E-2</v>
      </c>
      <c r="C1879">
        <v>-25</v>
      </c>
      <c r="D1879">
        <v>42.1</v>
      </c>
      <c r="E1879">
        <v>42.451000000000001</v>
      </c>
      <c r="F1879">
        <v>2.3557000000000002E-2</v>
      </c>
      <c r="G1879">
        <v>15.977</v>
      </c>
      <c r="H1879">
        <v>3.7085E-2</v>
      </c>
    </row>
    <row r="1880" spans="1:8" x14ac:dyDescent="0.25">
      <c r="B1880">
        <v>4.9283E-2</v>
      </c>
      <c r="C1880">
        <v>-20</v>
      </c>
      <c r="D1880">
        <v>42.1</v>
      </c>
      <c r="E1880">
        <v>42.234000000000002</v>
      </c>
      <c r="F1880">
        <v>2.3678000000000001E-2</v>
      </c>
      <c r="G1880">
        <v>21.31</v>
      </c>
      <c r="H1880">
        <v>4.9283E-2</v>
      </c>
    </row>
    <row r="1881" spans="1:8" x14ac:dyDescent="0.25">
      <c r="B1881">
        <v>6.1379999999999997E-2</v>
      </c>
      <c r="C1881">
        <v>-15</v>
      </c>
      <c r="D1881">
        <v>42.1</v>
      </c>
      <c r="E1881">
        <v>42.015000000000001</v>
      </c>
      <c r="F1881">
        <v>2.3800999999999999E-2</v>
      </c>
      <c r="G1881">
        <v>26.658999999999999</v>
      </c>
      <c r="H1881">
        <v>6.1379999999999997E-2</v>
      </c>
    </row>
    <row r="1882" spans="1:8" x14ac:dyDescent="0.25">
      <c r="B1882">
        <v>7.3380000000000001E-2</v>
      </c>
      <c r="C1882">
        <v>-10</v>
      </c>
      <c r="D1882">
        <v>42.1</v>
      </c>
      <c r="E1882">
        <v>41.793999999999997</v>
      </c>
      <c r="F1882">
        <v>2.3927E-2</v>
      </c>
      <c r="G1882">
        <v>32.024999999999999</v>
      </c>
      <c r="H1882">
        <v>7.3380000000000001E-2</v>
      </c>
    </row>
    <row r="1883" spans="1:8" x14ac:dyDescent="0.25">
      <c r="B1883">
        <v>8.5281999999999997E-2</v>
      </c>
      <c r="C1883">
        <v>-5</v>
      </c>
      <c r="D1883">
        <v>42.1</v>
      </c>
      <c r="E1883">
        <v>41.570999999999998</v>
      </c>
      <c r="F1883">
        <v>2.4055E-2</v>
      </c>
      <c r="G1883">
        <v>37.406999999999996</v>
      </c>
      <c r="H1883">
        <v>8.5281999999999997E-2</v>
      </c>
    </row>
    <row r="1884" spans="1:8" x14ac:dyDescent="0.25">
      <c r="B1884">
        <v>9.7090999999999997E-2</v>
      </c>
      <c r="C1884">
        <v>0</v>
      </c>
      <c r="D1884">
        <v>42.1</v>
      </c>
      <c r="E1884">
        <v>41.347000000000001</v>
      </c>
      <c r="F1884">
        <v>2.4185999999999999E-2</v>
      </c>
      <c r="G1884">
        <v>42.805</v>
      </c>
      <c r="H1884">
        <v>9.7090999999999997E-2</v>
      </c>
    </row>
    <row r="1885" spans="1:8" x14ac:dyDescent="0.25">
      <c r="B1885">
        <v>0.10881</v>
      </c>
      <c r="C1885">
        <v>5</v>
      </c>
      <c r="D1885">
        <v>42.1</v>
      </c>
      <c r="E1885">
        <v>41.12</v>
      </c>
      <c r="F1885">
        <v>2.4319E-2</v>
      </c>
      <c r="G1885">
        <v>48.22</v>
      </c>
      <c r="H1885">
        <v>0.10881</v>
      </c>
    </row>
    <row r="1886" spans="1:8" x14ac:dyDescent="0.25">
      <c r="B1886">
        <v>0.12043</v>
      </c>
      <c r="C1886">
        <v>10</v>
      </c>
      <c r="D1886">
        <v>42.1</v>
      </c>
      <c r="E1886">
        <v>40.890999999999998</v>
      </c>
      <c r="F1886">
        <v>2.4455000000000001E-2</v>
      </c>
      <c r="G1886">
        <v>53.652000000000001</v>
      </c>
      <c r="H1886">
        <v>0.12043</v>
      </c>
    </row>
    <row r="1887" spans="1:8" x14ac:dyDescent="0.25">
      <c r="B1887">
        <v>1.3089</v>
      </c>
      <c r="C1887">
        <v>15</v>
      </c>
      <c r="D1887">
        <v>42.1</v>
      </c>
      <c r="E1887">
        <v>0.14860000000000001</v>
      </c>
      <c r="F1887">
        <v>6.7294</v>
      </c>
      <c r="G1887">
        <v>616.49</v>
      </c>
      <c r="H1887">
        <v>1.3089</v>
      </c>
    </row>
    <row r="1888" spans="1:8" x14ac:dyDescent="0.25">
      <c r="B1888">
        <v>1.3151999999999999</v>
      </c>
      <c r="C1888">
        <v>20</v>
      </c>
      <c r="D1888">
        <v>42.1</v>
      </c>
      <c r="E1888">
        <v>0.14666000000000001</v>
      </c>
      <c r="F1888">
        <v>6.8182999999999998</v>
      </c>
      <c r="G1888">
        <v>619.5</v>
      </c>
      <c r="H1888">
        <v>1.3151999999999999</v>
      </c>
    </row>
    <row r="1889" spans="2:8" x14ac:dyDescent="0.25">
      <c r="B1889">
        <v>1.3213999999999999</v>
      </c>
      <c r="C1889">
        <v>25</v>
      </c>
      <c r="D1889">
        <v>42.1</v>
      </c>
      <c r="E1889">
        <v>0.14479</v>
      </c>
      <c r="F1889">
        <v>6.9062999999999999</v>
      </c>
      <c r="G1889">
        <v>622.47</v>
      </c>
      <c r="H1889">
        <v>1.3213999999999999</v>
      </c>
    </row>
    <row r="1890" spans="2:8" x14ac:dyDescent="0.25">
      <c r="B1890">
        <v>1.3273999999999999</v>
      </c>
      <c r="C1890">
        <v>30</v>
      </c>
      <c r="D1890">
        <v>42.1</v>
      </c>
      <c r="E1890">
        <v>0.14299000000000001</v>
      </c>
      <c r="F1890">
        <v>6.9935999999999998</v>
      </c>
      <c r="G1890">
        <v>625.41999999999996</v>
      </c>
      <c r="H1890">
        <v>1.3273999999999999</v>
      </c>
    </row>
    <row r="1891" spans="2:8" x14ac:dyDescent="0.25">
      <c r="B1891">
        <v>1.3332999999999999</v>
      </c>
      <c r="C1891">
        <v>35</v>
      </c>
      <c r="D1891">
        <v>42.1</v>
      </c>
      <c r="E1891">
        <v>0.14124</v>
      </c>
      <c r="F1891">
        <v>7.0800999999999998</v>
      </c>
      <c r="G1891">
        <v>628.33000000000004</v>
      </c>
      <c r="H1891">
        <v>1.3332999999999999</v>
      </c>
    </row>
    <row r="1892" spans="2:8" x14ac:dyDescent="0.25">
      <c r="B1892">
        <v>1.3391</v>
      </c>
      <c r="C1892">
        <v>40</v>
      </c>
      <c r="D1892">
        <v>42.1</v>
      </c>
      <c r="E1892">
        <v>0.13955000000000001</v>
      </c>
      <c r="F1892">
        <v>7.1660000000000004</v>
      </c>
      <c r="G1892">
        <v>631.22</v>
      </c>
      <c r="H1892">
        <v>1.3391</v>
      </c>
    </row>
    <row r="1893" spans="2:8" x14ac:dyDescent="0.25">
      <c r="B1893">
        <v>1.3449</v>
      </c>
      <c r="C1893">
        <v>45</v>
      </c>
      <c r="D1893">
        <v>42.1</v>
      </c>
      <c r="E1893">
        <v>0.13791</v>
      </c>
      <c r="F1893">
        <v>7.2511999999999999</v>
      </c>
      <c r="G1893">
        <v>634.09</v>
      </c>
      <c r="H1893">
        <v>1.3449</v>
      </c>
    </row>
    <row r="1894" spans="2:8" x14ac:dyDescent="0.25">
      <c r="B1894">
        <v>1.3505</v>
      </c>
      <c r="C1894">
        <v>50</v>
      </c>
      <c r="D1894">
        <v>42.1</v>
      </c>
      <c r="E1894">
        <v>0.13632</v>
      </c>
      <c r="F1894">
        <v>7.3358999999999996</v>
      </c>
      <c r="G1894">
        <v>636.94000000000005</v>
      </c>
      <c r="H1894">
        <v>1.3505</v>
      </c>
    </row>
    <row r="1895" spans="2:8" x14ac:dyDescent="0.25">
      <c r="B1895">
        <v>1.3560000000000001</v>
      </c>
      <c r="C1895">
        <v>55</v>
      </c>
      <c r="D1895">
        <v>42.1</v>
      </c>
      <c r="E1895">
        <v>0.13477</v>
      </c>
      <c r="F1895">
        <v>7.42</v>
      </c>
      <c r="G1895">
        <v>639.77</v>
      </c>
      <c r="H1895">
        <v>1.3560000000000001</v>
      </c>
    </row>
    <row r="1896" spans="2:8" x14ac:dyDescent="0.25">
      <c r="B1896">
        <v>1.3613999999999999</v>
      </c>
      <c r="C1896">
        <v>60</v>
      </c>
      <c r="D1896">
        <v>42.1</v>
      </c>
      <c r="E1896">
        <v>0.13327</v>
      </c>
      <c r="F1896">
        <v>7.5037000000000003</v>
      </c>
      <c r="G1896">
        <v>642.58000000000004</v>
      </c>
      <c r="H1896">
        <v>1.3613999999999999</v>
      </c>
    </row>
    <row r="1897" spans="2:8" x14ac:dyDescent="0.25">
      <c r="B1897">
        <v>1.3668</v>
      </c>
      <c r="C1897">
        <v>65</v>
      </c>
      <c r="D1897">
        <v>42.1</v>
      </c>
      <c r="E1897">
        <v>0.13181000000000001</v>
      </c>
      <c r="F1897">
        <v>7.5869</v>
      </c>
      <c r="G1897">
        <v>645.38</v>
      </c>
      <c r="H1897">
        <v>1.3668</v>
      </c>
    </row>
    <row r="1898" spans="2:8" x14ac:dyDescent="0.25">
      <c r="B1898">
        <v>1.3721000000000001</v>
      </c>
      <c r="C1898">
        <v>70</v>
      </c>
      <c r="D1898">
        <v>42.1</v>
      </c>
      <c r="E1898">
        <v>0.13038</v>
      </c>
      <c r="F1898">
        <v>7.6696999999999997</v>
      </c>
      <c r="G1898">
        <v>648.16999999999996</v>
      </c>
      <c r="H1898">
        <v>1.3721000000000001</v>
      </c>
    </row>
    <row r="1899" spans="2:8" x14ac:dyDescent="0.25">
      <c r="B1899">
        <v>1.3773</v>
      </c>
      <c r="C1899">
        <v>75</v>
      </c>
      <c r="D1899">
        <v>42.1</v>
      </c>
      <c r="E1899">
        <v>0.129</v>
      </c>
      <c r="F1899">
        <v>7.7522000000000002</v>
      </c>
      <c r="G1899">
        <v>650.94000000000005</v>
      </c>
      <c r="H1899">
        <v>1.3773</v>
      </c>
    </row>
    <row r="1900" spans="2:8" x14ac:dyDescent="0.25">
      <c r="B1900">
        <v>1.3824000000000001</v>
      </c>
      <c r="C1900">
        <v>80</v>
      </c>
      <c r="D1900">
        <v>42.1</v>
      </c>
      <c r="E1900">
        <v>0.12765000000000001</v>
      </c>
      <c r="F1900">
        <v>7.8342000000000001</v>
      </c>
      <c r="G1900">
        <v>653.70000000000005</v>
      </c>
      <c r="H1900">
        <v>1.3824000000000001</v>
      </c>
    </row>
    <row r="1901" spans="2:8" x14ac:dyDescent="0.25">
      <c r="B1901">
        <v>1.3875</v>
      </c>
      <c r="C1901">
        <v>85</v>
      </c>
      <c r="D1901">
        <v>42.1</v>
      </c>
      <c r="E1901">
        <v>0.12633</v>
      </c>
      <c r="F1901">
        <v>7.9158999999999997</v>
      </c>
      <c r="G1901">
        <v>656.46</v>
      </c>
      <c r="H1901">
        <v>1.3875</v>
      </c>
    </row>
    <row r="1902" spans="2:8" x14ac:dyDescent="0.25">
      <c r="B1902">
        <v>1.3925000000000001</v>
      </c>
      <c r="C1902">
        <v>90</v>
      </c>
      <c r="D1902">
        <v>42.1</v>
      </c>
      <c r="E1902">
        <v>0.12504000000000001</v>
      </c>
      <c r="F1902">
        <v>7.9973999999999998</v>
      </c>
      <c r="G1902">
        <v>659.2</v>
      </c>
      <c r="H1902">
        <v>1.3925000000000001</v>
      </c>
    </row>
    <row r="1903" spans="2:8" x14ac:dyDescent="0.25">
      <c r="B1903">
        <v>1.3975</v>
      </c>
      <c r="C1903">
        <v>95</v>
      </c>
      <c r="D1903">
        <v>42.1</v>
      </c>
      <c r="E1903">
        <v>0.12379</v>
      </c>
      <c r="F1903">
        <v>8.0785</v>
      </c>
      <c r="G1903">
        <v>661.94</v>
      </c>
      <c r="H1903">
        <v>1.3975</v>
      </c>
    </row>
    <row r="1904" spans="2:8" x14ac:dyDescent="0.25">
      <c r="B1904">
        <v>1.4024000000000001</v>
      </c>
      <c r="C1904">
        <v>100</v>
      </c>
      <c r="D1904">
        <v>42.1</v>
      </c>
      <c r="E1904">
        <v>0.12256</v>
      </c>
      <c r="F1904">
        <v>8.1593</v>
      </c>
      <c r="G1904">
        <v>664.67</v>
      </c>
      <c r="H1904">
        <v>1.4024000000000001</v>
      </c>
    </row>
    <row r="1905" spans="2:8" x14ac:dyDescent="0.25">
      <c r="B1905">
        <v>1.4072</v>
      </c>
      <c r="C1905">
        <v>105</v>
      </c>
      <c r="D1905">
        <v>42.1</v>
      </c>
      <c r="E1905">
        <v>0.12136</v>
      </c>
      <c r="F1905">
        <v>8.2399000000000004</v>
      </c>
      <c r="G1905">
        <v>667.4</v>
      </c>
      <c r="H1905">
        <v>1.4072</v>
      </c>
    </row>
    <row r="1906" spans="2:8" x14ac:dyDescent="0.25">
      <c r="B1906">
        <v>1.4119999999999999</v>
      </c>
      <c r="C1906">
        <v>110</v>
      </c>
      <c r="D1906">
        <v>42.1</v>
      </c>
      <c r="E1906">
        <v>0.12019000000000001</v>
      </c>
      <c r="F1906">
        <v>8.3202999999999996</v>
      </c>
      <c r="G1906">
        <v>670.12</v>
      </c>
      <c r="H1906">
        <v>1.4119999999999999</v>
      </c>
    </row>
    <row r="1907" spans="2:8" x14ac:dyDescent="0.25">
      <c r="B1907">
        <v>1.4168000000000001</v>
      </c>
      <c r="C1907">
        <v>115</v>
      </c>
      <c r="D1907">
        <v>42.1</v>
      </c>
      <c r="E1907">
        <v>0.11904000000000001</v>
      </c>
      <c r="F1907">
        <v>8.4003999999999994</v>
      </c>
      <c r="G1907">
        <v>672.84</v>
      </c>
      <c r="H1907">
        <v>1.4168000000000001</v>
      </c>
    </row>
    <row r="1908" spans="2:8" x14ac:dyDescent="0.25">
      <c r="B1908">
        <v>1.4215</v>
      </c>
      <c r="C1908">
        <v>120</v>
      </c>
      <c r="D1908">
        <v>42.1</v>
      </c>
      <c r="E1908">
        <v>0.11792</v>
      </c>
      <c r="F1908">
        <v>8.4802999999999997</v>
      </c>
      <c r="G1908">
        <v>675.55</v>
      </c>
      <c r="H1908">
        <v>1.4215</v>
      </c>
    </row>
    <row r="1909" spans="2:8" x14ac:dyDescent="0.25">
      <c r="B1909">
        <v>1.4261999999999999</v>
      </c>
      <c r="C1909">
        <v>125</v>
      </c>
      <c r="D1909">
        <v>42.1</v>
      </c>
      <c r="E1909">
        <v>0.11681999999999999</v>
      </c>
      <c r="F1909">
        <v>8.56</v>
      </c>
      <c r="G1909">
        <v>678.26</v>
      </c>
      <c r="H1909">
        <v>1.4261999999999999</v>
      </c>
    </row>
    <row r="1910" spans="2:8" x14ac:dyDescent="0.25">
      <c r="B1910">
        <v>1.4308000000000001</v>
      </c>
      <c r="C1910">
        <v>130</v>
      </c>
      <c r="D1910">
        <v>42.1</v>
      </c>
      <c r="E1910">
        <v>0.11575000000000001</v>
      </c>
      <c r="F1910">
        <v>8.6395</v>
      </c>
      <c r="G1910">
        <v>680.97</v>
      </c>
      <c r="H1910">
        <v>1.4308000000000001</v>
      </c>
    </row>
    <row r="1911" spans="2:8" x14ac:dyDescent="0.25">
      <c r="B1911">
        <v>1.4353</v>
      </c>
      <c r="C1911">
        <v>135</v>
      </c>
      <c r="D1911">
        <v>42.1</v>
      </c>
      <c r="E1911">
        <v>0.11469</v>
      </c>
      <c r="F1911">
        <v>8.7188999999999997</v>
      </c>
      <c r="G1911">
        <v>683.68</v>
      </c>
      <c r="H1911">
        <v>1.4353</v>
      </c>
    </row>
    <row r="1912" spans="2:8" x14ac:dyDescent="0.25">
      <c r="B1912">
        <v>1.4399</v>
      </c>
      <c r="C1912">
        <v>140</v>
      </c>
      <c r="D1912">
        <v>42.1</v>
      </c>
      <c r="E1912">
        <v>0.11366</v>
      </c>
      <c r="F1912">
        <v>8.7980999999999998</v>
      </c>
      <c r="G1912">
        <v>686.39</v>
      </c>
      <c r="H1912">
        <v>1.4399</v>
      </c>
    </row>
    <row r="1913" spans="2:8" x14ac:dyDescent="0.25">
      <c r="B1913">
        <v>1.4443999999999999</v>
      </c>
      <c r="C1913">
        <v>145</v>
      </c>
      <c r="D1913">
        <v>42.1</v>
      </c>
      <c r="E1913">
        <v>0.11265</v>
      </c>
      <c r="F1913">
        <v>8.8771000000000004</v>
      </c>
      <c r="G1913">
        <v>689.09</v>
      </c>
      <c r="H1913">
        <v>1.4443999999999999</v>
      </c>
    </row>
    <row r="1914" spans="2:8" x14ac:dyDescent="0.25">
      <c r="B1914">
        <v>1.4488000000000001</v>
      </c>
      <c r="C1914">
        <v>150</v>
      </c>
      <c r="D1914">
        <v>42.1</v>
      </c>
      <c r="E1914">
        <v>0.11166</v>
      </c>
      <c r="F1914">
        <v>8.9558999999999997</v>
      </c>
      <c r="G1914">
        <v>691.8</v>
      </c>
      <c r="H1914">
        <v>1.4488000000000001</v>
      </c>
    </row>
    <row r="1915" spans="2:8" x14ac:dyDescent="0.25">
      <c r="B1915">
        <v>1.4532</v>
      </c>
      <c r="C1915">
        <v>155</v>
      </c>
      <c r="D1915">
        <v>42.1</v>
      </c>
      <c r="E1915">
        <v>0.11069</v>
      </c>
      <c r="F1915">
        <v>9.0345999999999993</v>
      </c>
      <c r="G1915">
        <v>694.5</v>
      </c>
      <c r="H1915">
        <v>1.4532</v>
      </c>
    </row>
    <row r="1916" spans="2:8" x14ac:dyDescent="0.25">
      <c r="B1916">
        <v>1.4576</v>
      </c>
      <c r="C1916">
        <v>160</v>
      </c>
      <c r="D1916">
        <v>42.1</v>
      </c>
      <c r="E1916">
        <v>0.10972999999999999</v>
      </c>
      <c r="F1916">
        <v>9.1132000000000009</v>
      </c>
      <c r="G1916">
        <v>697.21</v>
      </c>
      <c r="H1916">
        <v>1.4576</v>
      </c>
    </row>
    <row r="1917" spans="2:8" x14ac:dyDescent="0.25">
      <c r="B1917">
        <v>1.462</v>
      </c>
      <c r="C1917">
        <v>165</v>
      </c>
      <c r="D1917">
        <v>42.1</v>
      </c>
      <c r="E1917">
        <v>0.10879</v>
      </c>
      <c r="F1917">
        <v>9.1917000000000009</v>
      </c>
      <c r="G1917">
        <v>699.91</v>
      </c>
      <c r="H1917">
        <v>1.462</v>
      </c>
    </row>
    <row r="1918" spans="2:8" x14ac:dyDescent="0.25">
      <c r="B1918">
        <v>1.4662999999999999</v>
      </c>
      <c r="C1918">
        <v>170</v>
      </c>
      <c r="D1918">
        <v>42.1</v>
      </c>
      <c r="E1918">
        <v>0.10786999999999999</v>
      </c>
      <c r="F1918">
        <v>9.27</v>
      </c>
      <c r="G1918">
        <v>702.62</v>
      </c>
      <c r="H1918">
        <v>1.4662999999999999</v>
      </c>
    </row>
    <row r="1919" spans="2:8" x14ac:dyDescent="0.25">
      <c r="B1919">
        <v>1.4705999999999999</v>
      </c>
      <c r="C1919">
        <v>175</v>
      </c>
      <c r="D1919">
        <v>42.1</v>
      </c>
      <c r="E1919">
        <v>0.10697</v>
      </c>
      <c r="F1919">
        <v>9.3482000000000003</v>
      </c>
      <c r="G1919">
        <v>705.33</v>
      </c>
      <c r="H1919">
        <v>1.4705999999999999</v>
      </c>
    </row>
    <row r="1920" spans="2:8" x14ac:dyDescent="0.25">
      <c r="B1920">
        <v>1.4748000000000001</v>
      </c>
      <c r="C1920">
        <v>180</v>
      </c>
      <c r="D1920">
        <v>42.1</v>
      </c>
      <c r="E1920">
        <v>0.10609</v>
      </c>
      <c r="F1920">
        <v>9.4262999999999995</v>
      </c>
      <c r="G1920">
        <v>708.04</v>
      </c>
      <c r="H1920">
        <v>1.4748000000000001</v>
      </c>
    </row>
    <row r="1921" spans="2:8" x14ac:dyDescent="0.25">
      <c r="B1921">
        <v>1.4790000000000001</v>
      </c>
      <c r="C1921">
        <v>185</v>
      </c>
      <c r="D1921">
        <v>42.1</v>
      </c>
      <c r="E1921">
        <v>0.10521999999999999</v>
      </c>
      <c r="F1921">
        <v>9.5043000000000006</v>
      </c>
      <c r="G1921">
        <v>710.75</v>
      </c>
      <c r="H1921">
        <v>1.4790000000000001</v>
      </c>
    </row>
    <row r="1922" spans="2:8" x14ac:dyDescent="0.25">
      <c r="B1922">
        <v>1.4832000000000001</v>
      </c>
      <c r="C1922">
        <v>190</v>
      </c>
      <c r="D1922">
        <v>42.1</v>
      </c>
      <c r="E1922">
        <v>0.10435999999999999</v>
      </c>
      <c r="F1922">
        <v>9.5822000000000003</v>
      </c>
      <c r="G1922">
        <v>713.47</v>
      </c>
      <c r="H1922">
        <v>1.4832000000000001</v>
      </c>
    </row>
    <row r="1923" spans="2:8" x14ac:dyDescent="0.25">
      <c r="B1923">
        <v>1.4874000000000001</v>
      </c>
      <c r="C1923">
        <v>195</v>
      </c>
      <c r="D1923">
        <v>42.1</v>
      </c>
      <c r="E1923">
        <v>0.10352</v>
      </c>
      <c r="F1923">
        <v>9.66</v>
      </c>
      <c r="G1923">
        <v>716.18</v>
      </c>
      <c r="H1923">
        <v>1.4874000000000001</v>
      </c>
    </row>
    <row r="1924" spans="2:8" x14ac:dyDescent="0.25">
      <c r="B1924">
        <v>1.4915</v>
      </c>
      <c r="C1924">
        <v>200</v>
      </c>
      <c r="D1924">
        <v>42.1</v>
      </c>
      <c r="E1924">
        <v>0.10269</v>
      </c>
      <c r="F1924">
        <v>9.7377000000000002</v>
      </c>
      <c r="G1924">
        <v>718.9</v>
      </c>
      <c r="H1924">
        <v>1.4915</v>
      </c>
    </row>
    <row r="1925" spans="2:8" x14ac:dyDescent="0.25">
      <c r="B1925">
        <v>1.4957</v>
      </c>
      <c r="C1925">
        <v>205</v>
      </c>
      <c r="D1925">
        <v>42.1</v>
      </c>
      <c r="E1925">
        <v>0.10188</v>
      </c>
      <c r="F1925">
        <v>9.8153000000000006</v>
      </c>
      <c r="G1925">
        <v>721.62</v>
      </c>
      <c r="H1925">
        <v>1.4957</v>
      </c>
    </row>
    <row r="1926" spans="2:8" x14ac:dyDescent="0.25">
      <c r="B1926">
        <v>1.4997</v>
      </c>
      <c r="C1926">
        <v>210</v>
      </c>
      <c r="D1926">
        <v>42.1</v>
      </c>
      <c r="E1926">
        <v>0.10108</v>
      </c>
      <c r="F1926">
        <v>9.8928999999999991</v>
      </c>
      <c r="G1926">
        <v>724.35</v>
      </c>
      <c r="H1926">
        <v>1.4997</v>
      </c>
    </row>
    <row r="1927" spans="2:8" x14ac:dyDescent="0.25">
      <c r="B1927">
        <v>1.5038</v>
      </c>
      <c r="C1927">
        <v>215</v>
      </c>
      <c r="D1927">
        <v>42.1</v>
      </c>
      <c r="E1927">
        <v>0.1003</v>
      </c>
      <c r="F1927">
        <v>9.9702999999999999</v>
      </c>
      <c r="G1927">
        <v>727.08</v>
      </c>
      <c r="H1927">
        <v>1.5038</v>
      </c>
    </row>
    <row r="1928" spans="2:8" x14ac:dyDescent="0.25">
      <c r="B1928">
        <v>1.5078</v>
      </c>
      <c r="C1928">
        <v>220</v>
      </c>
      <c r="D1928">
        <v>42.1</v>
      </c>
      <c r="E1928">
        <v>9.9525000000000002E-2</v>
      </c>
      <c r="F1928">
        <v>10.048</v>
      </c>
      <c r="G1928">
        <v>729.81</v>
      </c>
      <c r="H1928">
        <v>1.5078</v>
      </c>
    </row>
    <row r="1929" spans="2:8" x14ac:dyDescent="0.25">
      <c r="B1929">
        <v>1.5118</v>
      </c>
      <c r="C1929">
        <v>225</v>
      </c>
      <c r="D1929">
        <v>42.1</v>
      </c>
      <c r="E1929">
        <v>9.8765000000000006E-2</v>
      </c>
      <c r="F1929">
        <v>10.125</v>
      </c>
      <c r="G1929">
        <v>732.54</v>
      </c>
      <c r="H1929">
        <v>1.5118</v>
      </c>
    </row>
    <row r="1930" spans="2:8" x14ac:dyDescent="0.25">
      <c r="B1930">
        <v>1.5158</v>
      </c>
      <c r="C1930">
        <v>230</v>
      </c>
      <c r="D1930">
        <v>42.1</v>
      </c>
      <c r="E1930">
        <v>9.8017999999999994E-2</v>
      </c>
      <c r="F1930">
        <v>10.202</v>
      </c>
      <c r="G1930">
        <v>735.28</v>
      </c>
      <c r="H1930">
        <v>1.5158</v>
      </c>
    </row>
    <row r="1931" spans="2:8" x14ac:dyDescent="0.25">
      <c r="B1931">
        <v>1.5198</v>
      </c>
      <c r="C1931">
        <v>235</v>
      </c>
      <c r="D1931">
        <v>42.1</v>
      </c>
      <c r="E1931">
        <v>9.7281999999999993E-2</v>
      </c>
      <c r="F1931">
        <v>10.279</v>
      </c>
      <c r="G1931">
        <v>738.03</v>
      </c>
      <c r="H1931">
        <v>1.5198</v>
      </c>
    </row>
    <row r="1932" spans="2:8" x14ac:dyDescent="0.25">
      <c r="B1932">
        <v>1.5237000000000001</v>
      </c>
      <c r="C1932">
        <v>240</v>
      </c>
      <c r="D1932">
        <v>42.1</v>
      </c>
      <c r="E1932">
        <v>9.6558000000000005E-2</v>
      </c>
      <c r="F1932">
        <v>10.356</v>
      </c>
      <c r="G1932">
        <v>740.77</v>
      </c>
      <c r="H1932">
        <v>1.5237000000000001</v>
      </c>
    </row>
    <row r="1933" spans="2:8" x14ac:dyDescent="0.25">
      <c r="B1933">
        <v>1.5277000000000001</v>
      </c>
      <c r="C1933">
        <v>245</v>
      </c>
      <c r="D1933">
        <v>42.1</v>
      </c>
      <c r="E1933">
        <v>9.5845E-2</v>
      </c>
      <c r="F1933">
        <v>10.433999999999999</v>
      </c>
      <c r="G1933">
        <v>743.52</v>
      </c>
      <c r="H1933">
        <v>1.5277000000000001</v>
      </c>
    </row>
    <row r="1934" spans="2:8" x14ac:dyDescent="0.25">
      <c r="B1934">
        <v>1.5315000000000001</v>
      </c>
      <c r="C1934">
        <v>250</v>
      </c>
      <c r="D1934">
        <v>42.1</v>
      </c>
      <c r="E1934">
        <v>9.5143000000000005E-2</v>
      </c>
      <c r="F1934">
        <v>10.510999999999999</v>
      </c>
      <c r="G1934">
        <v>746.28</v>
      </c>
      <c r="H1934">
        <v>1.5315000000000001</v>
      </c>
    </row>
    <row r="1935" spans="2:8" x14ac:dyDescent="0.25">
      <c r="B1935">
        <v>1.5354000000000001</v>
      </c>
      <c r="C1935">
        <v>255</v>
      </c>
      <c r="D1935">
        <v>42.1</v>
      </c>
      <c r="E1935">
        <v>9.4451999999999994E-2</v>
      </c>
      <c r="F1935">
        <v>10.587</v>
      </c>
      <c r="G1935">
        <v>749.04</v>
      </c>
      <c r="H1935">
        <v>1.5354000000000001</v>
      </c>
    </row>
    <row r="1936" spans="2:8" x14ac:dyDescent="0.25">
      <c r="B1936">
        <v>1.5392999999999999</v>
      </c>
      <c r="C1936">
        <v>260</v>
      </c>
      <c r="D1936">
        <v>42.1</v>
      </c>
      <c r="E1936">
        <v>9.3770999999999993E-2</v>
      </c>
      <c r="F1936">
        <v>10.664</v>
      </c>
      <c r="G1936">
        <v>751.8</v>
      </c>
      <c r="H1936">
        <v>1.5392999999999999</v>
      </c>
    </row>
    <row r="1937" spans="1:8" x14ac:dyDescent="0.25">
      <c r="B1937">
        <v>1.5430999999999999</v>
      </c>
      <c r="C1937">
        <v>265</v>
      </c>
      <c r="D1937">
        <v>42.1</v>
      </c>
      <c r="E1937">
        <v>9.3100000000000002E-2</v>
      </c>
      <c r="F1937">
        <v>10.741</v>
      </c>
      <c r="G1937">
        <v>754.57</v>
      </c>
      <c r="H1937">
        <v>1.5430999999999999</v>
      </c>
    </row>
    <row r="1938" spans="1:8" x14ac:dyDescent="0.25">
      <c r="B1938">
        <v>1.5468999999999999</v>
      </c>
      <c r="C1938">
        <v>270</v>
      </c>
      <c r="D1938">
        <v>42.1</v>
      </c>
      <c r="E1938">
        <v>9.2439999999999994E-2</v>
      </c>
      <c r="F1938">
        <v>10.818</v>
      </c>
      <c r="G1938">
        <v>757.35</v>
      </c>
      <c r="H1938">
        <v>1.5468999999999999</v>
      </c>
    </row>
    <row r="1939" spans="1:8" x14ac:dyDescent="0.25">
      <c r="B1939">
        <v>1.5507</v>
      </c>
      <c r="C1939">
        <v>275</v>
      </c>
      <c r="D1939">
        <v>42.1</v>
      </c>
      <c r="E1939">
        <v>9.1788999999999996E-2</v>
      </c>
      <c r="F1939">
        <v>10.895</v>
      </c>
      <c r="G1939">
        <v>760.13</v>
      </c>
      <c r="H1939">
        <v>1.5507</v>
      </c>
    </row>
    <row r="1940" spans="1:8" x14ac:dyDescent="0.25">
      <c r="B1940">
        <v>1.5545</v>
      </c>
      <c r="C1940">
        <v>280</v>
      </c>
      <c r="D1940">
        <v>42.1</v>
      </c>
      <c r="E1940">
        <v>9.1147000000000006E-2</v>
      </c>
      <c r="F1940">
        <v>10.971</v>
      </c>
      <c r="G1940">
        <v>762.91</v>
      </c>
      <c r="H1940">
        <v>1.5545</v>
      </c>
    </row>
    <row r="1941" spans="1:8" x14ac:dyDescent="0.25">
      <c r="B1941">
        <v>1.5583</v>
      </c>
      <c r="C1941">
        <v>285</v>
      </c>
      <c r="D1941">
        <v>42.1</v>
      </c>
      <c r="E1941">
        <v>9.0514999999999998E-2</v>
      </c>
      <c r="F1941">
        <v>11.048</v>
      </c>
      <c r="G1941">
        <v>765.7</v>
      </c>
      <c r="H1941">
        <v>1.5583</v>
      </c>
    </row>
    <row r="1942" spans="1:8" x14ac:dyDescent="0.25">
      <c r="B1942">
        <v>1.5620000000000001</v>
      </c>
      <c r="C1942">
        <v>290</v>
      </c>
      <c r="D1942">
        <v>42.1</v>
      </c>
      <c r="E1942">
        <v>8.9892E-2</v>
      </c>
      <c r="F1942">
        <v>11.124000000000001</v>
      </c>
      <c r="G1942">
        <v>768.49</v>
      </c>
      <c r="H1942">
        <v>1.5620000000000001</v>
      </c>
    </row>
    <row r="1943" spans="1:8" x14ac:dyDescent="0.25">
      <c r="B1943">
        <v>1.5657000000000001</v>
      </c>
      <c r="C1943">
        <v>295</v>
      </c>
      <c r="D1943">
        <v>42.1</v>
      </c>
      <c r="E1943">
        <v>8.9277999999999996E-2</v>
      </c>
      <c r="F1943">
        <v>11.201000000000001</v>
      </c>
      <c r="G1943">
        <v>771.29</v>
      </c>
      <c r="H1943">
        <v>1.5657000000000001</v>
      </c>
    </row>
    <row r="1944" spans="1:8" x14ac:dyDescent="0.25">
      <c r="B1944">
        <v>1.5693999999999999</v>
      </c>
      <c r="C1944">
        <v>300</v>
      </c>
      <c r="D1944">
        <v>42.1</v>
      </c>
      <c r="E1944">
        <v>8.8673000000000002E-2</v>
      </c>
      <c r="F1944">
        <v>11.276999999999999</v>
      </c>
      <c r="G1944">
        <v>774.09</v>
      </c>
      <c r="H1944">
        <v>1.5693999999999999</v>
      </c>
    </row>
    <row r="1946" spans="1:8" x14ac:dyDescent="0.25">
      <c r="A1946">
        <v>44</v>
      </c>
      <c r="B1946">
        <v>-2.5491E-2</v>
      </c>
      <c r="C1946">
        <v>-50</v>
      </c>
      <c r="D1946">
        <v>44</v>
      </c>
      <c r="E1946">
        <v>43.509</v>
      </c>
      <c r="F1946">
        <v>2.2984000000000001E-2</v>
      </c>
      <c r="G1946">
        <v>-10.426</v>
      </c>
      <c r="H1946">
        <v>-2.5491E-2</v>
      </c>
    </row>
    <row r="1947" spans="1:8" x14ac:dyDescent="0.25">
      <c r="B1947">
        <v>-1.2761E-2</v>
      </c>
      <c r="C1947">
        <v>-45</v>
      </c>
      <c r="D1947">
        <v>44</v>
      </c>
      <c r="E1947">
        <v>43.301000000000002</v>
      </c>
      <c r="F1947">
        <v>2.3094E-2</v>
      </c>
      <c r="G1947">
        <v>-5.1795</v>
      </c>
      <c r="H1947">
        <v>-1.2761E-2</v>
      </c>
    </row>
    <row r="1948" spans="1:8" x14ac:dyDescent="0.25">
      <c r="B1948">
        <v>-1.4113999999999999E-4</v>
      </c>
      <c r="C1948">
        <v>-40</v>
      </c>
      <c r="D1948">
        <v>44</v>
      </c>
      <c r="E1948">
        <v>43.091000000000001</v>
      </c>
      <c r="F1948">
        <v>2.3206000000000001E-2</v>
      </c>
      <c r="G1948">
        <v>8.5174E-2</v>
      </c>
      <c r="H1948">
        <v>-1.4113999999999999E-4</v>
      </c>
    </row>
    <row r="1949" spans="1:8" x14ac:dyDescent="0.25">
      <c r="B1949">
        <v>1.2370000000000001E-2</v>
      </c>
      <c r="C1949">
        <v>-35</v>
      </c>
      <c r="D1949">
        <v>44</v>
      </c>
      <c r="E1949">
        <v>42.88</v>
      </c>
      <c r="F1949">
        <v>2.3321000000000001E-2</v>
      </c>
      <c r="G1949">
        <v>5.3670999999999998</v>
      </c>
      <c r="H1949">
        <v>1.2370000000000001E-2</v>
      </c>
    </row>
    <row r="1950" spans="1:8" x14ac:dyDescent="0.25">
      <c r="B1950">
        <v>2.4775999999999999E-2</v>
      </c>
      <c r="C1950">
        <v>-30</v>
      </c>
      <c r="D1950">
        <v>44</v>
      </c>
      <c r="E1950">
        <v>42.667000000000002</v>
      </c>
      <c r="F1950">
        <v>2.3436999999999999E-2</v>
      </c>
      <c r="G1950">
        <v>10.666</v>
      </c>
      <c r="H1950">
        <v>2.4775999999999999E-2</v>
      </c>
    </row>
    <row r="1951" spans="1:8" x14ac:dyDescent="0.25">
      <c r="B1951">
        <v>3.7075999999999998E-2</v>
      </c>
      <c r="C1951">
        <v>-25</v>
      </c>
      <c r="D1951">
        <v>44</v>
      </c>
      <c r="E1951">
        <v>42.451999999999998</v>
      </c>
      <c r="F1951">
        <v>2.3556000000000001E-2</v>
      </c>
      <c r="G1951">
        <v>15.981999999999999</v>
      </c>
      <c r="H1951">
        <v>3.7075999999999998E-2</v>
      </c>
    </row>
    <row r="1952" spans="1:8" x14ac:dyDescent="0.25">
      <c r="B1952">
        <v>4.9273999999999998E-2</v>
      </c>
      <c r="C1952">
        <v>-20</v>
      </c>
      <c r="D1952">
        <v>44</v>
      </c>
      <c r="E1952">
        <v>42.234000000000002</v>
      </c>
      <c r="F1952">
        <v>2.3677E-2</v>
      </c>
      <c r="G1952">
        <v>21.315000000000001</v>
      </c>
      <c r="H1952">
        <v>4.9273999999999998E-2</v>
      </c>
    </row>
    <row r="1953" spans="2:8" x14ac:dyDescent="0.25">
      <c r="B1953">
        <v>6.1372000000000003E-2</v>
      </c>
      <c r="C1953">
        <v>-15</v>
      </c>
      <c r="D1953">
        <v>44</v>
      </c>
      <c r="E1953">
        <v>42.015999999999998</v>
      </c>
      <c r="F1953">
        <v>2.3800999999999999E-2</v>
      </c>
      <c r="G1953">
        <v>26.664000000000001</v>
      </c>
      <c r="H1953">
        <v>6.1372000000000003E-2</v>
      </c>
    </row>
    <row r="1954" spans="2:8" x14ac:dyDescent="0.25">
      <c r="B1954">
        <v>7.3371000000000006E-2</v>
      </c>
      <c r="C1954">
        <v>-10</v>
      </c>
      <c r="D1954">
        <v>44</v>
      </c>
      <c r="E1954">
        <v>41.795000000000002</v>
      </c>
      <c r="F1954">
        <v>2.3925999999999999E-2</v>
      </c>
      <c r="G1954">
        <v>32.029000000000003</v>
      </c>
      <c r="H1954">
        <v>7.3371000000000006E-2</v>
      </c>
    </row>
    <row r="1955" spans="2:8" x14ac:dyDescent="0.25">
      <c r="B1955">
        <v>8.5273000000000002E-2</v>
      </c>
      <c r="C1955">
        <v>-5</v>
      </c>
      <c r="D1955">
        <v>44</v>
      </c>
      <c r="E1955">
        <v>41.572000000000003</v>
      </c>
      <c r="F1955">
        <v>2.4055E-2</v>
      </c>
      <c r="G1955">
        <v>37.411000000000001</v>
      </c>
      <c r="H1955">
        <v>8.5273000000000002E-2</v>
      </c>
    </row>
    <row r="1956" spans="2:8" x14ac:dyDescent="0.25">
      <c r="B1956">
        <v>9.7081000000000001E-2</v>
      </c>
      <c r="C1956">
        <v>0</v>
      </c>
      <c r="D1956">
        <v>44</v>
      </c>
      <c r="E1956">
        <v>41.347000000000001</v>
      </c>
      <c r="F1956">
        <v>2.4185000000000002E-2</v>
      </c>
      <c r="G1956">
        <v>42.81</v>
      </c>
      <c r="H1956">
        <v>9.7081000000000001E-2</v>
      </c>
    </row>
    <row r="1957" spans="2:8" x14ac:dyDescent="0.25">
      <c r="B1957">
        <v>0.10879999999999999</v>
      </c>
      <c r="C1957">
        <v>5</v>
      </c>
      <c r="D1957">
        <v>44</v>
      </c>
      <c r="E1957">
        <v>41.12</v>
      </c>
      <c r="F1957">
        <v>2.4319E-2</v>
      </c>
      <c r="G1957">
        <v>48.223999999999997</v>
      </c>
      <c r="H1957">
        <v>0.10879999999999999</v>
      </c>
    </row>
    <row r="1958" spans="2:8" x14ac:dyDescent="0.25">
      <c r="B1958">
        <v>0.12042</v>
      </c>
      <c r="C1958">
        <v>10</v>
      </c>
      <c r="D1958">
        <v>44</v>
      </c>
      <c r="E1958">
        <v>40.892000000000003</v>
      </c>
      <c r="F1958">
        <v>2.4455000000000001E-2</v>
      </c>
      <c r="G1958">
        <v>53.655999999999999</v>
      </c>
      <c r="H1958">
        <v>0.12042</v>
      </c>
    </row>
    <row r="1959" spans="2:8" x14ac:dyDescent="0.25">
      <c r="B1959">
        <v>0.13195999999999999</v>
      </c>
      <c r="C1959">
        <v>15</v>
      </c>
      <c r="D1959">
        <v>44</v>
      </c>
      <c r="E1959">
        <v>40.661000000000001</v>
      </c>
      <c r="F1959">
        <v>2.4594000000000001E-2</v>
      </c>
      <c r="G1959">
        <v>59.103999999999999</v>
      </c>
      <c r="H1959">
        <v>0.13195999999999999</v>
      </c>
    </row>
    <row r="1960" spans="2:8" x14ac:dyDescent="0.25">
      <c r="B1960">
        <v>1.3090999999999999</v>
      </c>
      <c r="C1960">
        <v>20</v>
      </c>
      <c r="D1960">
        <v>44</v>
      </c>
      <c r="E1960">
        <v>0.15368000000000001</v>
      </c>
      <c r="F1960">
        <v>6.5071000000000003</v>
      </c>
      <c r="G1960">
        <v>618.91</v>
      </c>
      <c r="H1960">
        <v>1.3090999999999999</v>
      </c>
    </row>
    <row r="1961" spans="2:8" x14ac:dyDescent="0.25">
      <c r="B1961">
        <v>1.3152999999999999</v>
      </c>
      <c r="C1961">
        <v>25</v>
      </c>
      <c r="D1961">
        <v>44</v>
      </c>
      <c r="E1961">
        <v>0.1517</v>
      </c>
      <c r="F1961">
        <v>6.5921000000000003</v>
      </c>
      <c r="G1961">
        <v>621.91</v>
      </c>
      <c r="H1961">
        <v>1.3152999999999999</v>
      </c>
    </row>
    <row r="1962" spans="2:8" x14ac:dyDescent="0.25">
      <c r="B1962">
        <v>1.3213999999999999</v>
      </c>
      <c r="C1962">
        <v>30</v>
      </c>
      <c r="D1962">
        <v>44</v>
      </c>
      <c r="E1962">
        <v>0.14979000000000001</v>
      </c>
      <c r="F1962">
        <v>6.6761999999999997</v>
      </c>
      <c r="G1962">
        <v>624.88</v>
      </c>
      <c r="H1962">
        <v>1.3213999999999999</v>
      </c>
    </row>
    <row r="1963" spans="2:8" x14ac:dyDescent="0.25">
      <c r="B1963">
        <v>1.3273999999999999</v>
      </c>
      <c r="C1963">
        <v>35</v>
      </c>
      <c r="D1963">
        <v>44</v>
      </c>
      <c r="E1963">
        <v>0.14793999999999999</v>
      </c>
      <c r="F1963">
        <v>6.7595999999999998</v>
      </c>
      <c r="G1963">
        <v>627.82000000000005</v>
      </c>
      <c r="H1963">
        <v>1.3273999999999999</v>
      </c>
    </row>
    <row r="1964" spans="2:8" x14ac:dyDescent="0.25">
      <c r="B1964">
        <v>1.3331999999999999</v>
      </c>
      <c r="C1964">
        <v>40</v>
      </c>
      <c r="D1964">
        <v>44</v>
      </c>
      <c r="E1964">
        <v>0.14615</v>
      </c>
      <c r="F1964">
        <v>6.8422999999999998</v>
      </c>
      <c r="G1964">
        <v>630.74</v>
      </c>
      <c r="H1964">
        <v>1.3331999999999999</v>
      </c>
    </row>
    <row r="1965" spans="2:8" x14ac:dyDescent="0.25">
      <c r="B1965">
        <v>1.339</v>
      </c>
      <c r="C1965">
        <v>45</v>
      </c>
      <c r="D1965">
        <v>44</v>
      </c>
      <c r="E1965">
        <v>0.14441999999999999</v>
      </c>
      <c r="F1965">
        <v>6.9242999999999997</v>
      </c>
      <c r="G1965">
        <v>633.62</v>
      </c>
      <c r="H1965">
        <v>1.339</v>
      </c>
    </row>
    <row r="1966" spans="2:8" x14ac:dyDescent="0.25">
      <c r="B1966">
        <v>1.3446</v>
      </c>
      <c r="C1966">
        <v>50</v>
      </c>
      <c r="D1966">
        <v>44</v>
      </c>
      <c r="E1966">
        <v>0.14274000000000001</v>
      </c>
      <c r="F1966">
        <v>7.0058999999999996</v>
      </c>
      <c r="G1966">
        <v>636.49</v>
      </c>
      <c r="H1966">
        <v>1.3446</v>
      </c>
    </row>
    <row r="1967" spans="2:8" x14ac:dyDescent="0.25">
      <c r="B1967">
        <v>1.3502000000000001</v>
      </c>
      <c r="C1967">
        <v>55</v>
      </c>
      <c r="D1967">
        <v>44</v>
      </c>
      <c r="E1967">
        <v>0.14111000000000001</v>
      </c>
      <c r="F1967">
        <v>7.0868000000000002</v>
      </c>
      <c r="G1967">
        <v>639.34</v>
      </c>
      <c r="H1967">
        <v>1.3502000000000001</v>
      </c>
    </row>
    <row r="1968" spans="2:8" x14ac:dyDescent="0.25">
      <c r="B1968">
        <v>1.3556999999999999</v>
      </c>
      <c r="C1968">
        <v>60</v>
      </c>
      <c r="D1968">
        <v>44</v>
      </c>
      <c r="E1968">
        <v>0.13952000000000001</v>
      </c>
      <c r="F1968">
        <v>7.1673</v>
      </c>
      <c r="G1968">
        <v>642.16999999999996</v>
      </c>
      <c r="H1968">
        <v>1.3556999999999999</v>
      </c>
    </row>
    <row r="1969" spans="2:8" x14ac:dyDescent="0.25">
      <c r="B1969">
        <v>1.3611</v>
      </c>
      <c r="C1969">
        <v>65</v>
      </c>
      <c r="D1969">
        <v>44</v>
      </c>
      <c r="E1969">
        <v>0.13797999999999999</v>
      </c>
      <c r="F1969">
        <v>7.2473999999999998</v>
      </c>
      <c r="G1969">
        <v>644.98</v>
      </c>
      <c r="H1969">
        <v>1.3611</v>
      </c>
    </row>
    <row r="1970" spans="2:8" x14ac:dyDescent="0.25">
      <c r="B1970">
        <v>1.3664000000000001</v>
      </c>
      <c r="C1970">
        <v>70</v>
      </c>
      <c r="D1970">
        <v>44</v>
      </c>
      <c r="E1970">
        <v>0.13647999999999999</v>
      </c>
      <c r="F1970">
        <v>7.327</v>
      </c>
      <c r="G1970">
        <v>647.78</v>
      </c>
      <c r="H1970">
        <v>1.3664000000000001</v>
      </c>
    </row>
    <row r="1971" spans="2:8" x14ac:dyDescent="0.25">
      <c r="B1971">
        <v>1.3715999999999999</v>
      </c>
      <c r="C1971">
        <v>75</v>
      </c>
      <c r="D1971">
        <v>44</v>
      </c>
      <c r="E1971">
        <v>0.13502</v>
      </c>
      <c r="F1971">
        <v>7.4062000000000001</v>
      </c>
      <c r="G1971">
        <v>650.57000000000005</v>
      </c>
      <c r="H1971">
        <v>1.3715999999999999</v>
      </c>
    </row>
    <row r="1972" spans="2:8" x14ac:dyDescent="0.25">
      <c r="B1972">
        <v>1.3768</v>
      </c>
      <c r="C1972">
        <v>80</v>
      </c>
      <c r="D1972">
        <v>44</v>
      </c>
      <c r="E1972">
        <v>0.1336</v>
      </c>
      <c r="F1972">
        <v>7.4851000000000001</v>
      </c>
      <c r="G1972">
        <v>653.35</v>
      </c>
      <c r="H1972">
        <v>1.3768</v>
      </c>
    </row>
    <row r="1973" spans="2:8" x14ac:dyDescent="0.25">
      <c r="B1973">
        <v>1.3818999999999999</v>
      </c>
      <c r="C1973">
        <v>85</v>
      </c>
      <c r="D1973">
        <v>44</v>
      </c>
      <c r="E1973">
        <v>0.13220999999999999</v>
      </c>
      <c r="F1973">
        <v>7.5636000000000001</v>
      </c>
      <c r="G1973">
        <v>656.11</v>
      </c>
      <c r="H1973">
        <v>1.3818999999999999</v>
      </c>
    </row>
    <row r="1974" spans="2:8" x14ac:dyDescent="0.25">
      <c r="B1974">
        <v>1.3869</v>
      </c>
      <c r="C1974">
        <v>90</v>
      </c>
      <c r="D1974">
        <v>44</v>
      </c>
      <c r="E1974">
        <v>0.13086</v>
      </c>
      <c r="F1974">
        <v>7.6417999999999999</v>
      </c>
      <c r="G1974">
        <v>658.87</v>
      </c>
      <c r="H1974">
        <v>1.3869</v>
      </c>
    </row>
    <row r="1975" spans="2:8" x14ac:dyDescent="0.25">
      <c r="B1975">
        <v>1.3918999999999999</v>
      </c>
      <c r="C1975">
        <v>95</v>
      </c>
      <c r="D1975">
        <v>44</v>
      </c>
      <c r="E1975">
        <v>0.12953999999999999</v>
      </c>
      <c r="F1975">
        <v>7.7196999999999996</v>
      </c>
      <c r="G1975">
        <v>661.62</v>
      </c>
      <c r="H1975">
        <v>1.3918999999999999</v>
      </c>
    </row>
    <row r="1976" spans="2:8" x14ac:dyDescent="0.25">
      <c r="B1976">
        <v>1.3968</v>
      </c>
      <c r="C1976">
        <v>100</v>
      </c>
      <c r="D1976">
        <v>44</v>
      </c>
      <c r="E1976">
        <v>0.12825</v>
      </c>
      <c r="F1976">
        <v>7.7972999999999999</v>
      </c>
      <c r="G1976">
        <v>664.36</v>
      </c>
      <c r="H1976">
        <v>1.3968</v>
      </c>
    </row>
    <row r="1977" spans="2:8" x14ac:dyDescent="0.25">
      <c r="B1977">
        <v>1.4016999999999999</v>
      </c>
      <c r="C1977">
        <v>105</v>
      </c>
      <c r="D1977">
        <v>44</v>
      </c>
      <c r="E1977">
        <v>0.12698999999999999</v>
      </c>
      <c r="F1977">
        <v>7.8746999999999998</v>
      </c>
      <c r="G1977">
        <v>667.1</v>
      </c>
      <c r="H1977">
        <v>1.4016999999999999</v>
      </c>
    </row>
    <row r="1978" spans="2:8" x14ac:dyDescent="0.25">
      <c r="B1978">
        <v>1.4065000000000001</v>
      </c>
      <c r="C1978">
        <v>110</v>
      </c>
      <c r="D1978">
        <v>44</v>
      </c>
      <c r="E1978">
        <v>0.12576000000000001</v>
      </c>
      <c r="F1978">
        <v>7.9519000000000002</v>
      </c>
      <c r="G1978">
        <v>669.83</v>
      </c>
      <c r="H1978">
        <v>1.4065000000000001</v>
      </c>
    </row>
    <row r="1979" spans="2:8" x14ac:dyDescent="0.25">
      <c r="B1979">
        <v>1.4113</v>
      </c>
      <c r="C1979">
        <v>115</v>
      </c>
      <c r="D1979">
        <v>44</v>
      </c>
      <c r="E1979">
        <v>0.12454999999999999</v>
      </c>
      <c r="F1979">
        <v>8.0288000000000004</v>
      </c>
      <c r="G1979">
        <v>672.56</v>
      </c>
      <c r="H1979">
        <v>1.4113</v>
      </c>
    </row>
    <row r="1980" spans="2:8" x14ac:dyDescent="0.25">
      <c r="B1980">
        <v>1.4159999999999999</v>
      </c>
      <c r="C1980">
        <v>120</v>
      </c>
      <c r="D1980">
        <v>44</v>
      </c>
      <c r="E1980">
        <v>0.12336999999999999</v>
      </c>
      <c r="F1980">
        <v>8.1054999999999993</v>
      </c>
      <c r="G1980">
        <v>675.28</v>
      </c>
      <c r="H1980">
        <v>1.4159999999999999</v>
      </c>
    </row>
    <row r="1981" spans="2:8" x14ac:dyDescent="0.25">
      <c r="B1981">
        <v>1.4207000000000001</v>
      </c>
      <c r="C1981">
        <v>125</v>
      </c>
      <c r="D1981">
        <v>44</v>
      </c>
      <c r="E1981">
        <v>0.12222</v>
      </c>
      <c r="F1981">
        <v>8.1820000000000004</v>
      </c>
      <c r="G1981">
        <v>678</v>
      </c>
      <c r="H1981">
        <v>1.4207000000000001</v>
      </c>
    </row>
    <row r="1982" spans="2:8" x14ac:dyDescent="0.25">
      <c r="B1982">
        <v>1.4253</v>
      </c>
      <c r="C1982">
        <v>130</v>
      </c>
      <c r="D1982">
        <v>44</v>
      </c>
      <c r="E1982">
        <v>0.12109</v>
      </c>
      <c r="F1982">
        <v>8.2583000000000002</v>
      </c>
      <c r="G1982">
        <v>680.72</v>
      </c>
      <c r="H1982">
        <v>1.4253</v>
      </c>
    </row>
    <row r="1983" spans="2:8" x14ac:dyDescent="0.25">
      <c r="B1983">
        <v>1.4298999999999999</v>
      </c>
      <c r="C1983">
        <v>135</v>
      </c>
      <c r="D1983">
        <v>44</v>
      </c>
      <c r="E1983">
        <v>0.11999</v>
      </c>
      <c r="F1983">
        <v>8.3344000000000005</v>
      </c>
      <c r="G1983">
        <v>683.43</v>
      </c>
      <c r="H1983">
        <v>1.4298999999999999</v>
      </c>
    </row>
    <row r="1984" spans="2:8" x14ac:dyDescent="0.25">
      <c r="B1984">
        <v>1.4343999999999999</v>
      </c>
      <c r="C1984">
        <v>140</v>
      </c>
      <c r="D1984">
        <v>44</v>
      </c>
      <c r="E1984">
        <v>0.11890000000000001</v>
      </c>
      <c r="F1984">
        <v>8.4102999999999994</v>
      </c>
      <c r="G1984">
        <v>686.14</v>
      </c>
      <c r="H1984">
        <v>1.4343999999999999</v>
      </c>
    </row>
    <row r="1985" spans="2:8" x14ac:dyDescent="0.25">
      <c r="B1985">
        <v>1.4389000000000001</v>
      </c>
      <c r="C1985">
        <v>145</v>
      </c>
      <c r="D1985">
        <v>44</v>
      </c>
      <c r="E1985">
        <v>0.11784</v>
      </c>
      <c r="F1985">
        <v>8.4861000000000004</v>
      </c>
      <c r="G1985">
        <v>688.86</v>
      </c>
      <c r="H1985">
        <v>1.4389000000000001</v>
      </c>
    </row>
    <row r="1986" spans="2:8" x14ac:dyDescent="0.25">
      <c r="B1986">
        <v>1.4434</v>
      </c>
      <c r="C1986">
        <v>150</v>
      </c>
      <c r="D1986">
        <v>44</v>
      </c>
      <c r="E1986">
        <v>0.1168</v>
      </c>
      <c r="F1986">
        <v>8.5617999999999999</v>
      </c>
      <c r="G1986">
        <v>691.57</v>
      </c>
      <c r="H1986">
        <v>1.4434</v>
      </c>
    </row>
    <row r="1987" spans="2:8" x14ac:dyDescent="0.25">
      <c r="B1987">
        <v>1.4478</v>
      </c>
      <c r="C1987">
        <v>155</v>
      </c>
      <c r="D1987">
        <v>44</v>
      </c>
      <c r="E1987">
        <v>0.11577999999999999</v>
      </c>
      <c r="F1987">
        <v>8.6372</v>
      </c>
      <c r="G1987">
        <v>694.28</v>
      </c>
      <c r="H1987">
        <v>1.4478</v>
      </c>
    </row>
    <row r="1988" spans="2:8" x14ac:dyDescent="0.25">
      <c r="B1988">
        <v>1.4521999999999999</v>
      </c>
      <c r="C1988">
        <v>160</v>
      </c>
      <c r="D1988">
        <v>44</v>
      </c>
      <c r="E1988">
        <v>0.11477999999999999</v>
      </c>
      <c r="F1988">
        <v>8.7126000000000001</v>
      </c>
      <c r="G1988">
        <v>696.99</v>
      </c>
      <c r="H1988">
        <v>1.4521999999999999</v>
      </c>
    </row>
    <row r="1989" spans="2:8" x14ac:dyDescent="0.25">
      <c r="B1989">
        <v>1.4565999999999999</v>
      </c>
      <c r="C1989">
        <v>165</v>
      </c>
      <c r="D1989">
        <v>44</v>
      </c>
      <c r="E1989">
        <v>0.11379</v>
      </c>
      <c r="F1989">
        <v>8.7878000000000007</v>
      </c>
      <c r="G1989">
        <v>699.7</v>
      </c>
      <c r="H1989">
        <v>1.4565999999999999</v>
      </c>
    </row>
    <row r="1990" spans="2:8" x14ac:dyDescent="0.25">
      <c r="B1990">
        <v>1.4609000000000001</v>
      </c>
      <c r="C1990">
        <v>170</v>
      </c>
      <c r="D1990">
        <v>44</v>
      </c>
      <c r="E1990">
        <v>0.11283</v>
      </c>
      <c r="F1990">
        <v>8.8628999999999998</v>
      </c>
      <c r="G1990">
        <v>702.41</v>
      </c>
      <c r="H1990">
        <v>1.4609000000000001</v>
      </c>
    </row>
    <row r="1991" spans="2:8" x14ac:dyDescent="0.25">
      <c r="B1991">
        <v>1.4652000000000001</v>
      </c>
      <c r="C1991">
        <v>175</v>
      </c>
      <c r="D1991">
        <v>44</v>
      </c>
      <c r="E1991">
        <v>0.11187999999999999</v>
      </c>
      <c r="F1991">
        <v>8.9379000000000008</v>
      </c>
      <c r="G1991">
        <v>705.13</v>
      </c>
      <c r="H1991">
        <v>1.4652000000000001</v>
      </c>
    </row>
    <row r="1992" spans="2:8" x14ac:dyDescent="0.25">
      <c r="B1992">
        <v>1.4694</v>
      </c>
      <c r="C1992">
        <v>180</v>
      </c>
      <c r="D1992">
        <v>44</v>
      </c>
      <c r="E1992">
        <v>0.11094999999999999</v>
      </c>
      <c r="F1992">
        <v>9.0128000000000004</v>
      </c>
      <c r="G1992">
        <v>707.84</v>
      </c>
      <c r="H1992">
        <v>1.4694</v>
      </c>
    </row>
    <row r="1993" spans="2:8" x14ac:dyDescent="0.25">
      <c r="B1993">
        <v>1.4737</v>
      </c>
      <c r="C1993">
        <v>185</v>
      </c>
      <c r="D1993">
        <v>44</v>
      </c>
      <c r="E1993">
        <v>0.11004</v>
      </c>
      <c r="F1993">
        <v>9.0876000000000001</v>
      </c>
      <c r="G1993">
        <v>710.56</v>
      </c>
      <c r="H1993">
        <v>1.4737</v>
      </c>
    </row>
    <row r="1994" spans="2:8" x14ac:dyDescent="0.25">
      <c r="B1994">
        <v>1.4779</v>
      </c>
      <c r="C1994">
        <v>190</v>
      </c>
      <c r="D1994">
        <v>44</v>
      </c>
      <c r="E1994">
        <v>0.10914</v>
      </c>
      <c r="F1994">
        <v>9.1622000000000003</v>
      </c>
      <c r="G1994">
        <v>713.28</v>
      </c>
      <c r="H1994">
        <v>1.4779</v>
      </c>
    </row>
    <row r="1995" spans="2:8" x14ac:dyDescent="0.25">
      <c r="B1995">
        <v>1.4821</v>
      </c>
      <c r="C1995">
        <v>195</v>
      </c>
      <c r="D1995">
        <v>44</v>
      </c>
      <c r="E1995">
        <v>0.10826</v>
      </c>
      <c r="F1995">
        <v>9.2368000000000006</v>
      </c>
      <c r="G1995">
        <v>716</v>
      </c>
      <c r="H1995">
        <v>1.4821</v>
      </c>
    </row>
    <row r="1996" spans="2:8" x14ac:dyDescent="0.25">
      <c r="B1996">
        <v>1.4862</v>
      </c>
      <c r="C1996">
        <v>200</v>
      </c>
      <c r="D1996">
        <v>44</v>
      </c>
      <c r="E1996">
        <v>0.1074</v>
      </c>
      <c r="F1996">
        <v>9.3112999999999992</v>
      </c>
      <c r="G1996">
        <v>718.72</v>
      </c>
      <c r="H1996">
        <v>1.4862</v>
      </c>
    </row>
    <row r="1997" spans="2:8" x14ac:dyDescent="0.25">
      <c r="B1997">
        <v>1.4903</v>
      </c>
      <c r="C1997">
        <v>205</v>
      </c>
      <c r="D1997">
        <v>44</v>
      </c>
      <c r="E1997">
        <v>0.10655000000000001</v>
      </c>
      <c r="F1997">
        <v>9.3856999999999999</v>
      </c>
      <c r="G1997">
        <v>721.45</v>
      </c>
      <c r="H1997">
        <v>1.4903</v>
      </c>
    </row>
    <row r="1998" spans="2:8" x14ac:dyDescent="0.25">
      <c r="B1998">
        <v>1.4944</v>
      </c>
      <c r="C1998">
        <v>210</v>
      </c>
      <c r="D1998">
        <v>44</v>
      </c>
      <c r="E1998">
        <v>0.10571</v>
      </c>
      <c r="F1998">
        <v>9.4600000000000009</v>
      </c>
      <c r="G1998">
        <v>724.18</v>
      </c>
      <c r="H1998">
        <v>1.4944</v>
      </c>
    </row>
    <row r="1999" spans="2:8" x14ac:dyDescent="0.25">
      <c r="B1999">
        <v>1.4984999999999999</v>
      </c>
      <c r="C1999">
        <v>215</v>
      </c>
      <c r="D1999">
        <v>44</v>
      </c>
      <c r="E1999">
        <v>0.10489</v>
      </c>
      <c r="F1999">
        <v>9.5342000000000002</v>
      </c>
      <c r="G1999">
        <v>726.91</v>
      </c>
      <c r="H1999">
        <v>1.4984999999999999</v>
      </c>
    </row>
    <row r="2000" spans="2:8" x14ac:dyDescent="0.25">
      <c r="B2000">
        <v>1.5024999999999999</v>
      </c>
      <c r="C2000">
        <v>220</v>
      </c>
      <c r="D2000">
        <v>44</v>
      </c>
      <c r="E2000">
        <v>0.10408000000000001</v>
      </c>
      <c r="F2000">
        <v>9.6082999999999998</v>
      </c>
      <c r="G2000">
        <v>729.65</v>
      </c>
      <c r="H2000">
        <v>1.5024999999999999</v>
      </c>
    </row>
    <row r="2001" spans="2:8" x14ac:dyDescent="0.25">
      <c r="B2001">
        <v>1.5065</v>
      </c>
      <c r="C2001">
        <v>225</v>
      </c>
      <c r="D2001">
        <v>44</v>
      </c>
      <c r="E2001">
        <v>0.10328</v>
      </c>
      <c r="F2001">
        <v>9.6823999999999995</v>
      </c>
      <c r="G2001">
        <v>732.38</v>
      </c>
      <c r="H2001">
        <v>1.5065</v>
      </c>
    </row>
    <row r="2002" spans="2:8" x14ac:dyDescent="0.25">
      <c r="B2002">
        <v>1.5105</v>
      </c>
      <c r="C2002">
        <v>230</v>
      </c>
      <c r="D2002">
        <v>44</v>
      </c>
      <c r="E2002">
        <v>0.10249999999999999</v>
      </c>
      <c r="F2002">
        <v>9.7563999999999993</v>
      </c>
      <c r="G2002">
        <v>735.13</v>
      </c>
      <c r="H2002">
        <v>1.5105</v>
      </c>
    </row>
    <row r="2003" spans="2:8" x14ac:dyDescent="0.25">
      <c r="B2003">
        <v>1.5145</v>
      </c>
      <c r="C2003">
        <v>235</v>
      </c>
      <c r="D2003">
        <v>44</v>
      </c>
      <c r="E2003">
        <v>0.10173</v>
      </c>
      <c r="F2003">
        <v>9.8303999999999991</v>
      </c>
      <c r="G2003">
        <v>737.87</v>
      </c>
      <c r="H2003">
        <v>1.5145</v>
      </c>
    </row>
    <row r="2004" spans="2:8" x14ac:dyDescent="0.25">
      <c r="B2004">
        <v>1.5184</v>
      </c>
      <c r="C2004">
        <v>240</v>
      </c>
      <c r="D2004">
        <v>44</v>
      </c>
      <c r="E2004">
        <v>0.10097</v>
      </c>
      <c r="F2004">
        <v>9.9041999999999994</v>
      </c>
      <c r="G2004">
        <v>740.62</v>
      </c>
      <c r="H2004">
        <v>1.5184</v>
      </c>
    </row>
    <row r="2005" spans="2:8" x14ac:dyDescent="0.25">
      <c r="B2005">
        <v>1.5223</v>
      </c>
      <c r="C2005">
        <v>245</v>
      </c>
      <c r="D2005">
        <v>44</v>
      </c>
      <c r="E2005">
        <v>0.10022</v>
      </c>
      <c r="F2005">
        <v>9.9779999999999998</v>
      </c>
      <c r="G2005">
        <v>743.38</v>
      </c>
      <c r="H2005">
        <v>1.5223</v>
      </c>
    </row>
    <row r="2006" spans="2:8" x14ac:dyDescent="0.25">
      <c r="B2006">
        <v>1.5262</v>
      </c>
      <c r="C2006">
        <v>250</v>
      </c>
      <c r="D2006">
        <v>44</v>
      </c>
      <c r="E2006">
        <v>9.9485000000000004E-2</v>
      </c>
      <c r="F2006">
        <v>10.052</v>
      </c>
      <c r="G2006">
        <v>746.13</v>
      </c>
      <c r="H2006">
        <v>1.5262</v>
      </c>
    </row>
    <row r="2007" spans="2:8" x14ac:dyDescent="0.25">
      <c r="B2007">
        <v>1.5301</v>
      </c>
      <c r="C2007">
        <v>255</v>
      </c>
      <c r="D2007">
        <v>44</v>
      </c>
      <c r="E2007">
        <v>9.8761000000000002E-2</v>
      </c>
      <c r="F2007">
        <v>10.125</v>
      </c>
      <c r="G2007">
        <v>748.9</v>
      </c>
      <c r="H2007">
        <v>1.5301</v>
      </c>
    </row>
    <row r="2008" spans="2:8" x14ac:dyDescent="0.25">
      <c r="B2008">
        <v>1.534</v>
      </c>
      <c r="C2008">
        <v>260</v>
      </c>
      <c r="D2008">
        <v>44</v>
      </c>
      <c r="E2008">
        <v>9.8047999999999996E-2</v>
      </c>
      <c r="F2008">
        <v>10.199</v>
      </c>
      <c r="G2008">
        <v>751.66</v>
      </c>
      <c r="H2008">
        <v>1.534</v>
      </c>
    </row>
    <row r="2009" spans="2:8" x14ac:dyDescent="0.25">
      <c r="B2009">
        <v>1.5378000000000001</v>
      </c>
      <c r="C2009">
        <v>265</v>
      </c>
      <c r="D2009">
        <v>44</v>
      </c>
      <c r="E2009">
        <v>9.7346000000000002E-2</v>
      </c>
      <c r="F2009">
        <v>10.273</v>
      </c>
      <c r="G2009">
        <v>754.44</v>
      </c>
      <c r="H2009">
        <v>1.5378000000000001</v>
      </c>
    </row>
    <row r="2010" spans="2:8" x14ac:dyDescent="0.25">
      <c r="B2010">
        <v>1.5416000000000001</v>
      </c>
      <c r="C2010">
        <v>270</v>
      </c>
      <c r="D2010">
        <v>44</v>
      </c>
      <c r="E2010">
        <v>9.6654000000000004E-2</v>
      </c>
      <c r="F2010">
        <v>10.346</v>
      </c>
      <c r="G2010">
        <v>757.21</v>
      </c>
      <c r="H2010">
        <v>1.5416000000000001</v>
      </c>
    </row>
    <row r="2011" spans="2:8" x14ac:dyDescent="0.25">
      <c r="B2011">
        <v>1.5454000000000001</v>
      </c>
      <c r="C2011">
        <v>275</v>
      </c>
      <c r="D2011">
        <v>44</v>
      </c>
      <c r="E2011">
        <v>9.5972000000000002E-2</v>
      </c>
      <c r="F2011">
        <v>10.42</v>
      </c>
      <c r="G2011">
        <v>759.99</v>
      </c>
      <c r="H2011">
        <v>1.5454000000000001</v>
      </c>
    </row>
    <row r="2012" spans="2:8" x14ac:dyDescent="0.25">
      <c r="B2012">
        <v>1.5491999999999999</v>
      </c>
      <c r="C2012">
        <v>280</v>
      </c>
      <c r="D2012">
        <v>44</v>
      </c>
      <c r="E2012">
        <v>9.5299999999999996E-2</v>
      </c>
      <c r="F2012">
        <v>10.493</v>
      </c>
      <c r="G2012">
        <v>762.78</v>
      </c>
      <c r="H2012">
        <v>1.5491999999999999</v>
      </c>
    </row>
    <row r="2013" spans="2:8" x14ac:dyDescent="0.25">
      <c r="B2013">
        <v>1.5529999999999999</v>
      </c>
      <c r="C2013">
        <v>285</v>
      </c>
      <c r="D2013">
        <v>44</v>
      </c>
      <c r="E2013">
        <v>9.4639000000000001E-2</v>
      </c>
      <c r="F2013">
        <v>10.567</v>
      </c>
      <c r="G2013">
        <v>765.57</v>
      </c>
      <c r="H2013">
        <v>1.5529999999999999</v>
      </c>
    </row>
    <row r="2014" spans="2:8" x14ac:dyDescent="0.25">
      <c r="B2014">
        <v>1.5567</v>
      </c>
      <c r="C2014">
        <v>290</v>
      </c>
      <c r="D2014">
        <v>44</v>
      </c>
      <c r="E2014">
        <v>9.3986E-2</v>
      </c>
      <c r="F2014">
        <v>10.64</v>
      </c>
      <c r="G2014">
        <v>768.37</v>
      </c>
      <c r="H2014">
        <v>1.5567</v>
      </c>
    </row>
    <row r="2015" spans="2:8" x14ac:dyDescent="0.25">
      <c r="B2015">
        <v>1.5604</v>
      </c>
      <c r="C2015">
        <v>295</v>
      </c>
      <c r="D2015">
        <v>44</v>
      </c>
      <c r="E2015">
        <v>9.3342999999999995E-2</v>
      </c>
      <c r="F2015">
        <v>10.712999999999999</v>
      </c>
      <c r="G2015">
        <v>771.17</v>
      </c>
      <c r="H2015">
        <v>1.5604</v>
      </c>
    </row>
    <row r="2016" spans="2:8" x14ac:dyDescent="0.25">
      <c r="B2016">
        <v>1.5642</v>
      </c>
      <c r="C2016">
        <v>300</v>
      </c>
      <c r="D2016">
        <v>44</v>
      </c>
      <c r="E2016">
        <v>9.2709E-2</v>
      </c>
      <c r="F2016">
        <v>10.786</v>
      </c>
      <c r="G2016">
        <v>773.97</v>
      </c>
      <c r="H2016">
        <v>1.5642</v>
      </c>
    </row>
    <row r="2018" spans="1:8" x14ac:dyDescent="0.25">
      <c r="A2018">
        <v>46</v>
      </c>
      <c r="B2018">
        <v>-2.5499999999999998E-2</v>
      </c>
      <c r="C2018">
        <v>-50</v>
      </c>
      <c r="D2018">
        <v>46</v>
      </c>
      <c r="E2018">
        <v>43.509</v>
      </c>
      <c r="F2018">
        <v>2.2984000000000001E-2</v>
      </c>
      <c r="G2018">
        <v>-10.420999999999999</v>
      </c>
      <c r="H2018">
        <v>-2.5499999999999998E-2</v>
      </c>
    </row>
    <row r="2019" spans="1:8" x14ac:dyDescent="0.25">
      <c r="B2019">
        <v>-1.2769000000000001E-2</v>
      </c>
      <c r="C2019">
        <v>-45</v>
      </c>
      <c r="D2019">
        <v>46</v>
      </c>
      <c r="E2019">
        <v>43.301000000000002</v>
      </c>
      <c r="F2019">
        <v>2.3094E-2</v>
      </c>
      <c r="G2019">
        <v>-5.1742999999999997</v>
      </c>
      <c r="H2019">
        <v>-1.2769000000000001E-2</v>
      </c>
    </row>
    <row r="2020" spans="1:8" x14ac:dyDescent="0.25">
      <c r="B2020">
        <v>-1.4954000000000001E-4</v>
      </c>
      <c r="C2020">
        <v>-40</v>
      </c>
      <c r="D2020">
        <v>46</v>
      </c>
      <c r="E2020">
        <v>43.091999999999999</v>
      </c>
      <c r="F2020">
        <v>2.3206000000000001E-2</v>
      </c>
      <c r="G2020">
        <v>9.0245000000000006E-2</v>
      </c>
      <c r="H2020">
        <v>-1.4954000000000001E-4</v>
      </c>
    </row>
    <row r="2021" spans="1:8" x14ac:dyDescent="0.25">
      <c r="B2021">
        <v>1.2362E-2</v>
      </c>
      <c r="C2021">
        <v>-35</v>
      </c>
      <c r="D2021">
        <v>46</v>
      </c>
      <c r="E2021">
        <v>42.88</v>
      </c>
      <c r="F2021">
        <v>2.3321000000000001E-2</v>
      </c>
      <c r="G2021">
        <v>5.3722000000000003</v>
      </c>
      <c r="H2021">
        <v>1.2362E-2</v>
      </c>
    </row>
    <row r="2022" spans="1:8" x14ac:dyDescent="0.25">
      <c r="B2022">
        <v>2.4767000000000001E-2</v>
      </c>
      <c r="C2022">
        <v>-30</v>
      </c>
      <c r="D2022">
        <v>46</v>
      </c>
      <c r="E2022">
        <v>42.667000000000002</v>
      </c>
      <c r="F2022">
        <v>2.3436999999999999E-2</v>
      </c>
      <c r="G2022">
        <v>10.670999999999999</v>
      </c>
      <c r="H2022">
        <v>2.4767000000000001E-2</v>
      </c>
    </row>
    <row r="2023" spans="1:8" x14ac:dyDescent="0.25">
      <c r="B2023">
        <v>3.7067000000000003E-2</v>
      </c>
      <c r="C2023">
        <v>-25</v>
      </c>
      <c r="D2023">
        <v>46</v>
      </c>
      <c r="E2023">
        <v>42.451999999999998</v>
      </c>
      <c r="F2023">
        <v>2.3556000000000001E-2</v>
      </c>
      <c r="G2023">
        <v>15.987</v>
      </c>
      <c r="H2023">
        <v>3.7067000000000003E-2</v>
      </c>
    </row>
    <row r="2024" spans="1:8" x14ac:dyDescent="0.25">
      <c r="B2024">
        <v>4.9265000000000003E-2</v>
      </c>
      <c r="C2024">
        <v>-20</v>
      </c>
      <c r="D2024">
        <v>46</v>
      </c>
      <c r="E2024">
        <v>42.234999999999999</v>
      </c>
      <c r="F2024">
        <v>2.3677E-2</v>
      </c>
      <c r="G2024">
        <v>21.318999999999999</v>
      </c>
      <c r="H2024">
        <v>4.9265000000000003E-2</v>
      </c>
    </row>
    <row r="2025" spans="1:8" x14ac:dyDescent="0.25">
      <c r="B2025">
        <v>6.1363000000000001E-2</v>
      </c>
      <c r="C2025">
        <v>-15</v>
      </c>
      <c r="D2025">
        <v>46</v>
      </c>
      <c r="E2025">
        <v>42.015999999999998</v>
      </c>
      <c r="F2025">
        <v>2.3800000000000002E-2</v>
      </c>
      <c r="G2025">
        <v>26.669</v>
      </c>
      <c r="H2025">
        <v>6.1363000000000001E-2</v>
      </c>
    </row>
    <row r="2026" spans="1:8" x14ac:dyDescent="0.25">
      <c r="B2026">
        <v>7.3360999999999996E-2</v>
      </c>
      <c r="C2026">
        <v>-10</v>
      </c>
      <c r="D2026">
        <v>46</v>
      </c>
      <c r="E2026">
        <v>41.795000000000002</v>
      </c>
      <c r="F2026">
        <v>2.3925999999999999E-2</v>
      </c>
      <c r="G2026">
        <v>32.033999999999999</v>
      </c>
      <c r="H2026">
        <v>7.3360999999999996E-2</v>
      </c>
    </row>
    <row r="2027" spans="1:8" x14ac:dyDescent="0.25">
      <c r="B2027">
        <v>8.5264000000000006E-2</v>
      </c>
      <c r="C2027">
        <v>-5</v>
      </c>
      <c r="D2027">
        <v>46</v>
      </c>
      <c r="E2027">
        <v>41.572000000000003</v>
      </c>
      <c r="F2027">
        <v>2.4053999999999999E-2</v>
      </c>
      <c r="G2027">
        <v>37.415999999999997</v>
      </c>
      <c r="H2027">
        <v>8.5264000000000006E-2</v>
      </c>
    </row>
    <row r="2028" spans="1:8" x14ac:dyDescent="0.25">
      <c r="B2028">
        <v>9.7072000000000006E-2</v>
      </c>
      <c r="C2028">
        <v>0</v>
      </c>
      <c r="D2028">
        <v>46</v>
      </c>
      <c r="E2028">
        <v>41.347999999999999</v>
      </c>
      <c r="F2028">
        <v>2.4185000000000002E-2</v>
      </c>
      <c r="G2028">
        <v>42.814</v>
      </c>
      <c r="H2028">
        <v>9.7072000000000006E-2</v>
      </c>
    </row>
    <row r="2029" spans="1:8" x14ac:dyDescent="0.25">
      <c r="B2029">
        <v>0.10879</v>
      </c>
      <c r="C2029">
        <v>5</v>
      </c>
      <c r="D2029">
        <v>46</v>
      </c>
      <c r="E2029">
        <v>41.121000000000002</v>
      </c>
      <c r="F2029">
        <v>2.4319E-2</v>
      </c>
      <c r="G2029">
        <v>48.228999999999999</v>
      </c>
      <c r="H2029">
        <v>0.10879</v>
      </c>
    </row>
    <row r="2030" spans="1:8" x14ac:dyDescent="0.25">
      <c r="B2030">
        <v>0.12041</v>
      </c>
      <c r="C2030">
        <v>10</v>
      </c>
      <c r="D2030">
        <v>46</v>
      </c>
      <c r="E2030">
        <v>40.892000000000003</v>
      </c>
      <c r="F2030">
        <v>2.4455000000000001E-2</v>
      </c>
      <c r="G2030">
        <v>53.66</v>
      </c>
      <c r="H2030">
        <v>0.12041</v>
      </c>
    </row>
    <row r="2031" spans="1:8" x14ac:dyDescent="0.25">
      <c r="B2031">
        <v>0.13195000000000001</v>
      </c>
      <c r="C2031">
        <v>15</v>
      </c>
      <c r="D2031">
        <v>46</v>
      </c>
      <c r="E2031">
        <v>40.661000000000001</v>
      </c>
      <c r="F2031">
        <v>2.4593E-2</v>
      </c>
      <c r="G2031">
        <v>59.109000000000002</v>
      </c>
      <c r="H2031">
        <v>0.13195000000000001</v>
      </c>
    </row>
    <row r="2032" spans="1:8" x14ac:dyDescent="0.25">
      <c r="B2032">
        <v>1.3028999999999999</v>
      </c>
      <c r="C2032">
        <v>20</v>
      </c>
      <c r="D2032">
        <v>46</v>
      </c>
      <c r="E2032">
        <v>0.16109999999999999</v>
      </c>
      <c r="F2032">
        <v>6.2072000000000003</v>
      </c>
      <c r="G2032">
        <v>618.28</v>
      </c>
      <c r="H2032">
        <v>1.3028999999999999</v>
      </c>
    </row>
    <row r="2033" spans="2:8" x14ac:dyDescent="0.25">
      <c r="B2033">
        <v>1.3091999999999999</v>
      </c>
      <c r="C2033">
        <v>25</v>
      </c>
      <c r="D2033">
        <v>46</v>
      </c>
      <c r="E2033">
        <v>0.159</v>
      </c>
      <c r="F2033">
        <v>6.2892000000000001</v>
      </c>
      <c r="G2033">
        <v>621.32000000000005</v>
      </c>
      <c r="H2033">
        <v>1.3091999999999999</v>
      </c>
    </row>
    <row r="2034" spans="2:8" x14ac:dyDescent="0.25">
      <c r="B2034">
        <v>1.3152999999999999</v>
      </c>
      <c r="C2034">
        <v>30</v>
      </c>
      <c r="D2034">
        <v>46</v>
      </c>
      <c r="E2034">
        <v>0.15698000000000001</v>
      </c>
      <c r="F2034">
        <v>6.3703000000000003</v>
      </c>
      <c r="G2034">
        <v>624.32000000000005</v>
      </c>
      <c r="H2034">
        <v>1.3152999999999999</v>
      </c>
    </row>
    <row r="2035" spans="2:8" x14ac:dyDescent="0.25">
      <c r="B2035">
        <v>1.3212999999999999</v>
      </c>
      <c r="C2035">
        <v>35</v>
      </c>
      <c r="D2035">
        <v>46</v>
      </c>
      <c r="E2035">
        <v>0.15501999999999999</v>
      </c>
      <c r="F2035">
        <v>6.4507000000000003</v>
      </c>
      <c r="G2035">
        <v>627.28</v>
      </c>
      <c r="H2035">
        <v>1.3212999999999999</v>
      </c>
    </row>
    <row r="2036" spans="2:8" x14ac:dyDescent="0.25">
      <c r="B2036">
        <v>1.3272999999999999</v>
      </c>
      <c r="C2036">
        <v>40</v>
      </c>
      <c r="D2036">
        <v>46</v>
      </c>
      <c r="E2036">
        <v>0.15312999999999999</v>
      </c>
      <c r="F2036">
        <v>6.5303000000000004</v>
      </c>
      <c r="G2036">
        <v>630.22</v>
      </c>
      <c r="H2036">
        <v>1.3272999999999999</v>
      </c>
    </row>
    <row r="2037" spans="2:8" x14ac:dyDescent="0.25">
      <c r="B2037">
        <v>1.333</v>
      </c>
      <c r="C2037">
        <v>45</v>
      </c>
      <c r="D2037">
        <v>46</v>
      </c>
      <c r="E2037">
        <v>0.15129999999999999</v>
      </c>
      <c r="F2037">
        <v>6.6093999999999999</v>
      </c>
      <c r="G2037">
        <v>633.13</v>
      </c>
      <c r="H2037">
        <v>1.333</v>
      </c>
    </row>
    <row r="2038" spans="2:8" x14ac:dyDescent="0.25">
      <c r="B2038">
        <v>1.3387</v>
      </c>
      <c r="C2038">
        <v>50</v>
      </c>
      <c r="D2038">
        <v>46</v>
      </c>
      <c r="E2038">
        <v>0.14953</v>
      </c>
      <c r="F2038">
        <v>6.6878000000000002</v>
      </c>
      <c r="G2038">
        <v>636.02</v>
      </c>
      <c r="H2038">
        <v>1.3387</v>
      </c>
    </row>
    <row r="2039" spans="2:8" x14ac:dyDescent="0.25">
      <c r="B2039">
        <v>1.3443000000000001</v>
      </c>
      <c r="C2039">
        <v>55</v>
      </c>
      <c r="D2039">
        <v>46</v>
      </c>
      <c r="E2039">
        <v>0.14779999999999999</v>
      </c>
      <c r="F2039">
        <v>6.7657999999999996</v>
      </c>
      <c r="G2039">
        <v>638.89</v>
      </c>
      <c r="H2039">
        <v>1.3443000000000001</v>
      </c>
    </row>
    <row r="2040" spans="2:8" x14ac:dyDescent="0.25">
      <c r="B2040">
        <v>1.3498000000000001</v>
      </c>
      <c r="C2040">
        <v>60</v>
      </c>
      <c r="D2040">
        <v>46</v>
      </c>
      <c r="E2040">
        <v>0.14613000000000001</v>
      </c>
      <c r="F2040">
        <v>6.8432000000000004</v>
      </c>
      <c r="G2040">
        <v>641.73</v>
      </c>
      <c r="H2040">
        <v>1.3498000000000001</v>
      </c>
    </row>
    <row r="2041" spans="2:8" x14ac:dyDescent="0.25">
      <c r="B2041">
        <v>1.3552999999999999</v>
      </c>
      <c r="C2041">
        <v>65</v>
      </c>
      <c r="D2041">
        <v>46</v>
      </c>
      <c r="E2041">
        <v>0.14451</v>
      </c>
      <c r="F2041">
        <v>6.9202000000000004</v>
      </c>
      <c r="G2041">
        <v>644.57000000000005</v>
      </c>
      <c r="H2041">
        <v>1.3552999999999999</v>
      </c>
    </row>
    <row r="2042" spans="2:8" x14ac:dyDescent="0.25">
      <c r="B2042">
        <v>1.3606</v>
      </c>
      <c r="C2042">
        <v>70</v>
      </c>
      <c r="D2042">
        <v>46</v>
      </c>
      <c r="E2042">
        <v>0.14291999999999999</v>
      </c>
      <c r="F2042">
        <v>6.9966999999999997</v>
      </c>
      <c r="G2042">
        <v>647.38</v>
      </c>
      <c r="H2042">
        <v>1.3606</v>
      </c>
    </row>
    <row r="2043" spans="2:8" x14ac:dyDescent="0.25">
      <c r="B2043">
        <v>1.3658999999999999</v>
      </c>
      <c r="C2043">
        <v>75</v>
      </c>
      <c r="D2043">
        <v>46</v>
      </c>
      <c r="E2043">
        <v>0.14138999999999999</v>
      </c>
      <c r="F2043">
        <v>7.0728999999999997</v>
      </c>
      <c r="G2043">
        <v>650.17999999999995</v>
      </c>
      <c r="H2043">
        <v>1.3658999999999999</v>
      </c>
    </row>
    <row r="2044" spans="2:8" x14ac:dyDescent="0.25">
      <c r="B2044">
        <v>1.3711</v>
      </c>
      <c r="C2044">
        <v>80</v>
      </c>
      <c r="D2044">
        <v>46</v>
      </c>
      <c r="E2044">
        <v>0.13988999999999999</v>
      </c>
      <c r="F2044">
        <v>7.1486000000000001</v>
      </c>
      <c r="G2044">
        <v>652.97</v>
      </c>
      <c r="H2044">
        <v>1.3711</v>
      </c>
    </row>
    <row r="2045" spans="2:8" x14ac:dyDescent="0.25">
      <c r="B2045">
        <v>1.3762000000000001</v>
      </c>
      <c r="C2045">
        <v>85</v>
      </c>
      <c r="D2045">
        <v>46</v>
      </c>
      <c r="E2045">
        <v>0.13843</v>
      </c>
      <c r="F2045">
        <v>7.2241</v>
      </c>
      <c r="G2045">
        <v>655.75</v>
      </c>
      <c r="H2045">
        <v>1.3762000000000001</v>
      </c>
    </row>
    <row r="2046" spans="2:8" x14ac:dyDescent="0.25">
      <c r="B2046">
        <v>1.3813</v>
      </c>
      <c r="C2046">
        <v>90</v>
      </c>
      <c r="D2046">
        <v>46</v>
      </c>
      <c r="E2046">
        <v>0.13700000000000001</v>
      </c>
      <c r="F2046">
        <v>7.2991999999999999</v>
      </c>
      <c r="G2046">
        <v>658.52</v>
      </c>
      <c r="H2046">
        <v>1.3813</v>
      </c>
    </row>
    <row r="2047" spans="2:8" x14ac:dyDescent="0.25">
      <c r="B2047">
        <v>1.3863000000000001</v>
      </c>
      <c r="C2047">
        <v>95</v>
      </c>
      <c r="D2047">
        <v>46</v>
      </c>
      <c r="E2047">
        <v>0.13561000000000001</v>
      </c>
      <c r="F2047">
        <v>7.3739999999999997</v>
      </c>
      <c r="G2047">
        <v>661.28</v>
      </c>
      <c r="H2047">
        <v>1.3863000000000001</v>
      </c>
    </row>
    <row r="2048" spans="2:8" x14ac:dyDescent="0.25">
      <c r="B2048">
        <v>1.3912</v>
      </c>
      <c r="C2048">
        <v>100</v>
      </c>
      <c r="D2048">
        <v>46</v>
      </c>
      <c r="E2048">
        <v>0.13425000000000001</v>
      </c>
      <c r="F2048">
        <v>7.4485999999999999</v>
      </c>
      <c r="G2048">
        <v>664.04</v>
      </c>
      <c r="H2048">
        <v>1.3912</v>
      </c>
    </row>
    <row r="2049" spans="2:8" x14ac:dyDescent="0.25">
      <c r="B2049">
        <v>1.3960999999999999</v>
      </c>
      <c r="C2049">
        <v>105</v>
      </c>
      <c r="D2049">
        <v>46</v>
      </c>
      <c r="E2049">
        <v>0.13292999999999999</v>
      </c>
      <c r="F2049">
        <v>7.5228999999999999</v>
      </c>
      <c r="G2049">
        <v>666.78</v>
      </c>
      <c r="H2049">
        <v>1.3960999999999999</v>
      </c>
    </row>
    <row r="2050" spans="2:8" x14ac:dyDescent="0.25">
      <c r="B2050">
        <v>1.4009</v>
      </c>
      <c r="C2050">
        <v>110</v>
      </c>
      <c r="D2050">
        <v>46</v>
      </c>
      <c r="E2050">
        <v>0.13163</v>
      </c>
      <c r="F2050">
        <v>7.5968999999999998</v>
      </c>
      <c r="G2050">
        <v>669.53</v>
      </c>
      <c r="H2050">
        <v>1.4009</v>
      </c>
    </row>
    <row r="2051" spans="2:8" x14ac:dyDescent="0.25">
      <c r="B2051">
        <v>1.4056999999999999</v>
      </c>
      <c r="C2051">
        <v>115</v>
      </c>
      <c r="D2051">
        <v>46</v>
      </c>
      <c r="E2051">
        <v>0.13037000000000001</v>
      </c>
      <c r="F2051">
        <v>7.6707000000000001</v>
      </c>
      <c r="G2051">
        <v>672.26</v>
      </c>
      <c r="H2051">
        <v>1.4056999999999999</v>
      </c>
    </row>
    <row r="2052" spans="2:8" x14ac:dyDescent="0.25">
      <c r="B2052">
        <v>1.4104000000000001</v>
      </c>
      <c r="C2052">
        <v>120</v>
      </c>
      <c r="D2052">
        <v>46</v>
      </c>
      <c r="E2052">
        <v>0.12912999999999999</v>
      </c>
      <c r="F2052">
        <v>7.7443</v>
      </c>
      <c r="G2052">
        <v>674.99</v>
      </c>
      <c r="H2052">
        <v>1.4104000000000001</v>
      </c>
    </row>
    <row r="2053" spans="2:8" x14ac:dyDescent="0.25">
      <c r="B2053">
        <v>1.4151</v>
      </c>
      <c r="C2053">
        <v>125</v>
      </c>
      <c r="D2053">
        <v>46</v>
      </c>
      <c r="E2053">
        <v>0.12791</v>
      </c>
      <c r="F2053">
        <v>7.8177000000000003</v>
      </c>
      <c r="G2053">
        <v>677.72</v>
      </c>
      <c r="H2053">
        <v>1.4151</v>
      </c>
    </row>
    <row r="2054" spans="2:8" x14ac:dyDescent="0.25">
      <c r="B2054">
        <v>1.4198</v>
      </c>
      <c r="C2054">
        <v>130</v>
      </c>
      <c r="D2054">
        <v>46</v>
      </c>
      <c r="E2054">
        <v>0.12673000000000001</v>
      </c>
      <c r="F2054">
        <v>7.8909000000000002</v>
      </c>
      <c r="G2054">
        <v>680.45</v>
      </c>
      <c r="H2054">
        <v>1.4198</v>
      </c>
    </row>
    <row r="2055" spans="2:8" x14ac:dyDescent="0.25">
      <c r="B2055">
        <v>1.4244000000000001</v>
      </c>
      <c r="C2055">
        <v>135</v>
      </c>
      <c r="D2055">
        <v>46</v>
      </c>
      <c r="E2055">
        <v>0.12556999999999999</v>
      </c>
      <c r="F2055">
        <v>7.9638999999999998</v>
      </c>
      <c r="G2055">
        <v>683.17</v>
      </c>
      <c r="H2055">
        <v>1.4244000000000001</v>
      </c>
    </row>
    <row r="2056" spans="2:8" x14ac:dyDescent="0.25">
      <c r="B2056">
        <v>1.4289000000000001</v>
      </c>
      <c r="C2056">
        <v>140</v>
      </c>
      <c r="D2056">
        <v>46</v>
      </c>
      <c r="E2056">
        <v>0.12443</v>
      </c>
      <c r="F2056">
        <v>8.0367999999999995</v>
      </c>
      <c r="G2056">
        <v>685.89</v>
      </c>
      <c r="H2056">
        <v>1.4289000000000001</v>
      </c>
    </row>
    <row r="2057" spans="2:8" x14ac:dyDescent="0.25">
      <c r="B2057">
        <v>1.4334</v>
      </c>
      <c r="C2057">
        <v>145</v>
      </c>
      <c r="D2057">
        <v>46</v>
      </c>
      <c r="E2057">
        <v>0.12331</v>
      </c>
      <c r="F2057">
        <v>8.1095000000000006</v>
      </c>
      <c r="G2057">
        <v>688.61</v>
      </c>
      <c r="H2057">
        <v>1.4334</v>
      </c>
    </row>
    <row r="2058" spans="2:8" x14ac:dyDescent="0.25">
      <c r="B2058">
        <v>1.4379</v>
      </c>
      <c r="C2058">
        <v>150</v>
      </c>
      <c r="D2058">
        <v>46</v>
      </c>
      <c r="E2058">
        <v>0.12222</v>
      </c>
      <c r="F2058">
        <v>8.1820000000000004</v>
      </c>
      <c r="G2058">
        <v>691.33</v>
      </c>
      <c r="H2058">
        <v>1.4379</v>
      </c>
    </row>
    <row r="2059" spans="2:8" x14ac:dyDescent="0.25">
      <c r="B2059">
        <v>1.4422999999999999</v>
      </c>
      <c r="C2059">
        <v>155</v>
      </c>
      <c r="D2059">
        <v>46</v>
      </c>
      <c r="E2059">
        <v>0.12114999999999999</v>
      </c>
      <c r="F2059">
        <v>8.2544000000000004</v>
      </c>
      <c r="G2059">
        <v>694.04</v>
      </c>
      <c r="H2059">
        <v>1.4422999999999999</v>
      </c>
    </row>
    <row r="2060" spans="2:8" x14ac:dyDescent="0.25">
      <c r="B2060">
        <v>1.4468000000000001</v>
      </c>
      <c r="C2060">
        <v>160</v>
      </c>
      <c r="D2060">
        <v>46</v>
      </c>
      <c r="E2060">
        <v>0.1201</v>
      </c>
      <c r="F2060">
        <v>8.3265999999999991</v>
      </c>
      <c r="G2060">
        <v>696.76</v>
      </c>
      <c r="H2060">
        <v>1.4468000000000001</v>
      </c>
    </row>
    <row r="2061" spans="2:8" x14ac:dyDescent="0.25">
      <c r="B2061">
        <v>1.4511000000000001</v>
      </c>
      <c r="C2061">
        <v>165</v>
      </c>
      <c r="D2061">
        <v>46</v>
      </c>
      <c r="E2061">
        <v>0.11907</v>
      </c>
      <c r="F2061">
        <v>8.3987999999999996</v>
      </c>
      <c r="G2061">
        <v>699.48</v>
      </c>
      <c r="H2061">
        <v>1.4511000000000001</v>
      </c>
    </row>
    <row r="2062" spans="2:8" x14ac:dyDescent="0.25">
      <c r="B2062">
        <v>1.4555</v>
      </c>
      <c r="C2062">
        <v>170</v>
      </c>
      <c r="D2062">
        <v>46</v>
      </c>
      <c r="E2062">
        <v>0.11805</v>
      </c>
      <c r="F2062">
        <v>8.4708000000000006</v>
      </c>
      <c r="G2062">
        <v>702.2</v>
      </c>
      <c r="H2062">
        <v>1.4555</v>
      </c>
    </row>
    <row r="2063" spans="2:8" x14ac:dyDescent="0.25">
      <c r="B2063">
        <v>1.4598</v>
      </c>
      <c r="C2063">
        <v>175</v>
      </c>
      <c r="D2063">
        <v>46</v>
      </c>
      <c r="E2063">
        <v>0.11706</v>
      </c>
      <c r="F2063">
        <v>8.5426000000000002</v>
      </c>
      <c r="G2063">
        <v>704.92</v>
      </c>
      <c r="H2063">
        <v>1.4598</v>
      </c>
    </row>
    <row r="2064" spans="2:8" x14ac:dyDescent="0.25">
      <c r="B2064">
        <v>1.464</v>
      </c>
      <c r="C2064">
        <v>180</v>
      </c>
      <c r="D2064">
        <v>46</v>
      </c>
      <c r="E2064">
        <v>0.11608</v>
      </c>
      <c r="F2064">
        <v>8.6143999999999998</v>
      </c>
      <c r="G2064">
        <v>707.64</v>
      </c>
      <c r="H2064">
        <v>1.464</v>
      </c>
    </row>
    <row r="2065" spans="2:8" x14ac:dyDescent="0.25">
      <c r="B2065">
        <v>1.4682999999999999</v>
      </c>
      <c r="C2065">
        <v>185</v>
      </c>
      <c r="D2065">
        <v>46</v>
      </c>
      <c r="E2065">
        <v>0.11513</v>
      </c>
      <c r="F2065">
        <v>8.6860999999999997</v>
      </c>
      <c r="G2065">
        <v>710.36</v>
      </c>
      <c r="H2065">
        <v>1.4682999999999999</v>
      </c>
    </row>
    <row r="2066" spans="2:8" x14ac:dyDescent="0.25">
      <c r="B2066">
        <v>1.4724999999999999</v>
      </c>
      <c r="C2066">
        <v>190</v>
      </c>
      <c r="D2066">
        <v>46</v>
      </c>
      <c r="E2066">
        <v>0.11419</v>
      </c>
      <c r="F2066">
        <v>8.7576000000000001</v>
      </c>
      <c r="G2066">
        <v>713.08</v>
      </c>
      <c r="H2066">
        <v>1.4724999999999999</v>
      </c>
    </row>
    <row r="2067" spans="2:8" x14ac:dyDescent="0.25">
      <c r="B2067">
        <v>1.4765999999999999</v>
      </c>
      <c r="C2067">
        <v>195</v>
      </c>
      <c r="D2067">
        <v>46</v>
      </c>
      <c r="E2067">
        <v>0.11326</v>
      </c>
      <c r="F2067">
        <v>8.8291000000000004</v>
      </c>
      <c r="G2067">
        <v>715.81</v>
      </c>
      <c r="H2067">
        <v>1.4765999999999999</v>
      </c>
    </row>
    <row r="2068" spans="2:8" x14ac:dyDescent="0.25">
      <c r="B2068">
        <v>1.4807999999999999</v>
      </c>
      <c r="C2068">
        <v>200</v>
      </c>
      <c r="D2068">
        <v>46</v>
      </c>
      <c r="E2068">
        <v>0.11235000000000001</v>
      </c>
      <c r="F2068">
        <v>8.9004999999999992</v>
      </c>
      <c r="G2068">
        <v>718.53</v>
      </c>
      <c r="H2068">
        <v>1.4807999999999999</v>
      </c>
    </row>
    <row r="2069" spans="2:8" x14ac:dyDescent="0.25">
      <c r="B2069">
        <v>1.4849000000000001</v>
      </c>
      <c r="C2069">
        <v>205</v>
      </c>
      <c r="D2069">
        <v>46</v>
      </c>
      <c r="E2069">
        <v>0.11146</v>
      </c>
      <c r="F2069">
        <v>8.9717000000000002</v>
      </c>
      <c r="G2069">
        <v>721.26</v>
      </c>
      <c r="H2069">
        <v>1.4849000000000001</v>
      </c>
    </row>
    <row r="2070" spans="2:8" x14ac:dyDescent="0.25">
      <c r="B2070">
        <v>1.4890000000000001</v>
      </c>
      <c r="C2070">
        <v>210</v>
      </c>
      <c r="D2070">
        <v>46</v>
      </c>
      <c r="E2070">
        <v>0.11058</v>
      </c>
      <c r="F2070">
        <v>9.0428999999999995</v>
      </c>
      <c r="G2070">
        <v>724</v>
      </c>
      <c r="H2070">
        <v>1.4890000000000001</v>
      </c>
    </row>
    <row r="2071" spans="2:8" x14ac:dyDescent="0.25">
      <c r="B2071">
        <v>1.4931000000000001</v>
      </c>
      <c r="C2071">
        <v>215</v>
      </c>
      <c r="D2071">
        <v>46</v>
      </c>
      <c r="E2071">
        <v>0.10972</v>
      </c>
      <c r="F2071">
        <v>9.1140000000000008</v>
      </c>
      <c r="G2071">
        <v>726.73</v>
      </c>
      <c r="H2071">
        <v>1.4931000000000001</v>
      </c>
    </row>
    <row r="2072" spans="2:8" x14ac:dyDescent="0.25">
      <c r="B2072">
        <v>1.4971000000000001</v>
      </c>
      <c r="C2072">
        <v>220</v>
      </c>
      <c r="D2072">
        <v>46</v>
      </c>
      <c r="E2072">
        <v>0.10886999999999999</v>
      </c>
      <c r="F2072">
        <v>9.1851000000000003</v>
      </c>
      <c r="G2072">
        <v>729.47</v>
      </c>
      <c r="H2072">
        <v>1.4971000000000001</v>
      </c>
    </row>
    <row r="2073" spans="2:8" x14ac:dyDescent="0.25">
      <c r="B2073">
        <v>1.5012000000000001</v>
      </c>
      <c r="C2073">
        <v>225</v>
      </c>
      <c r="D2073">
        <v>46</v>
      </c>
      <c r="E2073">
        <v>0.10804</v>
      </c>
      <c r="F2073">
        <v>9.2560000000000002</v>
      </c>
      <c r="G2073">
        <v>732.21</v>
      </c>
      <c r="H2073">
        <v>1.5012000000000001</v>
      </c>
    </row>
    <row r="2074" spans="2:8" x14ac:dyDescent="0.25">
      <c r="B2074">
        <v>1.5052000000000001</v>
      </c>
      <c r="C2074">
        <v>230</v>
      </c>
      <c r="D2074">
        <v>46</v>
      </c>
      <c r="E2074">
        <v>0.10722</v>
      </c>
      <c r="F2074">
        <v>9.3269000000000002</v>
      </c>
      <c r="G2074">
        <v>734.96</v>
      </c>
      <c r="H2074">
        <v>1.5052000000000001</v>
      </c>
    </row>
    <row r="2075" spans="2:8" x14ac:dyDescent="0.25">
      <c r="B2075">
        <v>1.5091000000000001</v>
      </c>
      <c r="C2075">
        <v>235</v>
      </c>
      <c r="D2075">
        <v>46</v>
      </c>
      <c r="E2075">
        <v>0.10641</v>
      </c>
      <c r="F2075">
        <v>9.3978000000000002</v>
      </c>
      <c r="G2075">
        <v>737.71</v>
      </c>
      <c r="H2075">
        <v>1.5091000000000001</v>
      </c>
    </row>
    <row r="2076" spans="2:8" x14ac:dyDescent="0.25">
      <c r="B2076">
        <v>1.5130999999999999</v>
      </c>
      <c r="C2076">
        <v>240</v>
      </c>
      <c r="D2076">
        <v>46</v>
      </c>
      <c r="E2076">
        <v>0.10561</v>
      </c>
      <c r="F2076">
        <v>9.4685000000000006</v>
      </c>
      <c r="G2076">
        <v>740.46</v>
      </c>
      <c r="H2076">
        <v>1.5130999999999999</v>
      </c>
    </row>
    <row r="2077" spans="2:8" x14ac:dyDescent="0.25">
      <c r="B2077">
        <v>1.5169999999999999</v>
      </c>
      <c r="C2077">
        <v>245</v>
      </c>
      <c r="D2077">
        <v>46</v>
      </c>
      <c r="E2077">
        <v>0.10483000000000001</v>
      </c>
      <c r="F2077">
        <v>9.5391999999999992</v>
      </c>
      <c r="G2077">
        <v>743.22</v>
      </c>
      <c r="H2077">
        <v>1.5169999999999999</v>
      </c>
    </row>
    <row r="2078" spans="2:8" x14ac:dyDescent="0.25">
      <c r="B2078">
        <v>1.5208999999999999</v>
      </c>
      <c r="C2078">
        <v>250</v>
      </c>
      <c r="D2078">
        <v>46</v>
      </c>
      <c r="E2078">
        <v>0.10406</v>
      </c>
      <c r="F2078">
        <v>9.6097999999999999</v>
      </c>
      <c r="G2078">
        <v>745.98</v>
      </c>
      <c r="H2078">
        <v>1.5208999999999999</v>
      </c>
    </row>
    <row r="2079" spans="2:8" x14ac:dyDescent="0.25">
      <c r="B2079">
        <v>1.5247999999999999</v>
      </c>
      <c r="C2079">
        <v>255</v>
      </c>
      <c r="D2079">
        <v>46</v>
      </c>
      <c r="E2079">
        <v>0.1033</v>
      </c>
      <c r="F2079">
        <v>9.6804000000000006</v>
      </c>
      <c r="G2079">
        <v>748.75</v>
      </c>
      <c r="H2079">
        <v>1.5247999999999999</v>
      </c>
    </row>
    <row r="2080" spans="2:8" x14ac:dyDescent="0.25">
      <c r="B2080">
        <v>1.5286999999999999</v>
      </c>
      <c r="C2080">
        <v>260</v>
      </c>
      <c r="D2080">
        <v>46</v>
      </c>
      <c r="E2080">
        <v>0.10255</v>
      </c>
      <c r="F2080">
        <v>9.7509999999999994</v>
      </c>
      <c r="G2080">
        <v>751.52</v>
      </c>
      <c r="H2080">
        <v>1.5286999999999999</v>
      </c>
    </row>
    <row r="2081" spans="1:8" x14ac:dyDescent="0.25">
      <c r="B2081">
        <v>1.5325</v>
      </c>
      <c r="C2081">
        <v>265</v>
      </c>
      <c r="D2081">
        <v>46</v>
      </c>
      <c r="E2081">
        <v>0.10181999999999999</v>
      </c>
      <c r="F2081">
        <v>9.8214000000000006</v>
      </c>
      <c r="G2081">
        <v>754.29</v>
      </c>
      <c r="H2081">
        <v>1.5325</v>
      </c>
    </row>
    <row r="2082" spans="1:8" x14ac:dyDescent="0.25">
      <c r="B2082">
        <v>1.5363</v>
      </c>
      <c r="C2082">
        <v>270</v>
      </c>
      <c r="D2082">
        <v>46</v>
      </c>
      <c r="E2082">
        <v>0.10109</v>
      </c>
      <c r="F2082">
        <v>9.8917999999999999</v>
      </c>
      <c r="G2082">
        <v>757.07</v>
      </c>
      <c r="H2082">
        <v>1.5363</v>
      </c>
    </row>
    <row r="2083" spans="1:8" x14ac:dyDescent="0.25">
      <c r="B2083">
        <v>1.5401</v>
      </c>
      <c r="C2083">
        <v>275</v>
      </c>
      <c r="D2083">
        <v>46</v>
      </c>
      <c r="E2083">
        <v>0.10038</v>
      </c>
      <c r="F2083">
        <v>9.9621999999999993</v>
      </c>
      <c r="G2083">
        <v>759.86</v>
      </c>
      <c r="H2083">
        <v>1.5401</v>
      </c>
    </row>
    <row r="2084" spans="1:8" x14ac:dyDescent="0.25">
      <c r="B2084">
        <v>1.5439000000000001</v>
      </c>
      <c r="C2084">
        <v>280</v>
      </c>
      <c r="D2084">
        <v>46</v>
      </c>
      <c r="E2084">
        <v>9.9676000000000001E-2</v>
      </c>
      <c r="F2084">
        <v>10.032999999999999</v>
      </c>
      <c r="G2084">
        <v>762.64</v>
      </c>
      <c r="H2084">
        <v>1.5439000000000001</v>
      </c>
    </row>
    <row r="2085" spans="1:8" x14ac:dyDescent="0.25">
      <c r="B2085">
        <v>1.5477000000000001</v>
      </c>
      <c r="C2085">
        <v>285</v>
      </c>
      <c r="D2085">
        <v>46</v>
      </c>
      <c r="E2085">
        <v>9.8982000000000001E-2</v>
      </c>
      <c r="F2085">
        <v>10.103</v>
      </c>
      <c r="G2085">
        <v>765.44</v>
      </c>
      <c r="H2085">
        <v>1.5477000000000001</v>
      </c>
    </row>
    <row r="2086" spans="1:8" x14ac:dyDescent="0.25">
      <c r="B2086">
        <v>1.5513999999999999</v>
      </c>
      <c r="C2086">
        <v>290</v>
      </c>
      <c r="D2086">
        <v>46</v>
      </c>
      <c r="E2086">
        <v>9.8298999999999997E-2</v>
      </c>
      <c r="F2086">
        <v>10.173</v>
      </c>
      <c r="G2086">
        <v>768.24</v>
      </c>
      <c r="H2086">
        <v>1.5513999999999999</v>
      </c>
    </row>
    <row r="2087" spans="1:8" x14ac:dyDescent="0.25">
      <c r="B2087">
        <v>1.5550999999999999</v>
      </c>
      <c r="C2087">
        <v>295</v>
      </c>
      <c r="D2087">
        <v>46</v>
      </c>
      <c r="E2087">
        <v>9.7626000000000004E-2</v>
      </c>
      <c r="F2087">
        <v>10.243</v>
      </c>
      <c r="G2087">
        <v>771.04</v>
      </c>
      <c r="H2087">
        <v>1.5550999999999999</v>
      </c>
    </row>
    <row r="2088" spans="1:8" x14ac:dyDescent="0.25">
      <c r="B2088">
        <v>1.5588</v>
      </c>
      <c r="C2088">
        <v>300</v>
      </c>
      <c r="D2088">
        <v>46</v>
      </c>
      <c r="E2088">
        <v>9.6962000000000007E-2</v>
      </c>
      <c r="F2088">
        <v>10.313000000000001</v>
      </c>
      <c r="G2088">
        <v>773.85</v>
      </c>
      <c r="H2088">
        <v>1.5588</v>
      </c>
    </row>
    <row r="2090" spans="1:8" x14ac:dyDescent="0.25">
      <c r="A2090">
        <v>48.1</v>
      </c>
      <c r="B2090">
        <v>-2.5507999999999999E-2</v>
      </c>
      <c r="C2090">
        <v>-50</v>
      </c>
      <c r="D2090">
        <v>48.1</v>
      </c>
      <c r="E2090">
        <v>43.509</v>
      </c>
      <c r="F2090">
        <v>2.2984000000000001E-2</v>
      </c>
      <c r="G2090">
        <v>-10.416</v>
      </c>
      <c r="H2090">
        <v>-2.5507999999999999E-2</v>
      </c>
    </row>
    <row r="2091" spans="1:8" x14ac:dyDescent="0.25">
      <c r="B2091">
        <v>-1.2777999999999999E-2</v>
      </c>
      <c r="C2091">
        <v>-45</v>
      </c>
      <c r="D2091">
        <v>48.1</v>
      </c>
      <c r="E2091">
        <v>43.302</v>
      </c>
      <c r="F2091">
        <v>2.3094E-2</v>
      </c>
      <c r="G2091">
        <v>-5.1688999999999998</v>
      </c>
      <c r="H2091">
        <v>-1.2777999999999999E-2</v>
      </c>
    </row>
    <row r="2092" spans="1:8" x14ac:dyDescent="0.25">
      <c r="B2092">
        <v>-1.5835E-4</v>
      </c>
      <c r="C2092">
        <v>-40</v>
      </c>
      <c r="D2092">
        <v>48.1</v>
      </c>
      <c r="E2092">
        <v>43.091999999999999</v>
      </c>
      <c r="F2092">
        <v>2.3206000000000001E-2</v>
      </c>
      <c r="G2092">
        <v>9.5570000000000002E-2</v>
      </c>
      <c r="H2092">
        <v>-1.5835E-4</v>
      </c>
    </row>
    <row r="2093" spans="1:8" x14ac:dyDescent="0.25">
      <c r="B2093">
        <v>1.2352999999999999E-2</v>
      </c>
      <c r="C2093">
        <v>-35</v>
      </c>
      <c r="D2093">
        <v>48.1</v>
      </c>
      <c r="E2093">
        <v>42.881</v>
      </c>
      <c r="F2093">
        <v>2.332E-2</v>
      </c>
      <c r="G2093">
        <v>5.3773999999999997</v>
      </c>
      <c r="H2093">
        <v>1.2352999999999999E-2</v>
      </c>
    </row>
    <row r="2094" spans="1:8" x14ac:dyDescent="0.25">
      <c r="B2094">
        <v>2.4757999999999999E-2</v>
      </c>
      <c r="C2094">
        <v>-30</v>
      </c>
      <c r="D2094">
        <v>48.1</v>
      </c>
      <c r="E2094">
        <v>42.667999999999999</v>
      </c>
      <c r="F2094">
        <v>2.3436999999999999E-2</v>
      </c>
      <c r="G2094">
        <v>10.676</v>
      </c>
      <c r="H2094">
        <v>2.4757999999999999E-2</v>
      </c>
    </row>
    <row r="2095" spans="1:8" x14ac:dyDescent="0.25">
      <c r="B2095">
        <v>3.7058000000000001E-2</v>
      </c>
      <c r="C2095">
        <v>-25</v>
      </c>
      <c r="D2095">
        <v>48.1</v>
      </c>
      <c r="E2095">
        <v>42.451999999999998</v>
      </c>
      <c r="F2095">
        <v>2.3556000000000001E-2</v>
      </c>
      <c r="G2095">
        <v>15.992000000000001</v>
      </c>
      <c r="H2095">
        <v>3.7058000000000001E-2</v>
      </c>
    </row>
    <row r="2096" spans="1:8" x14ac:dyDescent="0.25">
      <c r="B2096">
        <v>4.9256000000000001E-2</v>
      </c>
      <c r="C2096">
        <v>-20</v>
      </c>
      <c r="D2096">
        <v>48.1</v>
      </c>
      <c r="E2096">
        <v>42.234999999999999</v>
      </c>
      <c r="F2096">
        <v>2.3677E-2</v>
      </c>
      <c r="G2096">
        <v>21.324999999999999</v>
      </c>
      <c r="H2096">
        <v>4.9256000000000001E-2</v>
      </c>
    </row>
    <row r="2097" spans="2:8" x14ac:dyDescent="0.25">
      <c r="B2097">
        <v>6.1352999999999998E-2</v>
      </c>
      <c r="C2097">
        <v>-15</v>
      </c>
      <c r="D2097">
        <v>48.1</v>
      </c>
      <c r="E2097">
        <v>42.015999999999998</v>
      </c>
      <c r="F2097">
        <v>2.3800000000000002E-2</v>
      </c>
      <c r="G2097">
        <v>26.672999999999998</v>
      </c>
      <c r="H2097">
        <v>6.1352999999999998E-2</v>
      </c>
    </row>
    <row r="2098" spans="2:8" x14ac:dyDescent="0.25">
      <c r="B2098">
        <v>7.3351E-2</v>
      </c>
      <c r="C2098">
        <v>-10</v>
      </c>
      <c r="D2098">
        <v>48.1</v>
      </c>
      <c r="E2098">
        <v>41.795999999999999</v>
      </c>
      <c r="F2098">
        <v>2.3925999999999999E-2</v>
      </c>
      <c r="G2098">
        <v>32.039000000000001</v>
      </c>
      <c r="H2098">
        <v>7.3351E-2</v>
      </c>
    </row>
    <row r="2099" spans="2:8" x14ac:dyDescent="0.25">
      <c r="B2099">
        <v>8.5253999999999996E-2</v>
      </c>
      <c r="C2099">
        <v>-5</v>
      </c>
      <c r="D2099">
        <v>48.1</v>
      </c>
      <c r="E2099">
        <v>41.573</v>
      </c>
      <c r="F2099">
        <v>2.4053999999999999E-2</v>
      </c>
      <c r="G2099">
        <v>37.420999999999999</v>
      </c>
      <c r="H2099">
        <v>8.5253999999999996E-2</v>
      </c>
    </row>
    <row r="2100" spans="2:8" x14ac:dyDescent="0.25">
      <c r="B2100">
        <v>9.7060999999999995E-2</v>
      </c>
      <c r="C2100">
        <v>0</v>
      </c>
      <c r="D2100">
        <v>48.1</v>
      </c>
      <c r="E2100">
        <v>41.347999999999999</v>
      </c>
      <c r="F2100">
        <v>2.4185000000000002E-2</v>
      </c>
      <c r="G2100">
        <v>42.819000000000003</v>
      </c>
      <c r="H2100">
        <v>9.7060999999999995E-2</v>
      </c>
    </row>
    <row r="2101" spans="2:8" x14ac:dyDescent="0.25">
      <c r="B2101">
        <v>0.10878</v>
      </c>
      <c r="C2101">
        <v>5</v>
      </c>
      <c r="D2101">
        <v>48.1</v>
      </c>
      <c r="E2101">
        <v>41.121000000000002</v>
      </c>
      <c r="F2101">
        <v>2.4317999999999999E-2</v>
      </c>
      <c r="G2101">
        <v>48.232999999999997</v>
      </c>
      <c r="H2101">
        <v>0.10878</v>
      </c>
    </row>
    <row r="2102" spans="2:8" x14ac:dyDescent="0.25">
      <c r="B2102">
        <v>0.12039999999999999</v>
      </c>
      <c r="C2102">
        <v>10</v>
      </c>
      <c r="D2102">
        <v>48.1</v>
      </c>
      <c r="E2102">
        <v>40.893000000000001</v>
      </c>
      <c r="F2102">
        <v>2.4454E-2</v>
      </c>
      <c r="G2102">
        <v>53.664999999999999</v>
      </c>
      <c r="H2102">
        <v>0.12039999999999999</v>
      </c>
    </row>
    <row r="2103" spans="2:8" x14ac:dyDescent="0.25">
      <c r="B2103">
        <v>0.13194</v>
      </c>
      <c r="C2103">
        <v>15</v>
      </c>
      <c r="D2103">
        <v>48.1</v>
      </c>
      <c r="E2103">
        <v>40.661999999999999</v>
      </c>
      <c r="F2103">
        <v>2.4593E-2</v>
      </c>
      <c r="G2103">
        <v>59.113</v>
      </c>
      <c r="H2103">
        <v>0.13194</v>
      </c>
    </row>
    <row r="2104" spans="2:8" x14ac:dyDescent="0.25">
      <c r="B2104">
        <v>1.2966</v>
      </c>
      <c r="C2104">
        <v>20</v>
      </c>
      <c r="D2104">
        <v>48.1</v>
      </c>
      <c r="E2104">
        <v>0.16894999999999999</v>
      </c>
      <c r="F2104">
        <v>5.9189999999999996</v>
      </c>
      <c r="G2104">
        <v>617.62</v>
      </c>
      <c r="H2104">
        <v>1.2966</v>
      </c>
    </row>
    <row r="2105" spans="2:8" x14ac:dyDescent="0.25">
      <c r="B2105">
        <v>1.3028999999999999</v>
      </c>
      <c r="C2105">
        <v>25</v>
      </c>
      <c r="D2105">
        <v>48.1</v>
      </c>
      <c r="E2105">
        <v>0.16672000000000001</v>
      </c>
      <c r="F2105">
        <v>5.9981</v>
      </c>
      <c r="G2105">
        <v>620.69000000000005</v>
      </c>
      <c r="H2105">
        <v>1.3028999999999999</v>
      </c>
    </row>
    <row r="2106" spans="2:8" x14ac:dyDescent="0.25">
      <c r="B2106">
        <v>1.3091999999999999</v>
      </c>
      <c r="C2106">
        <v>30</v>
      </c>
      <c r="D2106">
        <v>48.1</v>
      </c>
      <c r="E2106">
        <v>0.16456999999999999</v>
      </c>
      <c r="F2106">
        <v>6.0763999999999996</v>
      </c>
      <c r="G2106">
        <v>623.72</v>
      </c>
      <c r="H2106">
        <v>1.3091999999999999</v>
      </c>
    </row>
    <row r="2107" spans="2:8" x14ac:dyDescent="0.25">
      <c r="B2107">
        <v>1.3151999999999999</v>
      </c>
      <c r="C2107">
        <v>35</v>
      </c>
      <c r="D2107">
        <v>48.1</v>
      </c>
      <c r="E2107">
        <v>0.16250000000000001</v>
      </c>
      <c r="F2107">
        <v>6.1539000000000001</v>
      </c>
      <c r="G2107">
        <v>626.71</v>
      </c>
      <c r="H2107">
        <v>1.3151999999999999</v>
      </c>
    </row>
    <row r="2108" spans="2:8" x14ac:dyDescent="0.25">
      <c r="B2108">
        <v>1.3211999999999999</v>
      </c>
      <c r="C2108">
        <v>40</v>
      </c>
      <c r="D2108">
        <v>48.1</v>
      </c>
      <c r="E2108">
        <v>0.1605</v>
      </c>
      <c r="F2108">
        <v>6.2306999999999997</v>
      </c>
      <c r="G2108">
        <v>629.66999999999996</v>
      </c>
      <c r="H2108">
        <v>1.3211999999999999</v>
      </c>
    </row>
    <row r="2109" spans="2:8" x14ac:dyDescent="0.25">
      <c r="B2109">
        <v>1.327</v>
      </c>
      <c r="C2109">
        <v>45</v>
      </c>
      <c r="D2109">
        <v>48.1</v>
      </c>
      <c r="E2109">
        <v>0.15856000000000001</v>
      </c>
      <c r="F2109">
        <v>6.3068</v>
      </c>
      <c r="G2109">
        <v>632.61</v>
      </c>
      <c r="H2109">
        <v>1.327</v>
      </c>
    </row>
    <row r="2110" spans="2:8" x14ac:dyDescent="0.25">
      <c r="B2110">
        <v>1.3328</v>
      </c>
      <c r="C2110">
        <v>50</v>
      </c>
      <c r="D2110">
        <v>48.1</v>
      </c>
      <c r="E2110">
        <v>0.15668000000000001</v>
      </c>
      <c r="F2110">
        <v>6.3822999999999999</v>
      </c>
      <c r="G2110">
        <v>635.52</v>
      </c>
      <c r="H2110">
        <v>1.3328</v>
      </c>
    </row>
    <row r="2111" spans="2:8" x14ac:dyDescent="0.25">
      <c r="B2111">
        <v>1.3384</v>
      </c>
      <c r="C2111">
        <v>55</v>
      </c>
      <c r="D2111">
        <v>48.1</v>
      </c>
      <c r="E2111">
        <v>0.15486</v>
      </c>
      <c r="F2111">
        <v>6.4573</v>
      </c>
      <c r="G2111">
        <v>638.41</v>
      </c>
      <c r="H2111">
        <v>1.3384</v>
      </c>
    </row>
    <row r="2112" spans="2:8" x14ac:dyDescent="0.25">
      <c r="B2112">
        <v>1.3440000000000001</v>
      </c>
      <c r="C2112">
        <v>60</v>
      </c>
      <c r="D2112">
        <v>48.1</v>
      </c>
      <c r="E2112">
        <v>0.15310000000000001</v>
      </c>
      <c r="F2112">
        <v>6.5317999999999996</v>
      </c>
      <c r="G2112">
        <v>641.27</v>
      </c>
      <c r="H2112">
        <v>1.3440000000000001</v>
      </c>
    </row>
    <row r="2113" spans="2:8" x14ac:dyDescent="0.25">
      <c r="B2113">
        <v>1.3493999999999999</v>
      </c>
      <c r="C2113">
        <v>65</v>
      </c>
      <c r="D2113">
        <v>48.1</v>
      </c>
      <c r="E2113">
        <v>0.15137999999999999</v>
      </c>
      <c r="F2113">
        <v>6.6059000000000001</v>
      </c>
      <c r="G2113">
        <v>644.12</v>
      </c>
      <c r="H2113">
        <v>1.3493999999999999</v>
      </c>
    </row>
    <row r="2114" spans="2:8" x14ac:dyDescent="0.25">
      <c r="B2114">
        <v>1.3548</v>
      </c>
      <c r="C2114">
        <v>70</v>
      </c>
      <c r="D2114">
        <v>48.1</v>
      </c>
      <c r="E2114">
        <v>0.14971000000000001</v>
      </c>
      <c r="F2114">
        <v>6.6794000000000002</v>
      </c>
      <c r="G2114">
        <v>646.96</v>
      </c>
      <c r="H2114">
        <v>1.3548</v>
      </c>
    </row>
    <row r="2115" spans="2:8" x14ac:dyDescent="0.25">
      <c r="B2115">
        <v>1.3601000000000001</v>
      </c>
      <c r="C2115">
        <v>75</v>
      </c>
      <c r="D2115">
        <v>48.1</v>
      </c>
      <c r="E2115">
        <v>0.14809</v>
      </c>
      <c r="F2115">
        <v>6.7526000000000002</v>
      </c>
      <c r="G2115">
        <v>649.77</v>
      </c>
      <c r="H2115">
        <v>1.3601000000000001</v>
      </c>
    </row>
    <row r="2116" spans="2:8" x14ac:dyDescent="0.25">
      <c r="B2116">
        <v>1.3653</v>
      </c>
      <c r="C2116">
        <v>80</v>
      </c>
      <c r="D2116">
        <v>48.1</v>
      </c>
      <c r="E2116">
        <v>0.14651</v>
      </c>
      <c r="F2116">
        <v>6.8254999999999999</v>
      </c>
      <c r="G2116">
        <v>652.58000000000004</v>
      </c>
      <c r="H2116">
        <v>1.3653</v>
      </c>
    </row>
    <row r="2117" spans="2:8" x14ac:dyDescent="0.25">
      <c r="B2117">
        <v>1.3705000000000001</v>
      </c>
      <c r="C2117">
        <v>85</v>
      </c>
      <c r="D2117">
        <v>48.1</v>
      </c>
      <c r="E2117">
        <v>0.14496999999999999</v>
      </c>
      <c r="F2117">
        <v>6.8979999999999997</v>
      </c>
      <c r="G2117">
        <v>655.37</v>
      </c>
      <c r="H2117">
        <v>1.3705000000000001</v>
      </c>
    </row>
    <row r="2118" spans="2:8" x14ac:dyDescent="0.25">
      <c r="B2118">
        <v>1.3754999999999999</v>
      </c>
      <c r="C2118">
        <v>90</v>
      </c>
      <c r="D2118">
        <v>48.1</v>
      </c>
      <c r="E2118">
        <v>0.14346999999999999</v>
      </c>
      <c r="F2118">
        <v>6.9701000000000004</v>
      </c>
      <c r="G2118">
        <v>658.16</v>
      </c>
      <c r="H2118">
        <v>1.3754999999999999</v>
      </c>
    </row>
    <row r="2119" spans="2:8" x14ac:dyDescent="0.25">
      <c r="B2119">
        <v>1.3806</v>
      </c>
      <c r="C2119">
        <v>95</v>
      </c>
      <c r="D2119">
        <v>48.1</v>
      </c>
      <c r="E2119">
        <v>0.14201</v>
      </c>
      <c r="F2119">
        <v>7.0419999999999998</v>
      </c>
      <c r="G2119">
        <v>660.93</v>
      </c>
      <c r="H2119">
        <v>1.3806</v>
      </c>
    </row>
    <row r="2120" spans="2:8" x14ac:dyDescent="0.25">
      <c r="B2120">
        <v>1.3855</v>
      </c>
      <c r="C2120">
        <v>100</v>
      </c>
      <c r="D2120">
        <v>48.1</v>
      </c>
      <c r="E2120">
        <v>0.14058000000000001</v>
      </c>
      <c r="F2120">
        <v>7.1135999999999999</v>
      </c>
      <c r="G2120">
        <v>663.69</v>
      </c>
      <c r="H2120">
        <v>1.3855</v>
      </c>
    </row>
    <row r="2121" spans="2:8" x14ac:dyDescent="0.25">
      <c r="B2121">
        <v>1.3904000000000001</v>
      </c>
      <c r="C2121">
        <v>105</v>
      </c>
      <c r="D2121">
        <v>48.1</v>
      </c>
      <c r="E2121">
        <v>0.13918</v>
      </c>
      <c r="F2121">
        <v>7.1848999999999998</v>
      </c>
      <c r="G2121">
        <v>666.45</v>
      </c>
      <c r="H2121">
        <v>1.3904000000000001</v>
      </c>
    </row>
    <row r="2122" spans="2:8" x14ac:dyDescent="0.25">
      <c r="B2122">
        <v>1.3953</v>
      </c>
      <c r="C2122">
        <v>110</v>
      </c>
      <c r="D2122">
        <v>48.1</v>
      </c>
      <c r="E2122">
        <v>0.13782</v>
      </c>
      <c r="F2122">
        <v>7.2560000000000002</v>
      </c>
      <c r="G2122">
        <v>669.2</v>
      </c>
      <c r="H2122">
        <v>1.3953</v>
      </c>
    </row>
    <row r="2123" spans="2:8" x14ac:dyDescent="0.25">
      <c r="B2123">
        <v>1.4000999999999999</v>
      </c>
      <c r="C2123">
        <v>115</v>
      </c>
      <c r="D2123">
        <v>48.1</v>
      </c>
      <c r="E2123">
        <v>0.13649</v>
      </c>
      <c r="F2123">
        <v>7.3268000000000004</v>
      </c>
      <c r="G2123">
        <v>671.95</v>
      </c>
      <c r="H2123">
        <v>1.4000999999999999</v>
      </c>
    </row>
    <row r="2124" spans="2:8" x14ac:dyDescent="0.25">
      <c r="B2124">
        <v>1.4048</v>
      </c>
      <c r="C2124">
        <v>120</v>
      </c>
      <c r="D2124">
        <v>48.1</v>
      </c>
      <c r="E2124">
        <v>0.13517999999999999</v>
      </c>
      <c r="F2124">
        <v>7.3974000000000002</v>
      </c>
      <c r="G2124">
        <v>674.69</v>
      </c>
      <c r="H2124">
        <v>1.4048</v>
      </c>
    </row>
    <row r="2125" spans="2:8" x14ac:dyDescent="0.25">
      <c r="B2125">
        <v>1.4095</v>
      </c>
      <c r="C2125">
        <v>125</v>
      </c>
      <c r="D2125">
        <v>48.1</v>
      </c>
      <c r="E2125">
        <v>0.13391</v>
      </c>
      <c r="F2125">
        <v>7.4678000000000004</v>
      </c>
      <c r="G2125">
        <v>677.43</v>
      </c>
      <c r="H2125">
        <v>1.4095</v>
      </c>
    </row>
    <row r="2126" spans="2:8" x14ac:dyDescent="0.25">
      <c r="B2126">
        <v>1.4141999999999999</v>
      </c>
      <c r="C2126">
        <v>130</v>
      </c>
      <c r="D2126">
        <v>48.1</v>
      </c>
      <c r="E2126">
        <v>0.13266</v>
      </c>
      <c r="F2126">
        <v>7.5381</v>
      </c>
      <c r="G2126">
        <v>680.16</v>
      </c>
      <c r="H2126">
        <v>1.4141999999999999</v>
      </c>
    </row>
    <row r="2127" spans="2:8" x14ac:dyDescent="0.25">
      <c r="B2127">
        <v>1.4188000000000001</v>
      </c>
      <c r="C2127">
        <v>135</v>
      </c>
      <c r="D2127">
        <v>48.1</v>
      </c>
      <c r="E2127">
        <v>0.13144</v>
      </c>
      <c r="F2127">
        <v>7.6081000000000003</v>
      </c>
      <c r="G2127">
        <v>682.89</v>
      </c>
      <c r="H2127">
        <v>1.4188000000000001</v>
      </c>
    </row>
    <row r="2128" spans="2:8" x14ac:dyDescent="0.25">
      <c r="B2128">
        <v>1.4234</v>
      </c>
      <c r="C2128">
        <v>140</v>
      </c>
      <c r="D2128">
        <v>48.1</v>
      </c>
      <c r="E2128">
        <v>0.13023999999999999</v>
      </c>
      <c r="F2128">
        <v>7.6779999999999999</v>
      </c>
      <c r="G2128">
        <v>685.62</v>
      </c>
      <c r="H2128">
        <v>1.4234</v>
      </c>
    </row>
    <row r="2129" spans="2:8" x14ac:dyDescent="0.25">
      <c r="B2129">
        <v>1.4278999999999999</v>
      </c>
      <c r="C2129">
        <v>145</v>
      </c>
      <c r="D2129">
        <v>48.1</v>
      </c>
      <c r="E2129">
        <v>0.12906999999999999</v>
      </c>
      <c r="F2129">
        <v>7.7477</v>
      </c>
      <c r="G2129">
        <v>688.35</v>
      </c>
      <c r="H2129">
        <v>1.4278999999999999</v>
      </c>
    </row>
    <row r="2130" spans="2:8" x14ac:dyDescent="0.25">
      <c r="B2130">
        <v>1.4323999999999999</v>
      </c>
      <c r="C2130">
        <v>150</v>
      </c>
      <c r="D2130">
        <v>48.1</v>
      </c>
      <c r="E2130">
        <v>0.12792000000000001</v>
      </c>
      <c r="F2130">
        <v>7.8171999999999997</v>
      </c>
      <c r="G2130">
        <v>691.07</v>
      </c>
      <c r="H2130">
        <v>1.4323999999999999</v>
      </c>
    </row>
    <row r="2131" spans="2:8" x14ac:dyDescent="0.25">
      <c r="B2131">
        <v>1.4368000000000001</v>
      </c>
      <c r="C2131">
        <v>155</v>
      </c>
      <c r="D2131">
        <v>48.1</v>
      </c>
      <c r="E2131">
        <v>0.1268</v>
      </c>
      <c r="F2131">
        <v>7.8865999999999996</v>
      </c>
      <c r="G2131">
        <v>693.8</v>
      </c>
      <c r="H2131">
        <v>1.4368000000000001</v>
      </c>
    </row>
    <row r="2132" spans="2:8" x14ac:dyDescent="0.25">
      <c r="B2132">
        <v>1.4413</v>
      </c>
      <c r="C2132">
        <v>160</v>
      </c>
      <c r="D2132">
        <v>48.1</v>
      </c>
      <c r="E2132">
        <v>0.12569</v>
      </c>
      <c r="F2132">
        <v>7.9558999999999997</v>
      </c>
      <c r="G2132">
        <v>696.52</v>
      </c>
      <c r="H2132">
        <v>1.4413</v>
      </c>
    </row>
    <row r="2133" spans="2:8" x14ac:dyDescent="0.25">
      <c r="B2133">
        <v>1.4456</v>
      </c>
      <c r="C2133">
        <v>165</v>
      </c>
      <c r="D2133">
        <v>48.1</v>
      </c>
      <c r="E2133">
        <v>0.12461</v>
      </c>
      <c r="F2133">
        <v>8.0250000000000004</v>
      </c>
      <c r="G2133">
        <v>699.24</v>
      </c>
      <c r="H2133">
        <v>1.4456</v>
      </c>
    </row>
    <row r="2134" spans="2:8" x14ac:dyDescent="0.25">
      <c r="B2134">
        <v>1.45</v>
      </c>
      <c r="C2134">
        <v>170</v>
      </c>
      <c r="D2134">
        <v>48.1</v>
      </c>
      <c r="E2134">
        <v>0.12354999999999999</v>
      </c>
      <c r="F2134">
        <v>8.0940999999999992</v>
      </c>
      <c r="G2134">
        <v>701.97</v>
      </c>
      <c r="H2134">
        <v>1.45</v>
      </c>
    </row>
    <row r="2135" spans="2:8" x14ac:dyDescent="0.25">
      <c r="B2135">
        <v>1.4542999999999999</v>
      </c>
      <c r="C2135">
        <v>175</v>
      </c>
      <c r="D2135">
        <v>48.1</v>
      </c>
      <c r="E2135">
        <v>0.1225</v>
      </c>
      <c r="F2135">
        <v>8.1630000000000003</v>
      </c>
      <c r="G2135">
        <v>704.69</v>
      </c>
      <c r="H2135">
        <v>1.4542999999999999</v>
      </c>
    </row>
    <row r="2136" spans="2:8" x14ac:dyDescent="0.25">
      <c r="B2136">
        <v>1.4585999999999999</v>
      </c>
      <c r="C2136">
        <v>180</v>
      </c>
      <c r="D2136">
        <v>48.1</v>
      </c>
      <c r="E2136">
        <v>0.12148</v>
      </c>
      <c r="F2136">
        <v>8.2317</v>
      </c>
      <c r="G2136">
        <v>707.42</v>
      </c>
      <c r="H2136">
        <v>1.4585999999999999</v>
      </c>
    </row>
    <row r="2137" spans="2:8" x14ac:dyDescent="0.25">
      <c r="B2137">
        <v>1.4628000000000001</v>
      </c>
      <c r="C2137">
        <v>185</v>
      </c>
      <c r="D2137">
        <v>48.1</v>
      </c>
      <c r="E2137">
        <v>0.12048</v>
      </c>
      <c r="F2137">
        <v>8.3003999999999998</v>
      </c>
      <c r="G2137">
        <v>710.14</v>
      </c>
      <c r="H2137">
        <v>1.4628000000000001</v>
      </c>
    </row>
    <row r="2138" spans="2:8" x14ac:dyDescent="0.25">
      <c r="B2138">
        <v>1.4670000000000001</v>
      </c>
      <c r="C2138">
        <v>190</v>
      </c>
      <c r="D2138">
        <v>48.1</v>
      </c>
      <c r="E2138">
        <v>0.11949</v>
      </c>
      <c r="F2138">
        <v>8.3689999999999998</v>
      </c>
      <c r="G2138">
        <v>712.87</v>
      </c>
      <c r="H2138">
        <v>1.4670000000000001</v>
      </c>
    </row>
    <row r="2139" spans="2:8" x14ac:dyDescent="0.25">
      <c r="B2139">
        <v>1.4712000000000001</v>
      </c>
      <c r="C2139">
        <v>195</v>
      </c>
      <c r="D2139">
        <v>48.1</v>
      </c>
      <c r="E2139">
        <v>0.11852</v>
      </c>
      <c r="F2139">
        <v>8.4375</v>
      </c>
      <c r="G2139">
        <v>715.6</v>
      </c>
      <c r="H2139">
        <v>1.4712000000000001</v>
      </c>
    </row>
    <row r="2140" spans="2:8" x14ac:dyDescent="0.25">
      <c r="B2140">
        <v>1.4754</v>
      </c>
      <c r="C2140">
        <v>200</v>
      </c>
      <c r="D2140">
        <v>48.1</v>
      </c>
      <c r="E2140">
        <v>0.11756999999999999</v>
      </c>
      <c r="F2140">
        <v>8.5058000000000007</v>
      </c>
      <c r="G2140">
        <v>718.34</v>
      </c>
      <c r="H2140">
        <v>1.4754</v>
      </c>
    </row>
    <row r="2141" spans="2:8" x14ac:dyDescent="0.25">
      <c r="B2141">
        <v>1.4795</v>
      </c>
      <c r="C2141">
        <v>205</v>
      </c>
      <c r="D2141">
        <v>48.1</v>
      </c>
      <c r="E2141">
        <v>0.11663</v>
      </c>
      <c r="F2141">
        <v>8.5740999999999996</v>
      </c>
      <c r="G2141">
        <v>721.07</v>
      </c>
      <c r="H2141">
        <v>1.4795</v>
      </c>
    </row>
    <row r="2142" spans="2:8" x14ac:dyDescent="0.25">
      <c r="B2142">
        <v>1.4836</v>
      </c>
      <c r="C2142">
        <v>210</v>
      </c>
      <c r="D2142">
        <v>48.1</v>
      </c>
      <c r="E2142">
        <v>0.11570999999999999</v>
      </c>
      <c r="F2142">
        <v>8.6423000000000005</v>
      </c>
      <c r="G2142">
        <v>723.81</v>
      </c>
      <c r="H2142">
        <v>1.4836</v>
      </c>
    </row>
    <row r="2143" spans="2:8" x14ac:dyDescent="0.25">
      <c r="B2143">
        <v>1.4877</v>
      </c>
      <c r="C2143">
        <v>215</v>
      </c>
      <c r="D2143">
        <v>48.1</v>
      </c>
      <c r="E2143">
        <v>0.1148</v>
      </c>
      <c r="F2143">
        <v>8.7104999999999997</v>
      </c>
      <c r="G2143">
        <v>726.55</v>
      </c>
      <c r="H2143">
        <v>1.4877</v>
      </c>
    </row>
    <row r="2144" spans="2:8" x14ac:dyDescent="0.25">
      <c r="B2144">
        <v>1.4917</v>
      </c>
      <c r="C2144">
        <v>220</v>
      </c>
      <c r="D2144">
        <v>48.1</v>
      </c>
      <c r="E2144">
        <v>0.11391</v>
      </c>
      <c r="F2144">
        <v>8.7784999999999993</v>
      </c>
      <c r="G2144">
        <v>729.29</v>
      </c>
      <c r="H2144">
        <v>1.4917</v>
      </c>
    </row>
    <row r="2145" spans="2:8" x14ac:dyDescent="0.25">
      <c r="B2145">
        <v>1.4958</v>
      </c>
      <c r="C2145">
        <v>225</v>
      </c>
      <c r="D2145">
        <v>48.1</v>
      </c>
      <c r="E2145">
        <v>0.11304</v>
      </c>
      <c r="F2145">
        <v>8.8465000000000007</v>
      </c>
      <c r="G2145">
        <v>732.04</v>
      </c>
      <c r="H2145">
        <v>1.4958</v>
      </c>
    </row>
    <row r="2146" spans="2:8" x14ac:dyDescent="0.25">
      <c r="B2146">
        <v>1.4998</v>
      </c>
      <c r="C2146">
        <v>230</v>
      </c>
      <c r="D2146">
        <v>48.1</v>
      </c>
      <c r="E2146">
        <v>0.11218</v>
      </c>
      <c r="F2146">
        <v>8.9144000000000005</v>
      </c>
      <c r="G2146">
        <v>734.79</v>
      </c>
      <c r="H2146">
        <v>1.4998</v>
      </c>
    </row>
    <row r="2147" spans="2:8" x14ac:dyDescent="0.25">
      <c r="B2147">
        <v>1.5037</v>
      </c>
      <c r="C2147">
        <v>235</v>
      </c>
      <c r="D2147">
        <v>48.1</v>
      </c>
      <c r="E2147">
        <v>0.11133</v>
      </c>
      <c r="F2147">
        <v>8.9822000000000006</v>
      </c>
      <c r="G2147">
        <v>737.54</v>
      </c>
      <c r="H2147">
        <v>1.5037</v>
      </c>
    </row>
    <row r="2148" spans="2:8" x14ac:dyDescent="0.25">
      <c r="B2148">
        <v>1.5077</v>
      </c>
      <c r="C2148">
        <v>240</v>
      </c>
      <c r="D2148">
        <v>48.1</v>
      </c>
      <c r="E2148">
        <v>0.1105</v>
      </c>
      <c r="F2148">
        <v>9.0500000000000007</v>
      </c>
      <c r="G2148">
        <v>740.3</v>
      </c>
      <c r="H2148">
        <v>1.5077</v>
      </c>
    </row>
    <row r="2149" spans="2:8" x14ac:dyDescent="0.25">
      <c r="B2149">
        <v>1.5116000000000001</v>
      </c>
      <c r="C2149">
        <v>245</v>
      </c>
      <c r="D2149">
        <v>48.1</v>
      </c>
      <c r="E2149">
        <v>0.10968</v>
      </c>
      <c r="F2149">
        <v>9.1176999999999992</v>
      </c>
      <c r="G2149">
        <v>743.06</v>
      </c>
      <c r="H2149">
        <v>1.5116000000000001</v>
      </c>
    </row>
    <row r="2150" spans="2:8" x14ac:dyDescent="0.25">
      <c r="B2150">
        <v>1.5155000000000001</v>
      </c>
      <c r="C2150">
        <v>250</v>
      </c>
      <c r="D2150">
        <v>48.1</v>
      </c>
      <c r="E2150">
        <v>0.10886999999999999</v>
      </c>
      <c r="F2150">
        <v>9.1853999999999996</v>
      </c>
      <c r="G2150">
        <v>745.82</v>
      </c>
      <c r="H2150">
        <v>1.5155000000000001</v>
      </c>
    </row>
    <row r="2151" spans="2:8" x14ac:dyDescent="0.25">
      <c r="B2151">
        <v>1.5194000000000001</v>
      </c>
      <c r="C2151">
        <v>255</v>
      </c>
      <c r="D2151">
        <v>48.1</v>
      </c>
      <c r="E2151">
        <v>0.10807</v>
      </c>
      <c r="F2151">
        <v>9.2530000000000001</v>
      </c>
      <c r="G2151">
        <v>748.59</v>
      </c>
      <c r="H2151">
        <v>1.5194000000000001</v>
      </c>
    </row>
    <row r="2152" spans="2:8" x14ac:dyDescent="0.25">
      <c r="B2152">
        <v>1.5233000000000001</v>
      </c>
      <c r="C2152">
        <v>260</v>
      </c>
      <c r="D2152">
        <v>48.1</v>
      </c>
      <c r="E2152">
        <v>0.10729</v>
      </c>
      <c r="F2152">
        <v>9.3204999999999991</v>
      </c>
      <c r="G2152">
        <v>751.36</v>
      </c>
      <c r="H2152">
        <v>1.5233000000000001</v>
      </c>
    </row>
    <row r="2153" spans="2:8" x14ac:dyDescent="0.25">
      <c r="B2153">
        <v>1.5270999999999999</v>
      </c>
      <c r="C2153">
        <v>265</v>
      </c>
      <c r="D2153">
        <v>48.1</v>
      </c>
      <c r="E2153">
        <v>0.10652</v>
      </c>
      <c r="F2153">
        <v>9.3879999999999999</v>
      </c>
      <c r="G2153">
        <v>754.14</v>
      </c>
      <c r="H2153">
        <v>1.5270999999999999</v>
      </c>
    </row>
    <row r="2154" spans="2:8" x14ac:dyDescent="0.25">
      <c r="B2154">
        <v>1.5309999999999999</v>
      </c>
      <c r="C2154">
        <v>270</v>
      </c>
      <c r="D2154">
        <v>48.1</v>
      </c>
      <c r="E2154">
        <v>0.10576000000000001</v>
      </c>
      <c r="F2154">
        <v>9.4553999999999991</v>
      </c>
      <c r="G2154">
        <v>756.92</v>
      </c>
      <c r="H2154">
        <v>1.5309999999999999</v>
      </c>
    </row>
    <row r="2155" spans="2:8" x14ac:dyDescent="0.25">
      <c r="B2155">
        <v>1.5347999999999999</v>
      </c>
      <c r="C2155">
        <v>275</v>
      </c>
      <c r="D2155">
        <v>48.1</v>
      </c>
      <c r="E2155">
        <v>0.10501000000000001</v>
      </c>
      <c r="F2155">
        <v>9.5228000000000002</v>
      </c>
      <c r="G2155">
        <v>759.71</v>
      </c>
      <c r="H2155">
        <v>1.5347999999999999</v>
      </c>
    </row>
    <row r="2156" spans="2:8" x14ac:dyDescent="0.25">
      <c r="B2156">
        <v>1.5386</v>
      </c>
      <c r="C2156">
        <v>280</v>
      </c>
      <c r="D2156">
        <v>48.1</v>
      </c>
      <c r="E2156">
        <v>0.10427</v>
      </c>
      <c r="F2156">
        <v>9.5900999999999996</v>
      </c>
      <c r="G2156">
        <v>762.5</v>
      </c>
      <c r="H2156">
        <v>1.5386</v>
      </c>
    </row>
    <row r="2157" spans="2:8" x14ac:dyDescent="0.25">
      <c r="B2157">
        <v>1.5423</v>
      </c>
      <c r="C2157">
        <v>285</v>
      </c>
      <c r="D2157">
        <v>48.1</v>
      </c>
      <c r="E2157">
        <v>0.10355</v>
      </c>
      <c r="F2157">
        <v>9.6574000000000009</v>
      </c>
      <c r="G2157">
        <v>765.3</v>
      </c>
      <c r="H2157">
        <v>1.5423</v>
      </c>
    </row>
    <row r="2158" spans="2:8" x14ac:dyDescent="0.25">
      <c r="B2158">
        <v>1.5461</v>
      </c>
      <c r="C2158">
        <v>290</v>
      </c>
      <c r="D2158">
        <v>48.1</v>
      </c>
      <c r="E2158">
        <v>0.10283</v>
      </c>
      <c r="F2158">
        <v>9.7246000000000006</v>
      </c>
      <c r="G2158">
        <v>768.1</v>
      </c>
      <c r="H2158">
        <v>1.5461</v>
      </c>
    </row>
    <row r="2159" spans="2:8" x14ac:dyDescent="0.25">
      <c r="B2159">
        <v>1.5498000000000001</v>
      </c>
      <c r="C2159">
        <v>295</v>
      </c>
      <c r="D2159">
        <v>48.1</v>
      </c>
      <c r="E2159">
        <v>0.10213</v>
      </c>
      <c r="F2159">
        <v>9.7918000000000003</v>
      </c>
      <c r="G2159">
        <v>770.9</v>
      </c>
      <c r="H2159">
        <v>1.5498000000000001</v>
      </c>
    </row>
    <row r="2160" spans="2:8" x14ac:dyDescent="0.25">
      <c r="B2160">
        <v>1.5535000000000001</v>
      </c>
      <c r="C2160">
        <v>300</v>
      </c>
      <c r="D2160">
        <v>48.1</v>
      </c>
      <c r="E2160">
        <v>0.10143000000000001</v>
      </c>
      <c r="F2160">
        <v>9.859</v>
      </c>
      <c r="G2160">
        <v>773.72</v>
      </c>
      <c r="H2160">
        <v>1.5535000000000001</v>
      </c>
    </row>
    <row r="2162" spans="1:8" x14ac:dyDescent="0.25">
      <c r="A2162">
        <v>50.2</v>
      </c>
      <c r="B2162">
        <v>-2.5517000000000001E-2</v>
      </c>
      <c r="C2162">
        <v>-50</v>
      </c>
      <c r="D2162">
        <v>50.2</v>
      </c>
      <c r="E2162">
        <v>43.51</v>
      </c>
      <c r="F2162">
        <v>2.2983E-2</v>
      </c>
      <c r="G2162">
        <v>-10.41</v>
      </c>
      <c r="H2162">
        <v>-2.5517000000000001E-2</v>
      </c>
    </row>
    <row r="2163" spans="1:8" x14ac:dyDescent="0.25">
      <c r="B2163">
        <v>-1.2787E-2</v>
      </c>
      <c r="C2163">
        <v>-45</v>
      </c>
      <c r="D2163">
        <v>50.2</v>
      </c>
      <c r="E2163">
        <v>43.302</v>
      </c>
      <c r="F2163">
        <v>2.3094E-2</v>
      </c>
      <c r="G2163">
        <v>-5.1635</v>
      </c>
      <c r="H2163">
        <v>-1.2787E-2</v>
      </c>
    </row>
    <row r="2164" spans="1:8" x14ac:dyDescent="0.25">
      <c r="B2164">
        <v>-1.6715999999999999E-4</v>
      </c>
      <c r="C2164">
        <v>-40</v>
      </c>
      <c r="D2164">
        <v>50.2</v>
      </c>
      <c r="E2164">
        <v>43.093000000000004</v>
      </c>
      <c r="F2164">
        <v>2.3206000000000001E-2</v>
      </c>
      <c r="G2164">
        <v>0.10088999999999999</v>
      </c>
      <c r="H2164">
        <v>-1.6715999999999999E-4</v>
      </c>
    </row>
    <row r="2165" spans="1:8" x14ac:dyDescent="0.25">
      <c r="B2165">
        <v>1.2344000000000001E-2</v>
      </c>
      <c r="C2165">
        <v>-35</v>
      </c>
      <c r="D2165">
        <v>50.2</v>
      </c>
      <c r="E2165">
        <v>42.881</v>
      </c>
      <c r="F2165">
        <v>2.332E-2</v>
      </c>
      <c r="G2165">
        <v>5.3826999999999998</v>
      </c>
      <c r="H2165">
        <v>1.2344000000000001E-2</v>
      </c>
    </row>
    <row r="2166" spans="1:8" x14ac:dyDescent="0.25">
      <c r="B2166">
        <v>2.4749E-2</v>
      </c>
      <c r="C2166">
        <v>-30</v>
      </c>
      <c r="D2166">
        <v>50.2</v>
      </c>
      <c r="E2166">
        <v>42.667999999999999</v>
      </c>
      <c r="F2166">
        <v>2.3436999999999999E-2</v>
      </c>
      <c r="G2166">
        <v>10.682</v>
      </c>
      <c r="H2166">
        <v>2.4749E-2</v>
      </c>
    </row>
    <row r="2167" spans="1:8" x14ac:dyDescent="0.25">
      <c r="B2167">
        <v>3.7048999999999999E-2</v>
      </c>
      <c r="C2167">
        <v>-25</v>
      </c>
      <c r="D2167">
        <v>50.2</v>
      </c>
      <c r="E2167">
        <v>42.453000000000003</v>
      </c>
      <c r="F2167">
        <v>2.3556000000000001E-2</v>
      </c>
      <c r="G2167">
        <v>15.997</v>
      </c>
      <c r="H2167">
        <v>3.7048999999999999E-2</v>
      </c>
    </row>
    <row r="2168" spans="1:8" x14ac:dyDescent="0.25">
      <c r="B2168">
        <v>4.9245999999999998E-2</v>
      </c>
      <c r="C2168">
        <v>-20</v>
      </c>
      <c r="D2168">
        <v>50.2</v>
      </c>
      <c r="E2168">
        <v>42.235999999999997</v>
      </c>
      <c r="F2168">
        <v>2.3677E-2</v>
      </c>
      <c r="G2168">
        <v>21.33</v>
      </c>
      <c r="H2168">
        <v>4.9245999999999998E-2</v>
      </c>
    </row>
    <row r="2169" spans="1:8" x14ac:dyDescent="0.25">
      <c r="B2169">
        <v>6.1343000000000002E-2</v>
      </c>
      <c r="C2169">
        <v>-15</v>
      </c>
      <c r="D2169">
        <v>50.2</v>
      </c>
      <c r="E2169">
        <v>42.017000000000003</v>
      </c>
      <c r="F2169">
        <v>2.3800000000000002E-2</v>
      </c>
      <c r="G2169">
        <v>26.678000000000001</v>
      </c>
      <c r="H2169">
        <v>6.1343000000000002E-2</v>
      </c>
    </row>
    <row r="2170" spans="1:8" x14ac:dyDescent="0.25">
      <c r="B2170">
        <v>7.3342000000000004E-2</v>
      </c>
      <c r="C2170">
        <v>-10</v>
      </c>
      <c r="D2170">
        <v>50.2</v>
      </c>
      <c r="E2170">
        <v>41.795999999999999</v>
      </c>
      <c r="F2170">
        <v>2.3925999999999999E-2</v>
      </c>
      <c r="G2170">
        <v>32.043999999999997</v>
      </c>
      <c r="H2170">
        <v>7.3342000000000004E-2</v>
      </c>
    </row>
    <row r="2171" spans="1:8" x14ac:dyDescent="0.25">
      <c r="B2171">
        <v>8.5242999999999999E-2</v>
      </c>
      <c r="C2171">
        <v>-5</v>
      </c>
      <c r="D2171">
        <v>50.2</v>
      </c>
      <c r="E2171">
        <v>41.573</v>
      </c>
      <c r="F2171">
        <v>2.4053999999999999E-2</v>
      </c>
      <c r="G2171">
        <v>37.424999999999997</v>
      </c>
      <c r="H2171">
        <v>8.5242999999999999E-2</v>
      </c>
    </row>
    <row r="2172" spans="1:8" x14ac:dyDescent="0.25">
      <c r="B2172">
        <v>9.7050999999999998E-2</v>
      </c>
      <c r="C2172">
        <v>0</v>
      </c>
      <c r="D2172">
        <v>50.2</v>
      </c>
      <c r="E2172">
        <v>41.348999999999997</v>
      </c>
      <c r="F2172">
        <v>2.4185000000000002E-2</v>
      </c>
      <c r="G2172">
        <v>42.823</v>
      </c>
      <c r="H2172">
        <v>9.7050999999999998E-2</v>
      </c>
    </row>
    <row r="2173" spans="1:8" x14ac:dyDescent="0.25">
      <c r="B2173">
        <v>0.10877000000000001</v>
      </c>
      <c r="C2173">
        <v>5</v>
      </c>
      <c r="D2173">
        <v>50.2</v>
      </c>
      <c r="E2173">
        <v>41.122</v>
      </c>
      <c r="F2173">
        <v>2.4317999999999999E-2</v>
      </c>
      <c r="G2173">
        <v>48.238</v>
      </c>
      <c r="H2173">
        <v>0.10877000000000001</v>
      </c>
    </row>
    <row r="2174" spans="1:8" x14ac:dyDescent="0.25">
      <c r="B2174">
        <v>0.12039</v>
      </c>
      <c r="C2174">
        <v>10</v>
      </c>
      <c r="D2174">
        <v>50.2</v>
      </c>
      <c r="E2174">
        <v>40.893000000000001</v>
      </c>
      <c r="F2174">
        <v>2.4454E-2</v>
      </c>
      <c r="G2174">
        <v>53.668999999999997</v>
      </c>
      <c r="H2174">
        <v>0.12039</v>
      </c>
    </row>
    <row r="2175" spans="1:8" x14ac:dyDescent="0.25">
      <c r="B2175">
        <v>0.13192999999999999</v>
      </c>
      <c r="C2175">
        <v>15</v>
      </c>
      <c r="D2175">
        <v>50.2</v>
      </c>
      <c r="E2175">
        <v>40.661999999999999</v>
      </c>
      <c r="F2175">
        <v>2.4593E-2</v>
      </c>
      <c r="G2175">
        <v>59.116999999999997</v>
      </c>
      <c r="H2175">
        <v>0.13192999999999999</v>
      </c>
    </row>
    <row r="2176" spans="1:8" x14ac:dyDescent="0.25">
      <c r="B2176">
        <v>0.14338000000000001</v>
      </c>
      <c r="C2176">
        <v>20</v>
      </c>
      <c r="D2176">
        <v>50.2</v>
      </c>
      <c r="E2176">
        <v>40.429000000000002</v>
      </c>
      <c r="F2176">
        <v>2.4733999999999999E-2</v>
      </c>
      <c r="G2176">
        <v>64.582999999999998</v>
      </c>
      <c r="H2176">
        <v>0.14338000000000001</v>
      </c>
    </row>
    <row r="2177" spans="2:8" x14ac:dyDescent="0.25">
      <c r="B2177">
        <v>1.2968999999999999</v>
      </c>
      <c r="C2177">
        <v>25</v>
      </c>
      <c r="D2177">
        <v>50.2</v>
      </c>
      <c r="E2177">
        <v>0.17448</v>
      </c>
      <c r="F2177">
        <v>5.7313000000000001</v>
      </c>
      <c r="G2177">
        <v>620.04999999999995</v>
      </c>
      <c r="H2177">
        <v>1.2968999999999999</v>
      </c>
    </row>
    <row r="2178" spans="2:8" x14ac:dyDescent="0.25">
      <c r="B2178">
        <v>1.3031999999999999</v>
      </c>
      <c r="C2178">
        <v>30</v>
      </c>
      <c r="D2178">
        <v>50.2</v>
      </c>
      <c r="E2178">
        <v>0.17221</v>
      </c>
      <c r="F2178">
        <v>5.8070000000000004</v>
      </c>
      <c r="G2178">
        <v>623.11</v>
      </c>
      <c r="H2178">
        <v>1.3031999999999999</v>
      </c>
    </row>
    <row r="2179" spans="2:8" x14ac:dyDescent="0.25">
      <c r="B2179">
        <v>1.3092999999999999</v>
      </c>
      <c r="C2179">
        <v>35</v>
      </c>
      <c r="D2179">
        <v>50.2</v>
      </c>
      <c r="E2179">
        <v>0.17002</v>
      </c>
      <c r="F2179">
        <v>5.8818000000000001</v>
      </c>
      <c r="G2179">
        <v>626.13</v>
      </c>
      <c r="H2179">
        <v>1.3092999999999999</v>
      </c>
    </row>
    <row r="2180" spans="2:8" x14ac:dyDescent="0.25">
      <c r="B2180">
        <v>1.3153999999999999</v>
      </c>
      <c r="C2180">
        <v>40</v>
      </c>
      <c r="D2180">
        <v>50.2</v>
      </c>
      <c r="E2180">
        <v>0.16789999999999999</v>
      </c>
      <c r="F2180">
        <v>5.9560000000000004</v>
      </c>
      <c r="G2180">
        <v>629.12</v>
      </c>
      <c r="H2180">
        <v>1.3153999999999999</v>
      </c>
    </row>
    <row r="2181" spans="2:8" x14ac:dyDescent="0.25">
      <c r="B2181">
        <v>1.3211999999999999</v>
      </c>
      <c r="C2181">
        <v>45</v>
      </c>
      <c r="D2181">
        <v>50.2</v>
      </c>
      <c r="E2181">
        <v>0.16585</v>
      </c>
      <c r="F2181">
        <v>6.0293999999999999</v>
      </c>
      <c r="G2181">
        <v>632.08000000000004</v>
      </c>
      <c r="H2181">
        <v>1.3211999999999999</v>
      </c>
    </row>
    <row r="2182" spans="2:8" x14ac:dyDescent="0.25">
      <c r="B2182">
        <v>1.327</v>
      </c>
      <c r="C2182">
        <v>50</v>
      </c>
      <c r="D2182">
        <v>50.2</v>
      </c>
      <c r="E2182">
        <v>0.16386999999999999</v>
      </c>
      <c r="F2182">
        <v>6.1022999999999996</v>
      </c>
      <c r="G2182">
        <v>635.02</v>
      </c>
      <c r="H2182">
        <v>1.327</v>
      </c>
    </row>
    <row r="2183" spans="2:8" x14ac:dyDescent="0.25">
      <c r="B2183">
        <v>1.3327</v>
      </c>
      <c r="C2183">
        <v>55</v>
      </c>
      <c r="D2183">
        <v>50.2</v>
      </c>
      <c r="E2183">
        <v>0.16195000000000001</v>
      </c>
      <c r="F2183">
        <v>6.1745999999999999</v>
      </c>
      <c r="G2183">
        <v>637.91999999999996</v>
      </c>
      <c r="H2183">
        <v>1.3327</v>
      </c>
    </row>
    <row r="2184" spans="2:8" x14ac:dyDescent="0.25">
      <c r="B2184">
        <v>1.3383</v>
      </c>
      <c r="C2184">
        <v>60</v>
      </c>
      <c r="D2184">
        <v>50.2</v>
      </c>
      <c r="E2184">
        <v>0.16009000000000001</v>
      </c>
      <c r="F2184">
        <v>6.2464000000000004</v>
      </c>
      <c r="G2184">
        <v>640.80999999999995</v>
      </c>
      <c r="H2184">
        <v>1.3383</v>
      </c>
    </row>
    <row r="2185" spans="2:8" x14ac:dyDescent="0.25">
      <c r="B2185">
        <v>1.3438000000000001</v>
      </c>
      <c r="C2185">
        <v>65</v>
      </c>
      <c r="D2185">
        <v>50.2</v>
      </c>
      <c r="E2185">
        <v>0.15828</v>
      </c>
      <c r="F2185">
        <v>6.3178000000000001</v>
      </c>
      <c r="G2185">
        <v>643.67999999999995</v>
      </c>
      <c r="H2185">
        <v>1.3438000000000001</v>
      </c>
    </row>
    <row r="2186" spans="2:8" x14ac:dyDescent="0.25">
      <c r="B2186">
        <v>1.3492</v>
      </c>
      <c r="C2186">
        <v>70</v>
      </c>
      <c r="D2186">
        <v>50.2</v>
      </c>
      <c r="E2186">
        <v>0.15653</v>
      </c>
      <c r="F2186">
        <v>6.3887</v>
      </c>
      <c r="G2186">
        <v>646.53</v>
      </c>
      <c r="H2186">
        <v>1.3492</v>
      </c>
    </row>
    <row r="2187" spans="2:8" x14ac:dyDescent="0.25">
      <c r="B2187">
        <v>1.3545</v>
      </c>
      <c r="C2187">
        <v>75</v>
      </c>
      <c r="D2187">
        <v>50.2</v>
      </c>
      <c r="E2187">
        <v>0.15482000000000001</v>
      </c>
      <c r="F2187">
        <v>6.4592000000000001</v>
      </c>
      <c r="G2187">
        <v>649.36</v>
      </c>
      <c r="H2187">
        <v>1.3545</v>
      </c>
    </row>
    <row r="2188" spans="2:8" x14ac:dyDescent="0.25">
      <c r="B2188">
        <v>1.3597999999999999</v>
      </c>
      <c r="C2188">
        <v>80</v>
      </c>
      <c r="D2188">
        <v>50.2</v>
      </c>
      <c r="E2188">
        <v>0.15315999999999999</v>
      </c>
      <c r="F2188">
        <v>6.5293000000000001</v>
      </c>
      <c r="G2188">
        <v>652.17999999999995</v>
      </c>
      <c r="H2188">
        <v>1.3597999999999999</v>
      </c>
    </row>
    <row r="2189" spans="2:8" x14ac:dyDescent="0.25">
      <c r="B2189">
        <v>1.3649</v>
      </c>
      <c r="C2189">
        <v>85</v>
      </c>
      <c r="D2189">
        <v>50.2</v>
      </c>
      <c r="E2189">
        <v>0.15154000000000001</v>
      </c>
      <c r="F2189">
        <v>6.5991</v>
      </c>
      <c r="G2189">
        <v>654.99</v>
      </c>
      <c r="H2189">
        <v>1.3649</v>
      </c>
    </row>
    <row r="2190" spans="2:8" x14ac:dyDescent="0.25">
      <c r="B2190">
        <v>1.3701000000000001</v>
      </c>
      <c r="C2190">
        <v>90</v>
      </c>
      <c r="D2190">
        <v>50.2</v>
      </c>
      <c r="E2190">
        <v>0.14996000000000001</v>
      </c>
      <c r="F2190">
        <v>6.6684999999999999</v>
      </c>
      <c r="G2190">
        <v>657.79</v>
      </c>
      <c r="H2190">
        <v>1.3701000000000001</v>
      </c>
    </row>
    <row r="2191" spans="2:8" x14ac:dyDescent="0.25">
      <c r="B2191">
        <v>1.3751</v>
      </c>
      <c r="C2191">
        <v>95</v>
      </c>
      <c r="D2191">
        <v>50.2</v>
      </c>
      <c r="E2191">
        <v>0.14842</v>
      </c>
      <c r="F2191">
        <v>6.7377000000000002</v>
      </c>
      <c r="G2191">
        <v>660.57</v>
      </c>
      <c r="H2191">
        <v>1.3751</v>
      </c>
    </row>
    <row r="2192" spans="2:8" x14ac:dyDescent="0.25">
      <c r="B2192">
        <v>1.3801000000000001</v>
      </c>
      <c r="C2192">
        <v>100</v>
      </c>
      <c r="D2192">
        <v>50.2</v>
      </c>
      <c r="E2192">
        <v>0.14692</v>
      </c>
      <c r="F2192">
        <v>6.8066000000000004</v>
      </c>
      <c r="G2192">
        <v>663.35</v>
      </c>
      <c r="H2192">
        <v>1.3801000000000001</v>
      </c>
    </row>
    <row r="2193" spans="2:8" x14ac:dyDescent="0.25">
      <c r="B2193">
        <v>1.385</v>
      </c>
      <c r="C2193">
        <v>105</v>
      </c>
      <c r="D2193">
        <v>50.2</v>
      </c>
      <c r="E2193">
        <v>0.14545</v>
      </c>
      <c r="F2193">
        <v>6.8752000000000004</v>
      </c>
      <c r="G2193">
        <v>666.12</v>
      </c>
      <c r="H2193">
        <v>1.385</v>
      </c>
    </row>
    <row r="2194" spans="2:8" x14ac:dyDescent="0.25">
      <c r="B2194">
        <v>1.3898999999999999</v>
      </c>
      <c r="C2194">
        <v>110</v>
      </c>
      <c r="D2194">
        <v>50.2</v>
      </c>
      <c r="E2194">
        <v>0.14402000000000001</v>
      </c>
      <c r="F2194">
        <v>6.9435000000000002</v>
      </c>
      <c r="G2194">
        <v>668.88</v>
      </c>
      <c r="H2194">
        <v>1.3898999999999999</v>
      </c>
    </row>
    <row r="2195" spans="2:8" x14ac:dyDescent="0.25">
      <c r="B2195">
        <v>1.3947000000000001</v>
      </c>
      <c r="C2195">
        <v>115</v>
      </c>
      <c r="D2195">
        <v>50.2</v>
      </c>
      <c r="E2195">
        <v>0.14262</v>
      </c>
      <c r="F2195">
        <v>7.0115999999999996</v>
      </c>
      <c r="G2195">
        <v>671.64</v>
      </c>
      <c r="H2195">
        <v>1.3947000000000001</v>
      </c>
    </row>
    <row r="2196" spans="2:8" x14ac:dyDescent="0.25">
      <c r="B2196">
        <v>1.3995</v>
      </c>
      <c r="C2196">
        <v>120</v>
      </c>
      <c r="D2196">
        <v>50.2</v>
      </c>
      <c r="E2196">
        <v>0.14124999999999999</v>
      </c>
      <c r="F2196">
        <v>7.0795000000000003</v>
      </c>
      <c r="G2196">
        <v>674.39</v>
      </c>
      <c r="H2196">
        <v>1.3995</v>
      </c>
    </row>
    <row r="2197" spans="2:8" x14ac:dyDescent="0.25">
      <c r="B2197">
        <v>1.4041999999999999</v>
      </c>
      <c r="C2197">
        <v>125</v>
      </c>
      <c r="D2197">
        <v>50.2</v>
      </c>
      <c r="E2197">
        <v>0.13991000000000001</v>
      </c>
      <c r="F2197">
        <v>7.1471999999999998</v>
      </c>
      <c r="G2197">
        <v>677.13</v>
      </c>
      <c r="H2197">
        <v>1.4041999999999999</v>
      </c>
    </row>
    <row r="2198" spans="2:8" x14ac:dyDescent="0.25">
      <c r="B2198">
        <v>1.4088000000000001</v>
      </c>
      <c r="C2198">
        <v>130</v>
      </c>
      <c r="D2198">
        <v>50.2</v>
      </c>
      <c r="E2198">
        <v>0.13861000000000001</v>
      </c>
      <c r="F2198">
        <v>7.2146999999999997</v>
      </c>
      <c r="G2198">
        <v>679.88</v>
      </c>
      <c r="H2198">
        <v>1.4088000000000001</v>
      </c>
    </row>
    <row r="2199" spans="2:8" x14ac:dyDescent="0.25">
      <c r="B2199">
        <v>1.4135</v>
      </c>
      <c r="C2199">
        <v>135</v>
      </c>
      <c r="D2199">
        <v>50.2</v>
      </c>
      <c r="E2199">
        <v>0.13732</v>
      </c>
      <c r="F2199">
        <v>7.282</v>
      </c>
      <c r="G2199">
        <v>682.61</v>
      </c>
      <c r="H2199">
        <v>1.4135</v>
      </c>
    </row>
    <row r="2200" spans="2:8" x14ac:dyDescent="0.25">
      <c r="B2200">
        <v>1.4180999999999999</v>
      </c>
      <c r="C2200">
        <v>140</v>
      </c>
      <c r="D2200">
        <v>50.2</v>
      </c>
      <c r="E2200">
        <v>0.13607</v>
      </c>
      <c r="F2200">
        <v>7.3491999999999997</v>
      </c>
      <c r="G2200">
        <v>685.35</v>
      </c>
      <c r="H2200">
        <v>1.4180999999999999</v>
      </c>
    </row>
    <row r="2201" spans="2:8" x14ac:dyDescent="0.25">
      <c r="B2201">
        <v>1.4226000000000001</v>
      </c>
      <c r="C2201">
        <v>145</v>
      </c>
      <c r="D2201">
        <v>50.2</v>
      </c>
      <c r="E2201">
        <v>0.13483999999999999</v>
      </c>
      <c r="F2201">
        <v>7.4161000000000001</v>
      </c>
      <c r="G2201">
        <v>688.08</v>
      </c>
      <c r="H2201">
        <v>1.4226000000000001</v>
      </c>
    </row>
    <row r="2202" spans="2:8" x14ac:dyDescent="0.25">
      <c r="B2202">
        <v>1.4271</v>
      </c>
      <c r="C2202">
        <v>150</v>
      </c>
      <c r="D2202">
        <v>50.2</v>
      </c>
      <c r="E2202">
        <v>0.13364000000000001</v>
      </c>
      <c r="F2202">
        <v>7.4829999999999997</v>
      </c>
      <c r="G2202">
        <v>690.82</v>
      </c>
      <c r="H2202">
        <v>1.4271</v>
      </c>
    </row>
    <row r="2203" spans="2:8" x14ac:dyDescent="0.25">
      <c r="B2203">
        <v>1.4316</v>
      </c>
      <c r="C2203">
        <v>155</v>
      </c>
      <c r="D2203">
        <v>50.2</v>
      </c>
      <c r="E2203">
        <v>0.13245999999999999</v>
      </c>
      <c r="F2203">
        <v>7.5495999999999999</v>
      </c>
      <c r="G2203">
        <v>693.55</v>
      </c>
      <c r="H2203">
        <v>1.4316</v>
      </c>
    </row>
    <row r="2204" spans="2:8" x14ac:dyDescent="0.25">
      <c r="B2204">
        <v>1.4359999999999999</v>
      </c>
      <c r="C2204">
        <v>160</v>
      </c>
      <c r="D2204">
        <v>50.2</v>
      </c>
      <c r="E2204">
        <v>0.1313</v>
      </c>
      <c r="F2204">
        <v>7.6162000000000001</v>
      </c>
      <c r="G2204">
        <v>696.28</v>
      </c>
      <c r="H2204">
        <v>1.4359999999999999</v>
      </c>
    </row>
    <row r="2205" spans="2:8" x14ac:dyDescent="0.25">
      <c r="B2205">
        <v>1.4403999999999999</v>
      </c>
      <c r="C2205">
        <v>165</v>
      </c>
      <c r="D2205">
        <v>50.2</v>
      </c>
      <c r="E2205">
        <v>0.13016</v>
      </c>
      <c r="F2205">
        <v>7.6825999999999999</v>
      </c>
      <c r="G2205">
        <v>699.01</v>
      </c>
      <c r="H2205">
        <v>1.4403999999999999</v>
      </c>
    </row>
    <row r="2206" spans="2:8" x14ac:dyDescent="0.25">
      <c r="B2206">
        <v>1.4447000000000001</v>
      </c>
      <c r="C2206">
        <v>170</v>
      </c>
      <c r="D2206">
        <v>50.2</v>
      </c>
      <c r="E2206">
        <v>0.12905</v>
      </c>
      <c r="F2206">
        <v>7.7488999999999999</v>
      </c>
      <c r="G2206">
        <v>701.74</v>
      </c>
      <c r="H2206">
        <v>1.4447000000000001</v>
      </c>
    </row>
    <row r="2207" spans="2:8" x14ac:dyDescent="0.25">
      <c r="B2207">
        <v>1.4490000000000001</v>
      </c>
      <c r="C2207">
        <v>175</v>
      </c>
      <c r="D2207">
        <v>50.2</v>
      </c>
      <c r="E2207">
        <v>0.12795999999999999</v>
      </c>
      <c r="F2207">
        <v>7.8150000000000004</v>
      </c>
      <c r="G2207">
        <v>704.47</v>
      </c>
      <c r="H2207">
        <v>1.4490000000000001</v>
      </c>
    </row>
    <row r="2208" spans="2:8" x14ac:dyDescent="0.25">
      <c r="B2208">
        <v>1.4533</v>
      </c>
      <c r="C2208">
        <v>180</v>
      </c>
      <c r="D2208">
        <v>50.2</v>
      </c>
      <c r="E2208">
        <v>0.12689</v>
      </c>
      <c r="F2208">
        <v>7.8811</v>
      </c>
      <c r="G2208">
        <v>707.2</v>
      </c>
      <c r="H2208">
        <v>1.4533</v>
      </c>
    </row>
    <row r="2209" spans="2:8" x14ac:dyDescent="0.25">
      <c r="B2209">
        <v>1.4576</v>
      </c>
      <c r="C2209">
        <v>185</v>
      </c>
      <c r="D2209">
        <v>50.2</v>
      </c>
      <c r="E2209">
        <v>0.12583</v>
      </c>
      <c r="F2209">
        <v>7.9470000000000001</v>
      </c>
      <c r="G2209">
        <v>709.93</v>
      </c>
      <c r="H2209">
        <v>1.4576</v>
      </c>
    </row>
    <row r="2210" spans="2:8" x14ac:dyDescent="0.25">
      <c r="B2210">
        <v>1.4618</v>
      </c>
      <c r="C2210">
        <v>190</v>
      </c>
      <c r="D2210">
        <v>50.2</v>
      </c>
      <c r="E2210">
        <v>0.12479999999999999</v>
      </c>
      <c r="F2210">
        <v>8.0129000000000001</v>
      </c>
      <c r="G2210">
        <v>712.66</v>
      </c>
      <c r="H2210">
        <v>1.4618</v>
      </c>
    </row>
    <row r="2211" spans="2:8" x14ac:dyDescent="0.25">
      <c r="B2211">
        <v>1.466</v>
      </c>
      <c r="C2211">
        <v>195</v>
      </c>
      <c r="D2211">
        <v>50.2</v>
      </c>
      <c r="E2211">
        <v>0.12378</v>
      </c>
      <c r="F2211">
        <v>8.0785999999999998</v>
      </c>
      <c r="G2211">
        <v>715.4</v>
      </c>
      <c r="H2211">
        <v>1.466</v>
      </c>
    </row>
    <row r="2212" spans="2:8" x14ac:dyDescent="0.25">
      <c r="B2212">
        <v>1.4702</v>
      </c>
      <c r="C2212">
        <v>200</v>
      </c>
      <c r="D2212">
        <v>50.2</v>
      </c>
      <c r="E2212">
        <v>0.12279</v>
      </c>
      <c r="F2212">
        <v>8.1441999999999997</v>
      </c>
      <c r="G2212">
        <v>718.14</v>
      </c>
      <c r="H2212">
        <v>1.4702</v>
      </c>
    </row>
    <row r="2213" spans="2:8" x14ac:dyDescent="0.25">
      <c r="B2213">
        <v>1.4742999999999999</v>
      </c>
      <c r="C2213">
        <v>205</v>
      </c>
      <c r="D2213">
        <v>50.2</v>
      </c>
      <c r="E2213">
        <v>0.12181</v>
      </c>
      <c r="F2213">
        <v>8.2097999999999995</v>
      </c>
      <c r="G2213">
        <v>720.88</v>
      </c>
      <c r="H2213">
        <v>1.4742999999999999</v>
      </c>
    </row>
    <row r="2214" spans="2:8" x14ac:dyDescent="0.25">
      <c r="B2214">
        <v>1.4783999999999999</v>
      </c>
      <c r="C2214">
        <v>210</v>
      </c>
      <c r="D2214">
        <v>50.2</v>
      </c>
      <c r="E2214">
        <v>0.12084</v>
      </c>
      <c r="F2214">
        <v>8.2752999999999997</v>
      </c>
      <c r="G2214">
        <v>723.62</v>
      </c>
      <c r="H2214">
        <v>1.4783999999999999</v>
      </c>
    </row>
    <row r="2215" spans="2:8" x14ac:dyDescent="0.25">
      <c r="B2215">
        <v>1.4824999999999999</v>
      </c>
      <c r="C2215">
        <v>215</v>
      </c>
      <c r="D2215">
        <v>50.2</v>
      </c>
      <c r="E2215">
        <v>0.11989</v>
      </c>
      <c r="F2215">
        <v>8.3407</v>
      </c>
      <c r="G2215">
        <v>726.36</v>
      </c>
      <c r="H2215">
        <v>1.4824999999999999</v>
      </c>
    </row>
    <row r="2216" spans="2:8" x14ac:dyDescent="0.25">
      <c r="B2216">
        <v>1.4864999999999999</v>
      </c>
      <c r="C2216">
        <v>220</v>
      </c>
      <c r="D2216">
        <v>50.2</v>
      </c>
      <c r="E2216">
        <v>0.11896</v>
      </c>
      <c r="F2216">
        <v>8.4060000000000006</v>
      </c>
      <c r="G2216">
        <v>729.11</v>
      </c>
      <c r="H2216">
        <v>1.4864999999999999</v>
      </c>
    </row>
    <row r="2217" spans="2:8" x14ac:dyDescent="0.25">
      <c r="B2217">
        <v>1.4905999999999999</v>
      </c>
      <c r="C2217">
        <v>225</v>
      </c>
      <c r="D2217">
        <v>50.2</v>
      </c>
      <c r="E2217">
        <v>0.11805</v>
      </c>
      <c r="F2217">
        <v>8.4711999999999996</v>
      </c>
      <c r="G2217">
        <v>731.86</v>
      </c>
      <c r="H2217">
        <v>1.4905999999999999</v>
      </c>
    </row>
    <row r="2218" spans="2:8" x14ac:dyDescent="0.25">
      <c r="B2218">
        <v>1.4945999999999999</v>
      </c>
      <c r="C2218">
        <v>230</v>
      </c>
      <c r="D2218">
        <v>50.2</v>
      </c>
      <c r="E2218">
        <v>0.11715</v>
      </c>
      <c r="F2218">
        <v>8.5364000000000004</v>
      </c>
      <c r="G2218">
        <v>734.61</v>
      </c>
      <c r="H2218">
        <v>1.4945999999999999</v>
      </c>
    </row>
    <row r="2219" spans="2:8" x14ac:dyDescent="0.25">
      <c r="B2219">
        <v>1.4985999999999999</v>
      </c>
      <c r="C2219">
        <v>235</v>
      </c>
      <c r="D2219">
        <v>50.2</v>
      </c>
      <c r="E2219">
        <v>0.11626</v>
      </c>
      <c r="F2219">
        <v>8.6014999999999997</v>
      </c>
      <c r="G2219">
        <v>737.37</v>
      </c>
      <c r="H2219">
        <v>1.4985999999999999</v>
      </c>
    </row>
    <row r="2220" spans="2:8" x14ac:dyDescent="0.25">
      <c r="B2220">
        <v>1.5024999999999999</v>
      </c>
      <c r="C2220">
        <v>240</v>
      </c>
      <c r="D2220">
        <v>50.2</v>
      </c>
      <c r="E2220">
        <v>0.11539000000000001</v>
      </c>
      <c r="F2220">
        <v>8.6664999999999992</v>
      </c>
      <c r="G2220">
        <v>740.13</v>
      </c>
      <c r="H2220">
        <v>1.5024999999999999</v>
      </c>
    </row>
    <row r="2221" spans="2:8" x14ac:dyDescent="0.25">
      <c r="B2221">
        <v>1.5065</v>
      </c>
      <c r="C2221">
        <v>245</v>
      </c>
      <c r="D2221">
        <v>50.2</v>
      </c>
      <c r="E2221">
        <v>0.11453000000000001</v>
      </c>
      <c r="F2221">
        <v>8.7315000000000005</v>
      </c>
      <c r="G2221">
        <v>742.89</v>
      </c>
      <c r="H2221">
        <v>1.5065</v>
      </c>
    </row>
    <row r="2222" spans="2:8" x14ac:dyDescent="0.25">
      <c r="B2222">
        <v>1.5104</v>
      </c>
      <c r="C2222">
        <v>250</v>
      </c>
      <c r="D2222">
        <v>50.2</v>
      </c>
      <c r="E2222">
        <v>0.11368</v>
      </c>
      <c r="F2222">
        <v>8.7964000000000002</v>
      </c>
      <c r="G2222">
        <v>745.66</v>
      </c>
      <c r="H2222">
        <v>1.5104</v>
      </c>
    </row>
    <row r="2223" spans="2:8" x14ac:dyDescent="0.25">
      <c r="B2223">
        <v>1.5143</v>
      </c>
      <c r="C2223">
        <v>255</v>
      </c>
      <c r="D2223">
        <v>50.2</v>
      </c>
      <c r="E2223">
        <v>0.11285000000000001</v>
      </c>
      <c r="F2223">
        <v>8.8613</v>
      </c>
      <c r="G2223">
        <v>748.43</v>
      </c>
      <c r="H2223">
        <v>1.5143</v>
      </c>
    </row>
    <row r="2224" spans="2:8" x14ac:dyDescent="0.25">
      <c r="B2224">
        <v>1.5181</v>
      </c>
      <c r="C2224">
        <v>260</v>
      </c>
      <c r="D2224">
        <v>50.2</v>
      </c>
      <c r="E2224">
        <v>0.11203</v>
      </c>
      <c r="F2224">
        <v>8.9260000000000002</v>
      </c>
      <c r="G2224">
        <v>751.21</v>
      </c>
      <c r="H2224">
        <v>1.5181</v>
      </c>
    </row>
    <row r="2225" spans="1:8" x14ac:dyDescent="0.25">
      <c r="B2225">
        <v>1.522</v>
      </c>
      <c r="C2225">
        <v>265</v>
      </c>
      <c r="D2225">
        <v>50.2</v>
      </c>
      <c r="E2225">
        <v>0.11122</v>
      </c>
      <c r="F2225">
        <v>8.9908000000000001</v>
      </c>
      <c r="G2225">
        <v>753.99</v>
      </c>
      <c r="H2225">
        <v>1.522</v>
      </c>
    </row>
    <row r="2226" spans="1:8" x14ac:dyDescent="0.25">
      <c r="B2226">
        <v>1.5258</v>
      </c>
      <c r="C2226">
        <v>270</v>
      </c>
      <c r="D2226">
        <v>50.2</v>
      </c>
      <c r="E2226">
        <v>0.11043</v>
      </c>
      <c r="F2226">
        <v>9.0555000000000003</v>
      </c>
      <c r="G2226">
        <v>756.78</v>
      </c>
      <c r="H2226">
        <v>1.5258</v>
      </c>
    </row>
    <row r="2227" spans="1:8" x14ac:dyDescent="0.25">
      <c r="B2227">
        <v>1.5296000000000001</v>
      </c>
      <c r="C2227">
        <v>275</v>
      </c>
      <c r="D2227">
        <v>50.2</v>
      </c>
      <c r="E2227">
        <v>0.10965</v>
      </c>
      <c r="F2227">
        <v>9.1201000000000008</v>
      </c>
      <c r="G2227">
        <v>759.56</v>
      </c>
      <c r="H2227">
        <v>1.5296000000000001</v>
      </c>
    </row>
    <row r="2228" spans="1:8" x14ac:dyDescent="0.25">
      <c r="B2228">
        <v>1.5334000000000001</v>
      </c>
      <c r="C2228">
        <v>280</v>
      </c>
      <c r="D2228">
        <v>50.2</v>
      </c>
      <c r="E2228">
        <v>0.10888</v>
      </c>
      <c r="F2228">
        <v>9.1846999999999994</v>
      </c>
      <c r="G2228">
        <v>762.36</v>
      </c>
      <c r="H2228">
        <v>1.5334000000000001</v>
      </c>
    </row>
    <row r="2229" spans="1:8" x14ac:dyDescent="0.25">
      <c r="B2229">
        <v>1.5371999999999999</v>
      </c>
      <c r="C2229">
        <v>285</v>
      </c>
      <c r="D2229">
        <v>50.2</v>
      </c>
      <c r="E2229">
        <v>0.10811999999999999</v>
      </c>
      <c r="F2229">
        <v>9.2492999999999999</v>
      </c>
      <c r="G2229">
        <v>765.16</v>
      </c>
      <c r="H2229">
        <v>1.5371999999999999</v>
      </c>
    </row>
    <row r="2230" spans="1:8" x14ac:dyDescent="0.25">
      <c r="B2230">
        <v>1.5408999999999999</v>
      </c>
      <c r="C2230">
        <v>290</v>
      </c>
      <c r="D2230">
        <v>50.2</v>
      </c>
      <c r="E2230">
        <v>0.10736999999999999</v>
      </c>
      <c r="F2230">
        <v>9.3138000000000005</v>
      </c>
      <c r="G2230">
        <v>767.96</v>
      </c>
      <c r="H2230">
        <v>1.5408999999999999</v>
      </c>
    </row>
    <row r="2231" spans="1:8" x14ac:dyDescent="0.25">
      <c r="B2231">
        <v>1.5447</v>
      </c>
      <c r="C2231">
        <v>295</v>
      </c>
      <c r="D2231">
        <v>50.2</v>
      </c>
      <c r="E2231">
        <v>0.10663</v>
      </c>
      <c r="F2231">
        <v>9.3781999999999996</v>
      </c>
      <c r="G2231">
        <v>770.77</v>
      </c>
      <c r="H2231">
        <v>1.5447</v>
      </c>
    </row>
    <row r="2232" spans="1:8" x14ac:dyDescent="0.25">
      <c r="B2232">
        <v>1.5484</v>
      </c>
      <c r="C2232">
        <v>300</v>
      </c>
      <c r="D2232">
        <v>50.2</v>
      </c>
      <c r="E2232">
        <v>0.10589999999999999</v>
      </c>
      <c r="F2232">
        <v>9.4426000000000005</v>
      </c>
      <c r="G2232">
        <v>773.58</v>
      </c>
      <c r="H2232">
        <v>1.5484</v>
      </c>
    </row>
    <row r="2234" spans="1:8" x14ac:dyDescent="0.25">
      <c r="A2234">
        <v>52.4</v>
      </c>
      <c r="B2234">
        <v>-2.5524999999999999E-2</v>
      </c>
      <c r="C2234">
        <v>-50</v>
      </c>
      <c r="D2234">
        <v>52.4</v>
      </c>
      <c r="E2234">
        <v>43.51</v>
      </c>
      <c r="F2234">
        <v>2.2983E-2</v>
      </c>
      <c r="G2234">
        <v>-10.404999999999999</v>
      </c>
      <c r="H2234">
        <v>-2.5524999999999999E-2</v>
      </c>
    </row>
    <row r="2235" spans="1:8" x14ac:dyDescent="0.25">
      <c r="B2235">
        <v>-1.2796E-2</v>
      </c>
      <c r="C2235">
        <v>-45</v>
      </c>
      <c r="D2235">
        <v>52.4</v>
      </c>
      <c r="E2235">
        <v>43.302999999999997</v>
      </c>
      <c r="F2235">
        <v>2.3092999999999999E-2</v>
      </c>
      <c r="G2235">
        <v>-5.1578999999999997</v>
      </c>
      <c r="H2235">
        <v>-1.2796E-2</v>
      </c>
    </row>
    <row r="2236" spans="1:8" x14ac:dyDescent="0.25">
      <c r="B2236">
        <v>-1.7640000000000001E-4</v>
      </c>
      <c r="C2236">
        <v>-40</v>
      </c>
      <c r="D2236">
        <v>52.4</v>
      </c>
      <c r="E2236">
        <v>43.093000000000004</v>
      </c>
      <c r="F2236">
        <v>2.3206000000000001E-2</v>
      </c>
      <c r="G2236">
        <v>0.10647</v>
      </c>
      <c r="H2236">
        <v>-1.7640000000000001E-4</v>
      </c>
    </row>
    <row r="2237" spans="1:8" x14ac:dyDescent="0.25">
      <c r="B2237">
        <v>1.2335E-2</v>
      </c>
      <c r="C2237">
        <v>-35</v>
      </c>
      <c r="D2237">
        <v>52.4</v>
      </c>
      <c r="E2237">
        <v>42.881999999999998</v>
      </c>
      <c r="F2237">
        <v>2.332E-2</v>
      </c>
      <c r="G2237">
        <v>5.3882000000000003</v>
      </c>
      <c r="H2237">
        <v>1.2335E-2</v>
      </c>
    </row>
    <row r="2238" spans="1:8" x14ac:dyDescent="0.25">
      <c r="B2238">
        <v>2.4739000000000001E-2</v>
      </c>
      <c r="C2238">
        <v>-30</v>
      </c>
      <c r="D2238">
        <v>52.4</v>
      </c>
      <c r="E2238">
        <v>42.667999999999999</v>
      </c>
      <c r="F2238">
        <v>2.3436999999999999E-2</v>
      </c>
      <c r="G2238">
        <v>10.686999999999999</v>
      </c>
      <c r="H2238">
        <v>2.4739000000000001E-2</v>
      </c>
    </row>
    <row r="2239" spans="1:8" x14ac:dyDescent="0.25">
      <c r="B2239">
        <v>3.7039000000000002E-2</v>
      </c>
      <c r="C2239">
        <v>-25</v>
      </c>
      <c r="D2239">
        <v>52.4</v>
      </c>
      <c r="E2239">
        <v>42.453000000000003</v>
      </c>
      <c r="F2239">
        <v>2.3555E-2</v>
      </c>
      <c r="G2239">
        <v>16.003</v>
      </c>
      <c r="H2239">
        <v>3.7039000000000002E-2</v>
      </c>
    </row>
    <row r="2240" spans="1:8" x14ac:dyDescent="0.25">
      <c r="B2240">
        <v>4.9236000000000002E-2</v>
      </c>
      <c r="C2240">
        <v>-20</v>
      </c>
      <c r="D2240">
        <v>52.4</v>
      </c>
      <c r="E2240">
        <v>42.235999999999997</v>
      </c>
      <c r="F2240">
        <v>2.3675999999999999E-2</v>
      </c>
      <c r="G2240">
        <v>21.335000000000001</v>
      </c>
      <c r="H2240">
        <v>4.9236000000000002E-2</v>
      </c>
    </row>
    <row r="2241" spans="2:8" x14ac:dyDescent="0.25">
      <c r="B2241">
        <v>6.1332999999999999E-2</v>
      </c>
      <c r="C2241">
        <v>-15</v>
      </c>
      <c r="D2241">
        <v>52.4</v>
      </c>
      <c r="E2241">
        <v>42.017000000000003</v>
      </c>
      <c r="F2241">
        <v>2.3800000000000002E-2</v>
      </c>
      <c r="G2241">
        <v>26.684000000000001</v>
      </c>
      <c r="H2241">
        <v>6.1332999999999999E-2</v>
      </c>
    </row>
    <row r="2242" spans="2:8" x14ac:dyDescent="0.25">
      <c r="B2242">
        <v>7.3330999999999993E-2</v>
      </c>
      <c r="C2242">
        <v>-10</v>
      </c>
      <c r="D2242">
        <v>52.4</v>
      </c>
      <c r="E2242">
        <v>41.796999999999997</v>
      </c>
      <c r="F2242">
        <v>2.3924999999999998E-2</v>
      </c>
      <c r="G2242">
        <v>32.048999999999999</v>
      </c>
      <c r="H2242">
        <v>7.3330999999999993E-2</v>
      </c>
    </row>
    <row r="2243" spans="2:8" x14ac:dyDescent="0.25">
      <c r="B2243">
        <v>8.5233000000000003E-2</v>
      </c>
      <c r="C2243">
        <v>-5</v>
      </c>
      <c r="D2243">
        <v>52.4</v>
      </c>
      <c r="E2243">
        <v>41.573999999999998</v>
      </c>
      <c r="F2243">
        <v>2.4053999999999999E-2</v>
      </c>
      <c r="G2243">
        <v>37.43</v>
      </c>
      <c r="H2243">
        <v>8.5233000000000003E-2</v>
      </c>
    </row>
    <row r="2244" spans="2:8" x14ac:dyDescent="0.25">
      <c r="B2244">
        <v>9.7040000000000001E-2</v>
      </c>
      <c r="C2244">
        <v>0</v>
      </c>
      <c r="D2244">
        <v>52.4</v>
      </c>
      <c r="E2244">
        <v>41.348999999999997</v>
      </c>
      <c r="F2244">
        <v>2.4184000000000001E-2</v>
      </c>
      <c r="G2244">
        <v>42.828000000000003</v>
      </c>
      <c r="H2244">
        <v>9.7040000000000001E-2</v>
      </c>
    </row>
    <row r="2245" spans="2:8" x14ac:dyDescent="0.25">
      <c r="B2245">
        <v>0.10876</v>
      </c>
      <c r="C2245">
        <v>5</v>
      </c>
      <c r="D2245">
        <v>52.4</v>
      </c>
      <c r="E2245">
        <v>41.122999999999998</v>
      </c>
      <c r="F2245">
        <v>2.4317999999999999E-2</v>
      </c>
      <c r="G2245">
        <v>48.243000000000002</v>
      </c>
      <c r="H2245">
        <v>0.10876</v>
      </c>
    </row>
    <row r="2246" spans="2:8" x14ac:dyDescent="0.25">
      <c r="B2246">
        <v>0.12038</v>
      </c>
      <c r="C2246">
        <v>10</v>
      </c>
      <c r="D2246">
        <v>52.4</v>
      </c>
      <c r="E2246">
        <v>40.893999999999998</v>
      </c>
      <c r="F2246">
        <v>2.4454E-2</v>
      </c>
      <c r="G2246">
        <v>53.673999999999999</v>
      </c>
      <c r="H2246">
        <v>0.12038</v>
      </c>
    </row>
    <row r="2247" spans="2:8" x14ac:dyDescent="0.25">
      <c r="B2247">
        <v>0.13192000000000001</v>
      </c>
      <c r="C2247">
        <v>15</v>
      </c>
      <c r="D2247">
        <v>52.4</v>
      </c>
      <c r="E2247">
        <v>40.662999999999997</v>
      </c>
      <c r="F2247">
        <v>2.4591999999999999E-2</v>
      </c>
      <c r="G2247">
        <v>59.122</v>
      </c>
      <c r="H2247">
        <v>0.13192000000000001</v>
      </c>
    </row>
    <row r="2248" spans="2:8" x14ac:dyDescent="0.25">
      <c r="B2248">
        <v>0.14337</v>
      </c>
      <c r="C2248">
        <v>20</v>
      </c>
      <c r="D2248">
        <v>52.4</v>
      </c>
      <c r="E2248">
        <v>40.43</v>
      </c>
      <c r="F2248">
        <v>2.4733999999999999E-2</v>
      </c>
      <c r="G2248">
        <v>64.587000000000003</v>
      </c>
      <c r="H2248">
        <v>0.14337</v>
      </c>
    </row>
    <row r="2249" spans="2:8" x14ac:dyDescent="0.25">
      <c r="B2249">
        <v>1.2907999999999999</v>
      </c>
      <c r="C2249">
        <v>25</v>
      </c>
      <c r="D2249">
        <v>52.4</v>
      </c>
      <c r="E2249">
        <v>0.18265999999999999</v>
      </c>
      <c r="F2249">
        <v>5.4747000000000003</v>
      </c>
      <c r="G2249">
        <v>619.38</v>
      </c>
      <c r="H2249">
        <v>1.2907999999999999</v>
      </c>
    </row>
    <row r="2250" spans="2:8" x14ac:dyDescent="0.25">
      <c r="B2250">
        <v>1.2971999999999999</v>
      </c>
      <c r="C2250">
        <v>30</v>
      </c>
      <c r="D2250">
        <v>52.4</v>
      </c>
      <c r="E2250">
        <v>0.18024999999999999</v>
      </c>
      <c r="F2250">
        <v>5.5477999999999996</v>
      </c>
      <c r="G2250">
        <v>622.47</v>
      </c>
      <c r="H2250">
        <v>1.2971999999999999</v>
      </c>
    </row>
    <row r="2251" spans="2:8" x14ac:dyDescent="0.25">
      <c r="B2251">
        <v>1.3033999999999999</v>
      </c>
      <c r="C2251">
        <v>35</v>
      </c>
      <c r="D2251">
        <v>52.4</v>
      </c>
      <c r="E2251">
        <v>0.17793</v>
      </c>
      <c r="F2251">
        <v>5.6200999999999999</v>
      </c>
      <c r="G2251">
        <v>625.53</v>
      </c>
      <c r="H2251">
        <v>1.3033999999999999</v>
      </c>
    </row>
    <row r="2252" spans="2:8" x14ac:dyDescent="0.25">
      <c r="B2252">
        <v>1.3093999999999999</v>
      </c>
      <c r="C2252">
        <v>40</v>
      </c>
      <c r="D2252">
        <v>52.4</v>
      </c>
      <c r="E2252">
        <v>0.17569000000000001</v>
      </c>
      <c r="F2252">
        <v>5.6917</v>
      </c>
      <c r="G2252">
        <v>628.54</v>
      </c>
      <c r="H2252">
        <v>1.3093999999999999</v>
      </c>
    </row>
    <row r="2253" spans="2:8" x14ac:dyDescent="0.25">
      <c r="B2253">
        <v>1.3153999999999999</v>
      </c>
      <c r="C2253">
        <v>45</v>
      </c>
      <c r="D2253">
        <v>52.4</v>
      </c>
      <c r="E2253">
        <v>0.17352999999999999</v>
      </c>
      <c r="F2253">
        <v>5.7626999999999997</v>
      </c>
      <c r="G2253">
        <v>631.53</v>
      </c>
      <c r="H2253">
        <v>1.3153999999999999</v>
      </c>
    </row>
    <row r="2254" spans="2:8" x14ac:dyDescent="0.25">
      <c r="B2254">
        <v>1.3211999999999999</v>
      </c>
      <c r="C2254">
        <v>50</v>
      </c>
      <c r="D2254">
        <v>52.4</v>
      </c>
      <c r="E2254">
        <v>0.17144000000000001</v>
      </c>
      <c r="F2254">
        <v>5.8330000000000002</v>
      </c>
      <c r="G2254">
        <v>634.49</v>
      </c>
      <c r="H2254">
        <v>1.3211999999999999</v>
      </c>
    </row>
    <row r="2255" spans="2:8" x14ac:dyDescent="0.25">
      <c r="B2255">
        <v>1.3269</v>
      </c>
      <c r="C2255">
        <v>55</v>
      </c>
      <c r="D2255">
        <v>52.4</v>
      </c>
      <c r="E2255">
        <v>0.16941000000000001</v>
      </c>
      <c r="F2255">
        <v>5.9027000000000003</v>
      </c>
      <c r="G2255">
        <v>637.41999999999996</v>
      </c>
      <c r="H2255">
        <v>1.3269</v>
      </c>
    </row>
    <row r="2256" spans="2:8" x14ac:dyDescent="0.25">
      <c r="B2256">
        <v>1.3326</v>
      </c>
      <c r="C2256">
        <v>60</v>
      </c>
      <c r="D2256">
        <v>52.4</v>
      </c>
      <c r="E2256">
        <v>0.16744999999999999</v>
      </c>
      <c r="F2256">
        <v>5.9720000000000004</v>
      </c>
      <c r="G2256">
        <v>640.32000000000005</v>
      </c>
      <c r="H2256">
        <v>1.3326</v>
      </c>
    </row>
    <row r="2257" spans="2:8" x14ac:dyDescent="0.25">
      <c r="B2257">
        <v>1.3381000000000001</v>
      </c>
      <c r="C2257">
        <v>65</v>
      </c>
      <c r="D2257">
        <v>52.4</v>
      </c>
      <c r="E2257">
        <v>0.16553999999999999</v>
      </c>
      <c r="F2257">
        <v>6.0407000000000002</v>
      </c>
      <c r="G2257">
        <v>643.21</v>
      </c>
      <c r="H2257">
        <v>1.3381000000000001</v>
      </c>
    </row>
    <row r="2258" spans="2:8" x14ac:dyDescent="0.25">
      <c r="B2258">
        <v>1.3434999999999999</v>
      </c>
      <c r="C2258">
        <v>70</v>
      </c>
      <c r="D2258">
        <v>52.4</v>
      </c>
      <c r="E2258">
        <v>0.16369</v>
      </c>
      <c r="F2258">
        <v>6.109</v>
      </c>
      <c r="G2258">
        <v>646.08000000000004</v>
      </c>
      <c r="H2258">
        <v>1.3434999999999999</v>
      </c>
    </row>
    <row r="2259" spans="2:8" x14ac:dyDescent="0.25">
      <c r="B2259">
        <v>1.3489</v>
      </c>
      <c r="C2259">
        <v>75</v>
      </c>
      <c r="D2259">
        <v>52.4</v>
      </c>
      <c r="E2259">
        <v>0.16189000000000001</v>
      </c>
      <c r="F2259">
        <v>6.1768999999999998</v>
      </c>
      <c r="G2259">
        <v>648.92999999999995</v>
      </c>
      <c r="H2259">
        <v>1.3489</v>
      </c>
    </row>
    <row r="2260" spans="2:8" x14ac:dyDescent="0.25">
      <c r="B2260">
        <v>1.3542000000000001</v>
      </c>
      <c r="C2260">
        <v>80</v>
      </c>
      <c r="D2260">
        <v>52.4</v>
      </c>
      <c r="E2260">
        <v>0.16014</v>
      </c>
      <c r="F2260">
        <v>6.2445000000000004</v>
      </c>
      <c r="G2260">
        <v>651.77</v>
      </c>
      <c r="H2260">
        <v>1.3542000000000001</v>
      </c>
    </row>
    <row r="2261" spans="2:8" x14ac:dyDescent="0.25">
      <c r="B2261">
        <v>1.3593999999999999</v>
      </c>
      <c r="C2261">
        <v>85</v>
      </c>
      <c r="D2261">
        <v>52.4</v>
      </c>
      <c r="E2261">
        <v>0.15844</v>
      </c>
      <c r="F2261">
        <v>6.3117000000000001</v>
      </c>
      <c r="G2261">
        <v>654.59</v>
      </c>
      <c r="H2261">
        <v>1.3593999999999999</v>
      </c>
    </row>
    <row r="2262" spans="2:8" x14ac:dyDescent="0.25">
      <c r="B2262">
        <v>1.3645</v>
      </c>
      <c r="C2262">
        <v>90</v>
      </c>
      <c r="D2262">
        <v>52.4</v>
      </c>
      <c r="E2262">
        <v>0.15678</v>
      </c>
      <c r="F2262">
        <v>6.3784999999999998</v>
      </c>
      <c r="G2262">
        <v>657.4</v>
      </c>
      <c r="H2262">
        <v>1.3645</v>
      </c>
    </row>
    <row r="2263" spans="2:8" x14ac:dyDescent="0.25">
      <c r="B2263">
        <v>1.3695999999999999</v>
      </c>
      <c r="C2263">
        <v>95</v>
      </c>
      <c r="D2263">
        <v>52.4</v>
      </c>
      <c r="E2263">
        <v>0.15515999999999999</v>
      </c>
      <c r="F2263">
        <v>6.4450000000000003</v>
      </c>
      <c r="G2263">
        <v>660.2</v>
      </c>
      <c r="H2263">
        <v>1.3695999999999999</v>
      </c>
    </row>
    <row r="2264" spans="2:8" x14ac:dyDescent="0.25">
      <c r="B2264">
        <v>1.3746</v>
      </c>
      <c r="C2264">
        <v>100</v>
      </c>
      <c r="D2264">
        <v>52.4</v>
      </c>
      <c r="E2264">
        <v>0.15357999999999999</v>
      </c>
      <c r="F2264">
        <v>6.5113000000000003</v>
      </c>
      <c r="G2264">
        <v>662.99</v>
      </c>
      <c r="H2264">
        <v>1.3746</v>
      </c>
    </row>
    <row r="2265" spans="2:8" x14ac:dyDescent="0.25">
      <c r="B2265">
        <v>1.3794999999999999</v>
      </c>
      <c r="C2265">
        <v>105</v>
      </c>
      <c r="D2265">
        <v>52.4</v>
      </c>
      <c r="E2265">
        <v>0.15204000000000001</v>
      </c>
      <c r="F2265">
        <v>6.5773000000000001</v>
      </c>
      <c r="G2265">
        <v>665.77</v>
      </c>
      <c r="H2265">
        <v>1.3794999999999999</v>
      </c>
    </row>
    <row r="2266" spans="2:8" x14ac:dyDescent="0.25">
      <c r="B2266">
        <v>1.3844000000000001</v>
      </c>
      <c r="C2266">
        <v>110</v>
      </c>
      <c r="D2266">
        <v>52.4</v>
      </c>
      <c r="E2266">
        <v>0.15053</v>
      </c>
      <c r="F2266">
        <v>6.6429999999999998</v>
      </c>
      <c r="G2266">
        <v>668.54</v>
      </c>
      <c r="H2266">
        <v>1.3844000000000001</v>
      </c>
    </row>
    <row r="2267" spans="2:8" x14ac:dyDescent="0.25">
      <c r="B2267">
        <v>1.3893</v>
      </c>
      <c r="C2267">
        <v>115</v>
      </c>
      <c r="D2267">
        <v>52.4</v>
      </c>
      <c r="E2267">
        <v>0.14906</v>
      </c>
      <c r="F2267">
        <v>6.7084999999999999</v>
      </c>
      <c r="G2267">
        <v>671.31</v>
      </c>
      <c r="H2267">
        <v>1.3893</v>
      </c>
    </row>
    <row r="2268" spans="2:8" x14ac:dyDescent="0.25">
      <c r="B2268">
        <v>1.3939999999999999</v>
      </c>
      <c r="C2268">
        <v>120</v>
      </c>
      <c r="D2268">
        <v>52.4</v>
      </c>
      <c r="E2268">
        <v>0.14763000000000001</v>
      </c>
      <c r="F2268">
        <v>6.7737999999999996</v>
      </c>
      <c r="G2268">
        <v>674.07</v>
      </c>
      <c r="H2268">
        <v>1.3939999999999999</v>
      </c>
    </row>
    <row r="2269" spans="2:8" x14ac:dyDescent="0.25">
      <c r="B2269">
        <v>1.3988</v>
      </c>
      <c r="C2269">
        <v>125</v>
      </c>
      <c r="D2269">
        <v>52.4</v>
      </c>
      <c r="E2269">
        <v>0.14621999999999999</v>
      </c>
      <c r="F2269">
        <v>6.8388999999999998</v>
      </c>
      <c r="G2269">
        <v>676.83</v>
      </c>
      <c r="H2269">
        <v>1.3988</v>
      </c>
    </row>
    <row r="2270" spans="2:8" x14ac:dyDescent="0.25">
      <c r="B2270">
        <v>1.4035</v>
      </c>
      <c r="C2270">
        <v>130</v>
      </c>
      <c r="D2270">
        <v>52.4</v>
      </c>
      <c r="E2270">
        <v>0.14485000000000001</v>
      </c>
      <c r="F2270">
        <v>6.9038000000000004</v>
      </c>
      <c r="G2270">
        <v>679.58</v>
      </c>
      <c r="H2270">
        <v>1.4035</v>
      </c>
    </row>
    <row r="2271" spans="2:8" x14ac:dyDescent="0.25">
      <c r="B2271">
        <v>1.4080999999999999</v>
      </c>
      <c r="C2271">
        <v>135</v>
      </c>
      <c r="D2271">
        <v>52.4</v>
      </c>
      <c r="E2271">
        <v>0.14349999999999999</v>
      </c>
      <c r="F2271">
        <v>6.9683999999999999</v>
      </c>
      <c r="G2271">
        <v>682.32</v>
      </c>
      <c r="H2271">
        <v>1.4080999999999999</v>
      </c>
    </row>
    <row r="2272" spans="2:8" x14ac:dyDescent="0.25">
      <c r="B2272">
        <v>1.4127000000000001</v>
      </c>
      <c r="C2272">
        <v>140</v>
      </c>
      <c r="D2272">
        <v>52.4</v>
      </c>
      <c r="E2272">
        <v>0.14219000000000001</v>
      </c>
      <c r="F2272">
        <v>7.0330000000000004</v>
      </c>
      <c r="G2272">
        <v>685.07</v>
      </c>
      <c r="H2272">
        <v>1.4127000000000001</v>
      </c>
    </row>
    <row r="2273" spans="2:8" x14ac:dyDescent="0.25">
      <c r="B2273">
        <v>1.4173</v>
      </c>
      <c r="C2273">
        <v>145</v>
      </c>
      <c r="D2273">
        <v>52.4</v>
      </c>
      <c r="E2273">
        <v>0.1409</v>
      </c>
      <c r="F2273">
        <v>7.0972999999999997</v>
      </c>
      <c r="G2273">
        <v>687.81</v>
      </c>
      <c r="H2273">
        <v>1.4173</v>
      </c>
    </row>
    <row r="2274" spans="2:8" x14ac:dyDescent="0.25">
      <c r="B2274">
        <v>1.4218</v>
      </c>
      <c r="C2274">
        <v>150</v>
      </c>
      <c r="D2274">
        <v>52.4</v>
      </c>
      <c r="E2274">
        <v>0.13963999999999999</v>
      </c>
      <c r="F2274">
        <v>7.1615000000000002</v>
      </c>
      <c r="G2274">
        <v>690.55</v>
      </c>
      <c r="H2274">
        <v>1.4218</v>
      </c>
    </row>
    <row r="2275" spans="2:8" x14ac:dyDescent="0.25">
      <c r="B2275">
        <v>1.4261999999999999</v>
      </c>
      <c r="C2275">
        <v>155</v>
      </c>
      <c r="D2275">
        <v>52.4</v>
      </c>
      <c r="E2275">
        <v>0.1384</v>
      </c>
      <c r="F2275">
        <v>7.2256</v>
      </c>
      <c r="G2275">
        <v>693.29</v>
      </c>
      <c r="H2275">
        <v>1.4261999999999999</v>
      </c>
    </row>
    <row r="2276" spans="2:8" x14ac:dyDescent="0.25">
      <c r="B2276">
        <v>1.4307000000000001</v>
      </c>
      <c r="C2276">
        <v>160</v>
      </c>
      <c r="D2276">
        <v>52.4</v>
      </c>
      <c r="E2276">
        <v>0.13718</v>
      </c>
      <c r="F2276">
        <v>7.2895000000000003</v>
      </c>
      <c r="G2276">
        <v>696.02</v>
      </c>
      <c r="H2276">
        <v>1.4307000000000001</v>
      </c>
    </row>
    <row r="2277" spans="2:8" x14ac:dyDescent="0.25">
      <c r="B2277">
        <v>1.4351</v>
      </c>
      <c r="C2277">
        <v>165</v>
      </c>
      <c r="D2277">
        <v>52.4</v>
      </c>
      <c r="E2277">
        <v>0.13599</v>
      </c>
      <c r="F2277">
        <v>7.3532999999999999</v>
      </c>
      <c r="G2277">
        <v>698.76</v>
      </c>
      <c r="H2277">
        <v>1.4351</v>
      </c>
    </row>
    <row r="2278" spans="2:8" x14ac:dyDescent="0.25">
      <c r="B2278">
        <v>1.4394</v>
      </c>
      <c r="C2278">
        <v>170</v>
      </c>
      <c r="D2278">
        <v>52.4</v>
      </c>
      <c r="E2278">
        <v>0.13483000000000001</v>
      </c>
      <c r="F2278">
        <v>7.4169</v>
      </c>
      <c r="G2278">
        <v>701.5</v>
      </c>
      <c r="H2278">
        <v>1.4394</v>
      </c>
    </row>
    <row r="2279" spans="2:8" x14ac:dyDescent="0.25">
      <c r="B2279">
        <v>1.4438</v>
      </c>
      <c r="C2279">
        <v>175</v>
      </c>
      <c r="D2279">
        <v>52.4</v>
      </c>
      <c r="E2279">
        <v>0.13367999999999999</v>
      </c>
      <c r="F2279">
        <v>7.4804000000000004</v>
      </c>
      <c r="G2279">
        <v>704.23</v>
      </c>
      <c r="H2279">
        <v>1.4438</v>
      </c>
    </row>
    <row r="2280" spans="2:8" x14ac:dyDescent="0.25">
      <c r="B2280">
        <v>1.4480999999999999</v>
      </c>
      <c r="C2280">
        <v>180</v>
      </c>
      <c r="D2280">
        <v>52.4</v>
      </c>
      <c r="E2280">
        <v>0.13256000000000001</v>
      </c>
      <c r="F2280">
        <v>7.5438999999999998</v>
      </c>
      <c r="G2280">
        <v>706.97</v>
      </c>
      <c r="H2280">
        <v>1.4480999999999999</v>
      </c>
    </row>
    <row r="2281" spans="2:8" x14ac:dyDescent="0.25">
      <c r="B2281">
        <v>1.4522999999999999</v>
      </c>
      <c r="C2281">
        <v>185</v>
      </c>
      <c r="D2281">
        <v>52.4</v>
      </c>
      <c r="E2281">
        <v>0.13145000000000001</v>
      </c>
      <c r="F2281">
        <v>7.6071999999999997</v>
      </c>
      <c r="G2281">
        <v>709.71</v>
      </c>
      <c r="H2281">
        <v>1.4522999999999999</v>
      </c>
    </row>
    <row r="2282" spans="2:8" x14ac:dyDescent="0.25">
      <c r="B2282">
        <v>1.4565999999999999</v>
      </c>
      <c r="C2282">
        <v>190</v>
      </c>
      <c r="D2282">
        <v>52.4</v>
      </c>
      <c r="E2282">
        <v>0.13037000000000001</v>
      </c>
      <c r="F2282">
        <v>7.6703999999999999</v>
      </c>
      <c r="G2282">
        <v>712.45</v>
      </c>
      <c r="H2282">
        <v>1.4565999999999999</v>
      </c>
    </row>
    <row r="2283" spans="2:8" x14ac:dyDescent="0.25">
      <c r="B2283">
        <v>1.4608000000000001</v>
      </c>
      <c r="C2283">
        <v>195</v>
      </c>
      <c r="D2283">
        <v>52.4</v>
      </c>
      <c r="E2283">
        <v>0.12931000000000001</v>
      </c>
      <c r="F2283">
        <v>7.7335000000000003</v>
      </c>
      <c r="G2283">
        <v>715.19</v>
      </c>
      <c r="H2283">
        <v>1.4608000000000001</v>
      </c>
    </row>
    <row r="2284" spans="2:8" x14ac:dyDescent="0.25">
      <c r="B2284">
        <v>1.4649000000000001</v>
      </c>
      <c r="C2284">
        <v>200</v>
      </c>
      <c r="D2284">
        <v>52.4</v>
      </c>
      <c r="E2284">
        <v>0.12826000000000001</v>
      </c>
      <c r="F2284">
        <v>7.7965</v>
      </c>
      <c r="G2284">
        <v>717.93</v>
      </c>
      <c r="H2284">
        <v>1.4649000000000001</v>
      </c>
    </row>
    <row r="2285" spans="2:8" x14ac:dyDescent="0.25">
      <c r="B2285">
        <v>1.4691000000000001</v>
      </c>
      <c r="C2285">
        <v>205</v>
      </c>
      <c r="D2285">
        <v>52.4</v>
      </c>
      <c r="E2285">
        <v>0.12723999999999999</v>
      </c>
      <c r="F2285">
        <v>7.8593999999999999</v>
      </c>
      <c r="G2285">
        <v>720.67</v>
      </c>
      <c r="H2285">
        <v>1.4691000000000001</v>
      </c>
    </row>
    <row r="2286" spans="2:8" x14ac:dyDescent="0.25">
      <c r="B2286">
        <v>1.4732000000000001</v>
      </c>
      <c r="C2286">
        <v>210</v>
      </c>
      <c r="D2286">
        <v>52.4</v>
      </c>
      <c r="E2286">
        <v>0.12623000000000001</v>
      </c>
      <c r="F2286">
        <v>7.9222999999999999</v>
      </c>
      <c r="G2286">
        <v>723.42</v>
      </c>
      <c r="H2286">
        <v>1.4732000000000001</v>
      </c>
    </row>
    <row r="2287" spans="2:8" x14ac:dyDescent="0.25">
      <c r="B2287">
        <v>1.4773000000000001</v>
      </c>
      <c r="C2287">
        <v>215</v>
      </c>
      <c r="D2287">
        <v>52.4</v>
      </c>
      <c r="E2287">
        <v>0.12523000000000001</v>
      </c>
      <c r="F2287">
        <v>7.9850000000000003</v>
      </c>
      <c r="G2287">
        <v>726.17</v>
      </c>
      <c r="H2287">
        <v>1.4773000000000001</v>
      </c>
    </row>
    <row r="2288" spans="2:8" x14ac:dyDescent="0.25">
      <c r="B2288">
        <v>1.4813000000000001</v>
      </c>
      <c r="C2288">
        <v>220</v>
      </c>
      <c r="D2288">
        <v>52.4</v>
      </c>
      <c r="E2288">
        <v>0.12426</v>
      </c>
      <c r="F2288">
        <v>8.0477000000000007</v>
      </c>
      <c r="G2288">
        <v>728.92</v>
      </c>
      <c r="H2288">
        <v>1.4813000000000001</v>
      </c>
    </row>
    <row r="2289" spans="2:8" x14ac:dyDescent="0.25">
      <c r="B2289">
        <v>1.4854000000000001</v>
      </c>
      <c r="C2289">
        <v>225</v>
      </c>
      <c r="D2289">
        <v>52.4</v>
      </c>
      <c r="E2289">
        <v>0.12330000000000001</v>
      </c>
      <c r="F2289">
        <v>8.1103000000000005</v>
      </c>
      <c r="G2289">
        <v>731.67</v>
      </c>
      <c r="H2289">
        <v>1.4854000000000001</v>
      </c>
    </row>
    <row r="2290" spans="2:8" x14ac:dyDescent="0.25">
      <c r="B2290">
        <v>1.4894000000000001</v>
      </c>
      <c r="C2290">
        <v>230</v>
      </c>
      <c r="D2290">
        <v>52.4</v>
      </c>
      <c r="E2290">
        <v>0.12236</v>
      </c>
      <c r="F2290">
        <v>8.1729000000000003</v>
      </c>
      <c r="G2290">
        <v>734.43</v>
      </c>
      <c r="H2290">
        <v>1.4894000000000001</v>
      </c>
    </row>
    <row r="2291" spans="2:8" x14ac:dyDescent="0.25">
      <c r="B2291">
        <v>1.4934000000000001</v>
      </c>
      <c r="C2291">
        <v>235</v>
      </c>
      <c r="D2291">
        <v>52.4</v>
      </c>
      <c r="E2291">
        <v>0.12143</v>
      </c>
      <c r="F2291">
        <v>8.2353000000000005</v>
      </c>
      <c r="G2291">
        <v>737.19</v>
      </c>
      <c r="H2291">
        <v>1.4934000000000001</v>
      </c>
    </row>
    <row r="2292" spans="2:8" x14ac:dyDescent="0.25">
      <c r="B2292">
        <v>1.4973000000000001</v>
      </c>
      <c r="C2292">
        <v>240</v>
      </c>
      <c r="D2292">
        <v>52.4</v>
      </c>
      <c r="E2292">
        <v>0.12051000000000001</v>
      </c>
      <c r="F2292">
        <v>8.2977000000000007</v>
      </c>
      <c r="G2292">
        <v>739.95</v>
      </c>
      <c r="H2292">
        <v>1.4973000000000001</v>
      </c>
    </row>
    <row r="2293" spans="2:8" x14ac:dyDescent="0.25">
      <c r="B2293">
        <v>1.5013000000000001</v>
      </c>
      <c r="C2293">
        <v>245</v>
      </c>
      <c r="D2293">
        <v>52.4</v>
      </c>
      <c r="E2293">
        <v>0.11962</v>
      </c>
      <c r="F2293">
        <v>8.3600999999999992</v>
      </c>
      <c r="G2293">
        <v>742.72</v>
      </c>
      <c r="H2293">
        <v>1.5013000000000001</v>
      </c>
    </row>
    <row r="2294" spans="2:8" x14ac:dyDescent="0.25">
      <c r="B2294">
        <v>1.5052000000000001</v>
      </c>
      <c r="C2294">
        <v>250</v>
      </c>
      <c r="D2294">
        <v>52.4</v>
      </c>
      <c r="E2294">
        <v>0.11873</v>
      </c>
      <c r="F2294">
        <v>8.4222999999999999</v>
      </c>
      <c r="G2294">
        <v>745.49</v>
      </c>
      <c r="H2294">
        <v>1.5052000000000001</v>
      </c>
    </row>
    <row r="2295" spans="2:8" x14ac:dyDescent="0.25">
      <c r="B2295">
        <v>1.5091000000000001</v>
      </c>
      <c r="C2295">
        <v>255</v>
      </c>
      <c r="D2295">
        <v>52.4</v>
      </c>
      <c r="E2295">
        <v>0.11786000000000001</v>
      </c>
      <c r="F2295">
        <v>8.4846000000000004</v>
      </c>
      <c r="G2295">
        <v>748.27</v>
      </c>
      <c r="H2295">
        <v>1.5091000000000001</v>
      </c>
    </row>
    <row r="2296" spans="2:8" x14ac:dyDescent="0.25">
      <c r="B2296">
        <v>1.5129999999999999</v>
      </c>
      <c r="C2296">
        <v>260</v>
      </c>
      <c r="D2296">
        <v>52.4</v>
      </c>
      <c r="E2296">
        <v>0.11700000000000001</v>
      </c>
      <c r="F2296">
        <v>8.5466999999999995</v>
      </c>
      <c r="G2296">
        <v>751.05</v>
      </c>
      <c r="H2296">
        <v>1.5129999999999999</v>
      </c>
    </row>
    <row r="2297" spans="2:8" x14ac:dyDescent="0.25">
      <c r="B2297">
        <v>1.5167999999999999</v>
      </c>
      <c r="C2297">
        <v>265</v>
      </c>
      <c r="D2297">
        <v>52.4</v>
      </c>
      <c r="E2297">
        <v>0.11616</v>
      </c>
      <c r="F2297">
        <v>8.6088000000000005</v>
      </c>
      <c r="G2297">
        <v>753.83</v>
      </c>
      <c r="H2297">
        <v>1.5167999999999999</v>
      </c>
    </row>
    <row r="2298" spans="2:8" x14ac:dyDescent="0.25">
      <c r="B2298">
        <v>1.5206999999999999</v>
      </c>
      <c r="C2298">
        <v>270</v>
      </c>
      <c r="D2298">
        <v>52.4</v>
      </c>
      <c r="E2298">
        <v>0.11533</v>
      </c>
      <c r="F2298">
        <v>8.6708999999999996</v>
      </c>
      <c r="G2298">
        <v>756.62</v>
      </c>
      <c r="H2298">
        <v>1.5206999999999999</v>
      </c>
    </row>
    <row r="2299" spans="2:8" x14ac:dyDescent="0.25">
      <c r="B2299">
        <v>1.5245</v>
      </c>
      <c r="C2299">
        <v>275</v>
      </c>
      <c r="D2299">
        <v>52.4</v>
      </c>
      <c r="E2299">
        <v>0.11451</v>
      </c>
      <c r="F2299">
        <v>8.7329000000000008</v>
      </c>
      <c r="G2299">
        <v>759.41</v>
      </c>
      <c r="H2299">
        <v>1.5245</v>
      </c>
    </row>
    <row r="2300" spans="2:8" x14ac:dyDescent="0.25">
      <c r="B2300">
        <v>1.5283</v>
      </c>
      <c r="C2300">
        <v>280</v>
      </c>
      <c r="D2300">
        <v>52.4</v>
      </c>
      <c r="E2300">
        <v>0.1137</v>
      </c>
      <c r="F2300">
        <v>8.7949000000000002</v>
      </c>
      <c r="G2300">
        <v>762.21</v>
      </c>
      <c r="H2300">
        <v>1.5283</v>
      </c>
    </row>
    <row r="2301" spans="2:8" x14ac:dyDescent="0.25">
      <c r="B2301">
        <v>1.532</v>
      </c>
      <c r="C2301">
        <v>285</v>
      </c>
      <c r="D2301">
        <v>52.4</v>
      </c>
      <c r="E2301">
        <v>0.11291</v>
      </c>
      <c r="F2301">
        <v>8.8567999999999998</v>
      </c>
      <c r="G2301">
        <v>765.01</v>
      </c>
      <c r="H2301">
        <v>1.532</v>
      </c>
    </row>
    <row r="2302" spans="2:8" x14ac:dyDescent="0.25">
      <c r="B2302">
        <v>1.5358000000000001</v>
      </c>
      <c r="C2302">
        <v>290</v>
      </c>
      <c r="D2302">
        <v>52.4</v>
      </c>
      <c r="E2302">
        <v>0.11212</v>
      </c>
      <c r="F2302">
        <v>8.9185999999999996</v>
      </c>
      <c r="G2302">
        <v>767.82</v>
      </c>
      <c r="H2302">
        <v>1.5358000000000001</v>
      </c>
    </row>
    <row r="2303" spans="2:8" x14ac:dyDescent="0.25">
      <c r="B2303">
        <v>1.5395000000000001</v>
      </c>
      <c r="C2303">
        <v>295</v>
      </c>
      <c r="D2303">
        <v>52.4</v>
      </c>
      <c r="E2303">
        <v>0.11135</v>
      </c>
      <c r="F2303">
        <v>8.9804999999999993</v>
      </c>
      <c r="G2303">
        <v>770.63</v>
      </c>
      <c r="H2303">
        <v>1.5395000000000001</v>
      </c>
    </row>
    <row r="2304" spans="2:8" x14ac:dyDescent="0.25">
      <c r="B2304">
        <v>1.5432999999999999</v>
      </c>
      <c r="C2304">
        <v>300</v>
      </c>
      <c r="D2304">
        <v>52.4</v>
      </c>
      <c r="E2304">
        <v>0.11058999999999999</v>
      </c>
      <c r="F2304">
        <v>9.0422999999999991</v>
      </c>
      <c r="G2304">
        <v>773.44</v>
      </c>
      <c r="H2304">
        <v>1.5432999999999999</v>
      </c>
    </row>
    <row r="2306" spans="1:8" x14ac:dyDescent="0.25">
      <c r="A2306">
        <v>54.7</v>
      </c>
      <c r="B2306">
        <v>-2.5534999999999999E-2</v>
      </c>
      <c r="C2306">
        <v>-50</v>
      </c>
      <c r="D2306">
        <v>54.7</v>
      </c>
      <c r="E2306">
        <v>43.511000000000003</v>
      </c>
      <c r="F2306">
        <v>2.2983E-2</v>
      </c>
      <c r="G2306">
        <v>-10.398999999999999</v>
      </c>
      <c r="H2306">
        <v>-2.5534999999999999E-2</v>
      </c>
    </row>
    <row r="2307" spans="1:8" x14ac:dyDescent="0.25">
      <c r="B2307">
        <v>-1.2805E-2</v>
      </c>
      <c r="C2307">
        <v>-45</v>
      </c>
      <c r="D2307">
        <v>54.7</v>
      </c>
      <c r="E2307">
        <v>43.302999999999997</v>
      </c>
      <c r="F2307">
        <v>2.3092999999999999E-2</v>
      </c>
      <c r="G2307">
        <v>-5.1520000000000001</v>
      </c>
      <c r="H2307">
        <v>-1.2805E-2</v>
      </c>
    </row>
    <row r="2308" spans="1:8" x14ac:dyDescent="0.25">
      <c r="B2308">
        <v>-1.8605E-4</v>
      </c>
      <c r="C2308">
        <v>-40</v>
      </c>
      <c r="D2308">
        <v>54.7</v>
      </c>
      <c r="E2308">
        <v>43.094000000000001</v>
      </c>
      <c r="F2308">
        <v>2.3205E-2</v>
      </c>
      <c r="G2308">
        <v>0.11230999999999999</v>
      </c>
      <c r="H2308">
        <v>-1.8605E-4</v>
      </c>
    </row>
    <row r="2309" spans="1:8" x14ac:dyDescent="0.25">
      <c r="B2309">
        <v>1.2324999999999999E-2</v>
      </c>
      <c r="C2309">
        <v>-35</v>
      </c>
      <c r="D2309">
        <v>54.7</v>
      </c>
      <c r="E2309">
        <v>42.881999999999998</v>
      </c>
      <c r="F2309">
        <v>2.332E-2</v>
      </c>
      <c r="G2309">
        <v>5.3939000000000004</v>
      </c>
      <c r="H2309">
        <v>1.2324999999999999E-2</v>
      </c>
    </row>
    <row r="2310" spans="1:8" x14ac:dyDescent="0.25">
      <c r="B2310">
        <v>2.4729000000000001E-2</v>
      </c>
      <c r="C2310">
        <v>-30</v>
      </c>
      <c r="D2310">
        <v>54.7</v>
      </c>
      <c r="E2310">
        <v>42.668999999999997</v>
      </c>
      <c r="F2310">
        <v>2.3435999999999998E-2</v>
      </c>
      <c r="G2310">
        <v>10.693</v>
      </c>
      <c r="H2310">
        <v>2.4729000000000001E-2</v>
      </c>
    </row>
    <row r="2311" spans="1:8" x14ac:dyDescent="0.25">
      <c r="B2311">
        <v>3.7028999999999999E-2</v>
      </c>
      <c r="C2311">
        <v>-25</v>
      </c>
      <c r="D2311">
        <v>54.7</v>
      </c>
      <c r="E2311">
        <v>42.454000000000001</v>
      </c>
      <c r="F2311">
        <v>2.3555E-2</v>
      </c>
      <c r="G2311">
        <v>16.007999999999999</v>
      </c>
      <c r="H2311">
        <v>3.7028999999999999E-2</v>
      </c>
    </row>
    <row r="2312" spans="1:8" x14ac:dyDescent="0.25">
      <c r="B2312">
        <v>4.9225999999999999E-2</v>
      </c>
      <c r="C2312">
        <v>-20</v>
      </c>
      <c r="D2312">
        <v>54.7</v>
      </c>
      <c r="E2312">
        <v>42.237000000000002</v>
      </c>
      <c r="F2312">
        <v>2.3675999999999999E-2</v>
      </c>
      <c r="G2312">
        <v>21.34</v>
      </c>
      <c r="H2312">
        <v>4.9225999999999999E-2</v>
      </c>
    </row>
    <row r="2313" spans="1:8" x14ac:dyDescent="0.25">
      <c r="B2313">
        <v>6.1322000000000002E-2</v>
      </c>
      <c r="C2313">
        <v>-15</v>
      </c>
      <c r="D2313">
        <v>54.7</v>
      </c>
      <c r="E2313">
        <v>42.018000000000001</v>
      </c>
      <c r="F2313">
        <v>2.3799000000000001E-2</v>
      </c>
      <c r="G2313">
        <v>26.689</v>
      </c>
      <c r="H2313">
        <v>6.1322000000000002E-2</v>
      </c>
    </row>
    <row r="2314" spans="1:8" x14ac:dyDescent="0.25">
      <c r="B2314">
        <v>7.3319999999999996E-2</v>
      </c>
      <c r="C2314">
        <v>-10</v>
      </c>
      <c r="D2314">
        <v>54.7</v>
      </c>
      <c r="E2314">
        <v>41.796999999999997</v>
      </c>
      <c r="F2314">
        <v>2.3924999999999998E-2</v>
      </c>
      <c r="G2314">
        <v>32.054000000000002</v>
      </c>
      <c r="H2314">
        <v>7.3319999999999996E-2</v>
      </c>
    </row>
    <row r="2315" spans="1:8" x14ac:dyDescent="0.25">
      <c r="B2315">
        <v>8.5222000000000006E-2</v>
      </c>
      <c r="C2315">
        <v>-5</v>
      </c>
      <c r="D2315">
        <v>54.7</v>
      </c>
      <c r="E2315">
        <v>41.573999999999998</v>
      </c>
      <c r="F2315">
        <v>2.4053000000000001E-2</v>
      </c>
      <c r="G2315">
        <v>37.436</v>
      </c>
      <c r="H2315">
        <v>8.5222000000000006E-2</v>
      </c>
    </row>
    <row r="2316" spans="1:8" x14ac:dyDescent="0.25">
      <c r="B2316">
        <v>9.7029000000000004E-2</v>
      </c>
      <c r="C2316">
        <v>0</v>
      </c>
      <c r="D2316">
        <v>54.7</v>
      </c>
      <c r="E2316">
        <v>41.35</v>
      </c>
      <c r="F2316">
        <v>2.4184000000000001E-2</v>
      </c>
      <c r="G2316">
        <v>42.832999999999998</v>
      </c>
      <c r="H2316">
        <v>9.7029000000000004E-2</v>
      </c>
    </row>
    <row r="2317" spans="1:8" x14ac:dyDescent="0.25">
      <c r="B2317">
        <v>0.10874</v>
      </c>
      <c r="C2317">
        <v>5</v>
      </c>
      <c r="D2317">
        <v>54.7</v>
      </c>
      <c r="E2317">
        <v>41.122999999999998</v>
      </c>
      <c r="F2317">
        <v>2.4316999999999998E-2</v>
      </c>
      <c r="G2317">
        <v>48.247999999999998</v>
      </c>
      <c r="H2317">
        <v>0.10874</v>
      </c>
    </row>
    <row r="2318" spans="1:8" x14ac:dyDescent="0.25">
      <c r="B2318">
        <v>0.12037</v>
      </c>
      <c r="C2318">
        <v>10</v>
      </c>
      <c r="D2318">
        <v>54.7</v>
      </c>
      <c r="E2318">
        <v>40.893999999999998</v>
      </c>
      <c r="F2318">
        <v>2.4452999999999999E-2</v>
      </c>
      <c r="G2318">
        <v>53.679000000000002</v>
      </c>
      <c r="H2318">
        <v>0.12037</v>
      </c>
    </row>
    <row r="2319" spans="1:8" x14ac:dyDescent="0.25">
      <c r="B2319">
        <v>0.13191</v>
      </c>
      <c r="C2319">
        <v>15</v>
      </c>
      <c r="D2319">
        <v>54.7</v>
      </c>
      <c r="E2319">
        <v>40.664000000000001</v>
      </c>
      <c r="F2319">
        <v>2.4591999999999999E-2</v>
      </c>
      <c r="G2319">
        <v>59.127000000000002</v>
      </c>
      <c r="H2319">
        <v>0.13191</v>
      </c>
    </row>
    <row r="2320" spans="1:8" x14ac:dyDescent="0.25">
      <c r="B2320">
        <v>0.14335999999999999</v>
      </c>
      <c r="C2320">
        <v>20</v>
      </c>
      <c r="D2320">
        <v>54.7</v>
      </c>
      <c r="E2320">
        <v>40.430999999999997</v>
      </c>
      <c r="F2320">
        <v>2.4733999999999999E-2</v>
      </c>
      <c r="G2320">
        <v>64.591999999999999</v>
      </c>
      <c r="H2320">
        <v>0.14335999999999999</v>
      </c>
    </row>
    <row r="2321" spans="2:8" x14ac:dyDescent="0.25">
      <c r="B2321">
        <v>0.15473000000000001</v>
      </c>
      <c r="C2321">
        <v>25</v>
      </c>
      <c r="D2321">
        <v>54.7</v>
      </c>
      <c r="E2321">
        <v>40.195999999999998</v>
      </c>
      <c r="F2321">
        <v>2.4878000000000001E-2</v>
      </c>
      <c r="G2321">
        <v>70.073999999999998</v>
      </c>
      <c r="H2321">
        <v>0.15473000000000001</v>
      </c>
    </row>
    <row r="2322" spans="2:8" x14ac:dyDescent="0.25">
      <c r="B2322">
        <v>1.2910999999999999</v>
      </c>
      <c r="C2322">
        <v>30</v>
      </c>
      <c r="D2322">
        <v>54.7</v>
      </c>
      <c r="E2322">
        <v>0.18870999999999999</v>
      </c>
      <c r="F2322">
        <v>5.2990000000000004</v>
      </c>
      <c r="G2322">
        <v>621.79999999999995</v>
      </c>
      <c r="H2322">
        <v>1.2910999999999999</v>
      </c>
    </row>
    <row r="2323" spans="2:8" x14ac:dyDescent="0.25">
      <c r="B2323">
        <v>1.2974000000000001</v>
      </c>
      <c r="C2323">
        <v>35</v>
      </c>
      <c r="D2323">
        <v>54.7</v>
      </c>
      <c r="E2323">
        <v>0.18626000000000001</v>
      </c>
      <c r="F2323">
        <v>5.3689</v>
      </c>
      <c r="G2323">
        <v>624.88</v>
      </c>
      <c r="H2323">
        <v>1.2974000000000001</v>
      </c>
    </row>
    <row r="2324" spans="2:8" x14ac:dyDescent="0.25">
      <c r="B2324">
        <v>1.3035000000000001</v>
      </c>
      <c r="C2324">
        <v>40</v>
      </c>
      <c r="D2324">
        <v>54.7</v>
      </c>
      <c r="E2324">
        <v>0.18389</v>
      </c>
      <c r="F2324">
        <v>5.4381000000000004</v>
      </c>
      <c r="G2324">
        <v>627.92999999999995</v>
      </c>
      <c r="H2324">
        <v>1.3035000000000001</v>
      </c>
    </row>
    <row r="2325" spans="2:8" x14ac:dyDescent="0.25">
      <c r="B2325">
        <v>1.3095000000000001</v>
      </c>
      <c r="C2325">
        <v>45</v>
      </c>
      <c r="D2325">
        <v>54.7</v>
      </c>
      <c r="E2325">
        <v>0.18160000000000001</v>
      </c>
      <c r="F2325">
        <v>5.5065999999999997</v>
      </c>
      <c r="G2325">
        <v>630.95000000000005</v>
      </c>
      <c r="H2325">
        <v>1.3095000000000001</v>
      </c>
    </row>
    <row r="2326" spans="2:8" x14ac:dyDescent="0.25">
      <c r="B2326">
        <v>1.3153999999999999</v>
      </c>
      <c r="C2326">
        <v>50</v>
      </c>
      <c r="D2326">
        <v>54.7</v>
      </c>
      <c r="E2326">
        <v>0.17938999999999999</v>
      </c>
      <c r="F2326">
        <v>5.5744999999999996</v>
      </c>
      <c r="G2326">
        <v>633.92999999999995</v>
      </c>
      <c r="H2326">
        <v>1.3153999999999999</v>
      </c>
    </row>
    <row r="2327" spans="2:8" x14ac:dyDescent="0.25">
      <c r="B2327">
        <v>1.3210999999999999</v>
      </c>
      <c r="C2327">
        <v>55</v>
      </c>
      <c r="D2327">
        <v>54.7</v>
      </c>
      <c r="E2327">
        <v>0.17724999999999999</v>
      </c>
      <c r="F2327">
        <v>5.6417999999999999</v>
      </c>
      <c r="G2327">
        <v>636.88</v>
      </c>
      <c r="H2327">
        <v>1.3210999999999999</v>
      </c>
    </row>
    <row r="2328" spans="2:8" x14ac:dyDescent="0.25">
      <c r="B2328">
        <v>1.3268</v>
      </c>
      <c r="C2328">
        <v>60</v>
      </c>
      <c r="D2328">
        <v>54.7</v>
      </c>
      <c r="E2328">
        <v>0.17518</v>
      </c>
      <c r="F2328">
        <v>5.7084999999999999</v>
      </c>
      <c r="G2328">
        <v>639.80999999999995</v>
      </c>
      <c r="H2328">
        <v>1.3268</v>
      </c>
    </row>
    <row r="2329" spans="2:8" x14ac:dyDescent="0.25">
      <c r="B2329">
        <v>1.3324</v>
      </c>
      <c r="C2329">
        <v>65</v>
      </c>
      <c r="D2329">
        <v>54.7</v>
      </c>
      <c r="E2329">
        <v>0.17316999999999999</v>
      </c>
      <c r="F2329">
        <v>5.7747999999999999</v>
      </c>
      <c r="G2329">
        <v>642.72</v>
      </c>
      <c r="H2329">
        <v>1.3324</v>
      </c>
    </row>
    <row r="2330" spans="2:8" x14ac:dyDescent="0.25">
      <c r="B2330">
        <v>1.3378000000000001</v>
      </c>
      <c r="C2330">
        <v>70</v>
      </c>
      <c r="D2330">
        <v>54.7</v>
      </c>
      <c r="E2330">
        <v>0.17121</v>
      </c>
      <c r="F2330">
        <v>5.8407</v>
      </c>
      <c r="G2330">
        <v>645.61</v>
      </c>
      <c r="H2330">
        <v>1.3378000000000001</v>
      </c>
    </row>
    <row r="2331" spans="2:8" x14ac:dyDescent="0.25">
      <c r="B2331">
        <v>1.3431999999999999</v>
      </c>
      <c r="C2331">
        <v>75</v>
      </c>
      <c r="D2331">
        <v>54.7</v>
      </c>
      <c r="E2331">
        <v>0.16932</v>
      </c>
      <c r="F2331">
        <v>5.9061000000000003</v>
      </c>
      <c r="G2331">
        <v>648.48</v>
      </c>
      <c r="H2331">
        <v>1.3431999999999999</v>
      </c>
    </row>
    <row r="2332" spans="2:8" x14ac:dyDescent="0.25">
      <c r="B2332">
        <v>1.3485</v>
      </c>
      <c r="C2332">
        <v>80</v>
      </c>
      <c r="D2332">
        <v>54.7</v>
      </c>
      <c r="E2332">
        <v>0.16747000000000001</v>
      </c>
      <c r="F2332">
        <v>5.9711999999999996</v>
      </c>
      <c r="G2332">
        <v>651.33000000000004</v>
      </c>
      <c r="H2332">
        <v>1.3485</v>
      </c>
    </row>
    <row r="2333" spans="2:8" x14ac:dyDescent="0.25">
      <c r="B2333">
        <v>1.3537999999999999</v>
      </c>
      <c r="C2333">
        <v>85</v>
      </c>
      <c r="D2333">
        <v>54.7</v>
      </c>
      <c r="E2333">
        <v>0.16567999999999999</v>
      </c>
      <c r="F2333">
        <v>6.0358000000000001</v>
      </c>
      <c r="G2333">
        <v>654.16999999999996</v>
      </c>
      <c r="H2333">
        <v>1.3537999999999999</v>
      </c>
    </row>
    <row r="2334" spans="2:8" x14ac:dyDescent="0.25">
      <c r="B2334">
        <v>1.3589</v>
      </c>
      <c r="C2334">
        <v>90</v>
      </c>
      <c r="D2334">
        <v>54.7</v>
      </c>
      <c r="E2334">
        <v>0.16392999999999999</v>
      </c>
      <c r="F2334">
        <v>6.1002000000000001</v>
      </c>
      <c r="G2334">
        <v>656.99</v>
      </c>
      <c r="H2334">
        <v>1.3589</v>
      </c>
    </row>
    <row r="2335" spans="2:8" x14ac:dyDescent="0.25">
      <c r="B2335">
        <v>1.3640000000000001</v>
      </c>
      <c r="C2335">
        <v>95</v>
      </c>
      <c r="D2335">
        <v>54.7</v>
      </c>
      <c r="E2335">
        <v>0.16223000000000001</v>
      </c>
      <c r="F2335">
        <v>6.1642000000000001</v>
      </c>
      <c r="G2335">
        <v>659.81</v>
      </c>
      <c r="H2335">
        <v>1.3640000000000001</v>
      </c>
    </row>
    <row r="2336" spans="2:8" x14ac:dyDescent="0.25">
      <c r="B2336">
        <v>1.3691</v>
      </c>
      <c r="C2336">
        <v>100</v>
      </c>
      <c r="D2336">
        <v>54.7</v>
      </c>
      <c r="E2336">
        <v>0.16056999999999999</v>
      </c>
      <c r="F2336">
        <v>6.2279999999999998</v>
      </c>
      <c r="G2336">
        <v>662.61</v>
      </c>
      <c r="H2336">
        <v>1.3691</v>
      </c>
    </row>
    <row r="2337" spans="2:8" x14ac:dyDescent="0.25">
      <c r="B2337">
        <v>1.3740000000000001</v>
      </c>
      <c r="C2337">
        <v>105</v>
      </c>
      <c r="D2337">
        <v>54.7</v>
      </c>
      <c r="E2337">
        <v>0.15895000000000001</v>
      </c>
      <c r="F2337">
        <v>6.2915000000000001</v>
      </c>
      <c r="G2337">
        <v>665.4</v>
      </c>
      <c r="H2337">
        <v>1.3740000000000001</v>
      </c>
    </row>
    <row r="2338" spans="2:8" x14ac:dyDescent="0.25">
      <c r="B2338">
        <v>1.3789</v>
      </c>
      <c r="C2338">
        <v>110</v>
      </c>
      <c r="D2338">
        <v>54.7</v>
      </c>
      <c r="E2338">
        <v>0.15736</v>
      </c>
      <c r="F2338">
        <v>6.3547000000000002</v>
      </c>
      <c r="G2338">
        <v>668.19</v>
      </c>
      <c r="H2338">
        <v>1.3789</v>
      </c>
    </row>
    <row r="2339" spans="2:8" x14ac:dyDescent="0.25">
      <c r="B2339">
        <v>1.3837999999999999</v>
      </c>
      <c r="C2339">
        <v>115</v>
      </c>
      <c r="D2339">
        <v>54.7</v>
      </c>
      <c r="E2339">
        <v>0.15581999999999999</v>
      </c>
      <c r="F2339">
        <v>6.4177</v>
      </c>
      <c r="G2339">
        <v>670.96</v>
      </c>
      <c r="H2339">
        <v>1.3837999999999999</v>
      </c>
    </row>
    <row r="2340" spans="2:8" x14ac:dyDescent="0.25">
      <c r="B2340">
        <v>1.3886000000000001</v>
      </c>
      <c r="C2340">
        <v>120</v>
      </c>
      <c r="D2340">
        <v>54.7</v>
      </c>
      <c r="E2340">
        <v>0.15431</v>
      </c>
      <c r="F2340">
        <v>6.4805000000000001</v>
      </c>
      <c r="G2340">
        <v>673.74</v>
      </c>
      <c r="H2340">
        <v>1.3886000000000001</v>
      </c>
    </row>
    <row r="2341" spans="2:8" x14ac:dyDescent="0.25">
      <c r="B2341">
        <v>1.3934</v>
      </c>
      <c r="C2341">
        <v>125</v>
      </c>
      <c r="D2341">
        <v>54.7</v>
      </c>
      <c r="E2341">
        <v>0.15282999999999999</v>
      </c>
      <c r="F2341">
        <v>6.5430000000000001</v>
      </c>
      <c r="G2341">
        <v>676.5</v>
      </c>
      <c r="H2341">
        <v>1.3934</v>
      </c>
    </row>
    <row r="2342" spans="2:8" x14ac:dyDescent="0.25">
      <c r="B2342">
        <v>1.3980999999999999</v>
      </c>
      <c r="C2342">
        <v>130</v>
      </c>
      <c r="D2342">
        <v>54.7</v>
      </c>
      <c r="E2342">
        <v>0.15139</v>
      </c>
      <c r="F2342">
        <v>6.6054000000000004</v>
      </c>
      <c r="G2342">
        <v>679.26</v>
      </c>
      <c r="H2342">
        <v>1.3980999999999999</v>
      </c>
    </row>
    <row r="2343" spans="2:8" x14ac:dyDescent="0.25">
      <c r="B2343">
        <v>1.4027000000000001</v>
      </c>
      <c r="C2343">
        <v>135</v>
      </c>
      <c r="D2343">
        <v>54.7</v>
      </c>
      <c r="E2343">
        <v>0.14998</v>
      </c>
      <c r="F2343">
        <v>6.6676000000000002</v>
      </c>
      <c r="G2343">
        <v>682.02</v>
      </c>
      <c r="H2343">
        <v>1.4027000000000001</v>
      </c>
    </row>
    <row r="2344" spans="2:8" x14ac:dyDescent="0.25">
      <c r="B2344">
        <v>1.4073</v>
      </c>
      <c r="C2344">
        <v>140</v>
      </c>
      <c r="D2344">
        <v>54.7</v>
      </c>
      <c r="E2344">
        <v>0.14860000000000001</v>
      </c>
      <c r="F2344">
        <v>6.7295999999999996</v>
      </c>
      <c r="G2344">
        <v>684.77</v>
      </c>
      <c r="H2344">
        <v>1.4073</v>
      </c>
    </row>
    <row r="2345" spans="2:8" x14ac:dyDescent="0.25">
      <c r="B2345">
        <v>1.4118999999999999</v>
      </c>
      <c r="C2345">
        <v>145</v>
      </c>
      <c r="D2345">
        <v>54.7</v>
      </c>
      <c r="E2345">
        <v>0.14724000000000001</v>
      </c>
      <c r="F2345">
        <v>6.7914000000000003</v>
      </c>
      <c r="G2345">
        <v>687.52</v>
      </c>
      <c r="H2345">
        <v>1.4118999999999999</v>
      </c>
    </row>
    <row r="2346" spans="2:8" x14ac:dyDescent="0.25">
      <c r="B2346">
        <v>1.4164000000000001</v>
      </c>
      <c r="C2346">
        <v>150</v>
      </c>
      <c r="D2346">
        <v>54.7</v>
      </c>
      <c r="E2346">
        <v>0.14591999999999999</v>
      </c>
      <c r="F2346">
        <v>6.8531000000000004</v>
      </c>
      <c r="G2346">
        <v>690.27</v>
      </c>
      <c r="H2346">
        <v>1.4164000000000001</v>
      </c>
    </row>
    <row r="2347" spans="2:8" x14ac:dyDescent="0.25">
      <c r="B2347">
        <v>1.4209000000000001</v>
      </c>
      <c r="C2347">
        <v>155</v>
      </c>
      <c r="D2347">
        <v>54.7</v>
      </c>
      <c r="E2347">
        <v>0.14462</v>
      </c>
      <c r="F2347">
        <v>6.9146000000000001</v>
      </c>
      <c r="G2347">
        <v>693.01</v>
      </c>
      <c r="H2347">
        <v>1.4209000000000001</v>
      </c>
    </row>
    <row r="2348" spans="2:8" x14ac:dyDescent="0.25">
      <c r="B2348">
        <v>1.4253</v>
      </c>
      <c r="C2348">
        <v>160</v>
      </c>
      <c r="D2348">
        <v>54.7</v>
      </c>
      <c r="E2348">
        <v>0.14335000000000001</v>
      </c>
      <c r="F2348">
        <v>6.976</v>
      </c>
      <c r="G2348">
        <v>695.76</v>
      </c>
      <c r="H2348">
        <v>1.4253</v>
      </c>
    </row>
    <row r="2349" spans="2:8" x14ac:dyDescent="0.25">
      <c r="B2349">
        <v>1.4298</v>
      </c>
      <c r="C2349">
        <v>165</v>
      </c>
      <c r="D2349">
        <v>54.7</v>
      </c>
      <c r="E2349">
        <v>0.1421</v>
      </c>
      <c r="F2349">
        <v>7.0373000000000001</v>
      </c>
      <c r="G2349">
        <v>698.5</v>
      </c>
      <c r="H2349">
        <v>1.4298</v>
      </c>
    </row>
    <row r="2350" spans="2:8" x14ac:dyDescent="0.25">
      <c r="B2350">
        <v>1.4340999999999999</v>
      </c>
      <c r="C2350">
        <v>170</v>
      </c>
      <c r="D2350">
        <v>54.7</v>
      </c>
      <c r="E2350">
        <v>0.14088000000000001</v>
      </c>
      <c r="F2350">
        <v>7.0983999999999998</v>
      </c>
      <c r="G2350">
        <v>701.24</v>
      </c>
      <c r="H2350">
        <v>1.4340999999999999</v>
      </c>
    </row>
    <row r="2351" spans="2:8" x14ac:dyDescent="0.25">
      <c r="B2351">
        <v>1.4384999999999999</v>
      </c>
      <c r="C2351">
        <v>175</v>
      </c>
      <c r="D2351">
        <v>54.7</v>
      </c>
      <c r="E2351">
        <v>0.13968</v>
      </c>
      <c r="F2351">
        <v>7.1593999999999998</v>
      </c>
      <c r="G2351">
        <v>703.99</v>
      </c>
      <c r="H2351">
        <v>1.4384999999999999</v>
      </c>
    </row>
    <row r="2352" spans="2:8" x14ac:dyDescent="0.25">
      <c r="B2352">
        <v>1.4428000000000001</v>
      </c>
      <c r="C2352">
        <v>180</v>
      </c>
      <c r="D2352">
        <v>54.7</v>
      </c>
      <c r="E2352">
        <v>0.13850000000000001</v>
      </c>
      <c r="F2352">
        <v>7.2202999999999999</v>
      </c>
      <c r="G2352">
        <v>706.73</v>
      </c>
      <c r="H2352">
        <v>1.4428000000000001</v>
      </c>
    </row>
    <row r="2353" spans="2:8" x14ac:dyDescent="0.25">
      <c r="B2353">
        <v>1.4470000000000001</v>
      </c>
      <c r="C2353">
        <v>185</v>
      </c>
      <c r="D2353">
        <v>54.7</v>
      </c>
      <c r="E2353">
        <v>0.13733999999999999</v>
      </c>
      <c r="F2353">
        <v>7.2811000000000003</v>
      </c>
      <c r="G2353">
        <v>709.47</v>
      </c>
      <c r="H2353">
        <v>1.4470000000000001</v>
      </c>
    </row>
    <row r="2354" spans="2:8" x14ac:dyDescent="0.25">
      <c r="B2354">
        <v>1.4513</v>
      </c>
      <c r="C2354">
        <v>190</v>
      </c>
      <c r="D2354">
        <v>54.7</v>
      </c>
      <c r="E2354">
        <v>0.13621</v>
      </c>
      <c r="F2354">
        <v>7.3418000000000001</v>
      </c>
      <c r="G2354">
        <v>712.22</v>
      </c>
      <c r="H2354">
        <v>1.4513</v>
      </c>
    </row>
    <row r="2355" spans="2:8" x14ac:dyDescent="0.25">
      <c r="B2355">
        <v>1.4555</v>
      </c>
      <c r="C2355">
        <v>195</v>
      </c>
      <c r="D2355">
        <v>54.7</v>
      </c>
      <c r="E2355">
        <v>0.13508999999999999</v>
      </c>
      <c r="F2355">
        <v>7.4024000000000001</v>
      </c>
      <c r="G2355">
        <v>714.96</v>
      </c>
      <c r="H2355">
        <v>1.4555</v>
      </c>
    </row>
    <row r="2356" spans="2:8" x14ac:dyDescent="0.25">
      <c r="B2356">
        <v>1.4597</v>
      </c>
      <c r="C2356">
        <v>200</v>
      </c>
      <c r="D2356">
        <v>54.7</v>
      </c>
      <c r="E2356">
        <v>0.13400000000000001</v>
      </c>
      <c r="F2356">
        <v>7.4629000000000003</v>
      </c>
      <c r="G2356">
        <v>717.71</v>
      </c>
      <c r="H2356">
        <v>1.4597</v>
      </c>
    </row>
    <row r="2357" spans="2:8" x14ac:dyDescent="0.25">
      <c r="B2357">
        <v>1.4638</v>
      </c>
      <c r="C2357">
        <v>205</v>
      </c>
      <c r="D2357">
        <v>54.7</v>
      </c>
      <c r="E2357">
        <v>0.13292000000000001</v>
      </c>
      <c r="F2357">
        <v>7.5232999999999999</v>
      </c>
      <c r="G2357">
        <v>720.46</v>
      </c>
      <c r="H2357">
        <v>1.4638</v>
      </c>
    </row>
    <row r="2358" spans="2:8" x14ac:dyDescent="0.25">
      <c r="B2358">
        <v>1.4679</v>
      </c>
      <c r="C2358">
        <v>210</v>
      </c>
      <c r="D2358">
        <v>54.7</v>
      </c>
      <c r="E2358">
        <v>0.13186</v>
      </c>
      <c r="F2358">
        <v>7.5835999999999997</v>
      </c>
      <c r="G2358">
        <v>723.21</v>
      </c>
      <c r="H2358">
        <v>1.4679</v>
      </c>
    </row>
    <row r="2359" spans="2:8" x14ac:dyDescent="0.25">
      <c r="B2359">
        <v>1.472</v>
      </c>
      <c r="C2359">
        <v>215</v>
      </c>
      <c r="D2359">
        <v>54.7</v>
      </c>
      <c r="E2359">
        <v>0.13081999999999999</v>
      </c>
      <c r="F2359">
        <v>7.6437999999999997</v>
      </c>
      <c r="G2359">
        <v>725.96</v>
      </c>
      <c r="H2359">
        <v>1.472</v>
      </c>
    </row>
    <row r="2360" spans="2:8" x14ac:dyDescent="0.25">
      <c r="B2360">
        <v>1.4761</v>
      </c>
      <c r="C2360">
        <v>220</v>
      </c>
      <c r="D2360">
        <v>54.7</v>
      </c>
      <c r="E2360">
        <v>0.1298</v>
      </c>
      <c r="F2360">
        <v>7.7039999999999997</v>
      </c>
      <c r="G2360">
        <v>728.72</v>
      </c>
      <c r="H2360">
        <v>1.4761</v>
      </c>
    </row>
    <row r="2361" spans="2:8" x14ac:dyDescent="0.25">
      <c r="B2361">
        <v>1.4802</v>
      </c>
      <c r="C2361">
        <v>225</v>
      </c>
      <c r="D2361">
        <v>54.7</v>
      </c>
      <c r="E2361">
        <v>0.1288</v>
      </c>
      <c r="F2361">
        <v>7.7641</v>
      </c>
      <c r="G2361">
        <v>731.48</v>
      </c>
      <c r="H2361">
        <v>1.4802</v>
      </c>
    </row>
    <row r="2362" spans="2:8" x14ac:dyDescent="0.25">
      <c r="B2362">
        <v>1.4842</v>
      </c>
      <c r="C2362">
        <v>230</v>
      </c>
      <c r="D2362">
        <v>54.7</v>
      </c>
      <c r="E2362">
        <v>0.12781000000000001</v>
      </c>
      <c r="F2362">
        <v>7.8240999999999996</v>
      </c>
      <c r="G2362">
        <v>734.24</v>
      </c>
      <c r="H2362">
        <v>1.4842</v>
      </c>
    </row>
    <row r="2363" spans="2:8" x14ac:dyDescent="0.25">
      <c r="B2363">
        <v>1.4882</v>
      </c>
      <c r="C2363">
        <v>235</v>
      </c>
      <c r="D2363">
        <v>54.7</v>
      </c>
      <c r="E2363">
        <v>0.12684000000000001</v>
      </c>
      <c r="F2363">
        <v>7.8840000000000003</v>
      </c>
      <c r="G2363">
        <v>737</v>
      </c>
      <c r="H2363">
        <v>1.4882</v>
      </c>
    </row>
    <row r="2364" spans="2:8" x14ac:dyDescent="0.25">
      <c r="B2364">
        <v>1.4921</v>
      </c>
      <c r="C2364">
        <v>240</v>
      </c>
      <c r="D2364">
        <v>54.7</v>
      </c>
      <c r="E2364">
        <v>0.12587999999999999</v>
      </c>
      <c r="F2364">
        <v>7.9439000000000002</v>
      </c>
      <c r="G2364">
        <v>739.77</v>
      </c>
      <c r="H2364">
        <v>1.4921</v>
      </c>
    </row>
    <row r="2365" spans="2:8" x14ac:dyDescent="0.25">
      <c r="B2365">
        <v>1.4961</v>
      </c>
      <c r="C2365">
        <v>245</v>
      </c>
      <c r="D2365">
        <v>54.7</v>
      </c>
      <c r="E2365">
        <v>0.12494</v>
      </c>
      <c r="F2365">
        <v>8.0037000000000003</v>
      </c>
      <c r="G2365">
        <v>742.54</v>
      </c>
      <c r="H2365">
        <v>1.4961</v>
      </c>
    </row>
    <row r="2366" spans="2:8" x14ac:dyDescent="0.25">
      <c r="B2366">
        <v>1.5</v>
      </c>
      <c r="C2366">
        <v>250</v>
      </c>
      <c r="D2366">
        <v>54.7</v>
      </c>
      <c r="E2366">
        <v>0.12402000000000001</v>
      </c>
      <c r="F2366">
        <v>8.0634999999999994</v>
      </c>
      <c r="G2366">
        <v>745.32</v>
      </c>
      <c r="H2366">
        <v>1.5</v>
      </c>
    </row>
    <row r="2367" spans="2:8" x14ac:dyDescent="0.25">
      <c r="B2367">
        <v>1.5039</v>
      </c>
      <c r="C2367">
        <v>255</v>
      </c>
      <c r="D2367">
        <v>54.7</v>
      </c>
      <c r="E2367">
        <v>0.12311</v>
      </c>
      <c r="F2367">
        <v>8.1231000000000009</v>
      </c>
      <c r="G2367">
        <v>748.1</v>
      </c>
      <c r="H2367">
        <v>1.5039</v>
      </c>
    </row>
    <row r="2368" spans="2:8" x14ac:dyDescent="0.25">
      <c r="B2368">
        <v>1.5078</v>
      </c>
      <c r="C2368">
        <v>260</v>
      </c>
      <c r="D2368">
        <v>54.7</v>
      </c>
      <c r="E2368">
        <v>0.12221</v>
      </c>
      <c r="F2368">
        <v>8.1828000000000003</v>
      </c>
      <c r="G2368">
        <v>750.88</v>
      </c>
      <c r="H2368">
        <v>1.5078</v>
      </c>
    </row>
    <row r="2369" spans="1:8" x14ac:dyDescent="0.25">
      <c r="B2369">
        <v>1.5117</v>
      </c>
      <c r="C2369">
        <v>265</v>
      </c>
      <c r="D2369">
        <v>54.7</v>
      </c>
      <c r="E2369">
        <v>0.12132</v>
      </c>
      <c r="F2369">
        <v>8.2423999999999999</v>
      </c>
      <c r="G2369">
        <v>753.67</v>
      </c>
      <c r="H2369">
        <v>1.5117</v>
      </c>
    </row>
    <row r="2370" spans="1:8" x14ac:dyDescent="0.25">
      <c r="B2370">
        <v>1.5155000000000001</v>
      </c>
      <c r="C2370">
        <v>270</v>
      </c>
      <c r="D2370">
        <v>54.7</v>
      </c>
      <c r="E2370">
        <v>0.12045</v>
      </c>
      <c r="F2370">
        <v>8.3018999999999998</v>
      </c>
      <c r="G2370">
        <v>756.46</v>
      </c>
      <c r="H2370">
        <v>1.5155000000000001</v>
      </c>
    </row>
    <row r="2371" spans="1:8" x14ac:dyDescent="0.25">
      <c r="B2371">
        <v>1.5193000000000001</v>
      </c>
      <c r="C2371">
        <v>275</v>
      </c>
      <c r="D2371">
        <v>54.7</v>
      </c>
      <c r="E2371">
        <v>0.1196</v>
      </c>
      <c r="F2371">
        <v>8.3613999999999997</v>
      </c>
      <c r="G2371">
        <v>759.25</v>
      </c>
      <c r="H2371">
        <v>1.5193000000000001</v>
      </c>
    </row>
    <row r="2372" spans="1:8" x14ac:dyDescent="0.25">
      <c r="B2372">
        <v>1.5230999999999999</v>
      </c>
      <c r="C2372">
        <v>280</v>
      </c>
      <c r="D2372">
        <v>54.7</v>
      </c>
      <c r="E2372">
        <v>0.11874999999999999</v>
      </c>
      <c r="F2372">
        <v>8.4207999999999998</v>
      </c>
      <c r="G2372">
        <v>762.05</v>
      </c>
      <c r="H2372">
        <v>1.5230999999999999</v>
      </c>
    </row>
    <row r="2373" spans="1:8" x14ac:dyDescent="0.25">
      <c r="B2373">
        <v>1.5268999999999999</v>
      </c>
      <c r="C2373">
        <v>285</v>
      </c>
      <c r="D2373">
        <v>54.7</v>
      </c>
      <c r="E2373">
        <v>0.11792</v>
      </c>
      <c r="F2373">
        <v>8.4802</v>
      </c>
      <c r="G2373">
        <v>764.86</v>
      </c>
      <c r="H2373">
        <v>1.5268999999999999</v>
      </c>
    </row>
    <row r="2374" spans="1:8" x14ac:dyDescent="0.25">
      <c r="B2374">
        <v>1.5306</v>
      </c>
      <c r="C2374">
        <v>290</v>
      </c>
      <c r="D2374">
        <v>54.7</v>
      </c>
      <c r="E2374">
        <v>0.1171</v>
      </c>
      <c r="F2374">
        <v>8.5395000000000003</v>
      </c>
      <c r="G2374">
        <v>767.67</v>
      </c>
      <c r="H2374">
        <v>1.5306</v>
      </c>
    </row>
    <row r="2375" spans="1:8" x14ac:dyDescent="0.25">
      <c r="B2375">
        <v>1.5344</v>
      </c>
      <c r="C2375">
        <v>295</v>
      </c>
      <c r="D2375">
        <v>54.7</v>
      </c>
      <c r="E2375">
        <v>0.11629</v>
      </c>
      <c r="F2375">
        <v>8.5988000000000007</v>
      </c>
      <c r="G2375">
        <v>770.48</v>
      </c>
      <c r="H2375">
        <v>1.5344</v>
      </c>
    </row>
    <row r="2376" spans="1:8" x14ac:dyDescent="0.25">
      <c r="B2376">
        <v>1.5381</v>
      </c>
      <c r="C2376">
        <v>300</v>
      </c>
      <c r="D2376">
        <v>54.7</v>
      </c>
      <c r="E2376">
        <v>0.11550000000000001</v>
      </c>
      <c r="F2376">
        <v>8.6580999999999992</v>
      </c>
      <c r="G2376">
        <v>773.3</v>
      </c>
      <c r="H2376">
        <v>1.5381</v>
      </c>
    </row>
    <row r="2378" spans="1:8" x14ac:dyDescent="0.25">
      <c r="A2378">
        <v>57.1</v>
      </c>
      <c r="B2378">
        <v>-2.5544000000000001E-2</v>
      </c>
      <c r="C2378">
        <v>-50</v>
      </c>
      <c r="D2378">
        <v>57.1</v>
      </c>
      <c r="E2378">
        <v>43.511000000000003</v>
      </c>
      <c r="F2378">
        <v>2.2983E-2</v>
      </c>
      <c r="G2378">
        <v>-10.391999999999999</v>
      </c>
      <c r="H2378">
        <v>-2.5544000000000001E-2</v>
      </c>
    </row>
    <row r="2379" spans="1:8" x14ac:dyDescent="0.25">
      <c r="B2379">
        <v>-1.2815E-2</v>
      </c>
      <c r="C2379">
        <v>-45</v>
      </c>
      <c r="D2379">
        <v>57.1</v>
      </c>
      <c r="E2379">
        <v>43.304000000000002</v>
      </c>
      <c r="F2379">
        <v>2.3092999999999999E-2</v>
      </c>
      <c r="G2379">
        <v>-5.1458000000000004</v>
      </c>
      <c r="H2379">
        <v>-1.2815E-2</v>
      </c>
    </row>
    <row r="2380" spans="1:8" x14ac:dyDescent="0.25">
      <c r="B2380">
        <v>-1.9612000000000001E-4</v>
      </c>
      <c r="C2380">
        <v>-40</v>
      </c>
      <c r="D2380">
        <v>57.1</v>
      </c>
      <c r="E2380">
        <v>43.094000000000001</v>
      </c>
      <c r="F2380">
        <v>2.3205E-2</v>
      </c>
      <c r="G2380">
        <v>0.11839</v>
      </c>
      <c r="H2380">
        <v>-1.9612000000000001E-4</v>
      </c>
    </row>
    <row r="2381" spans="1:8" x14ac:dyDescent="0.25">
      <c r="B2381">
        <v>1.2314E-2</v>
      </c>
      <c r="C2381">
        <v>-35</v>
      </c>
      <c r="D2381">
        <v>57.1</v>
      </c>
      <c r="E2381">
        <v>42.883000000000003</v>
      </c>
      <c r="F2381">
        <v>2.3318999999999999E-2</v>
      </c>
      <c r="G2381">
        <v>5.3998999999999997</v>
      </c>
      <c r="H2381">
        <v>1.2314E-2</v>
      </c>
    </row>
    <row r="2382" spans="1:8" x14ac:dyDescent="0.25">
      <c r="B2382">
        <v>2.4719000000000001E-2</v>
      </c>
      <c r="C2382">
        <v>-30</v>
      </c>
      <c r="D2382">
        <v>57.1</v>
      </c>
      <c r="E2382">
        <v>42.668999999999997</v>
      </c>
      <c r="F2382">
        <v>2.3435999999999998E-2</v>
      </c>
      <c r="G2382">
        <v>10.699</v>
      </c>
      <c r="H2382">
        <v>2.4719000000000001E-2</v>
      </c>
    </row>
    <row r="2383" spans="1:8" x14ac:dyDescent="0.25">
      <c r="B2383">
        <v>3.7018000000000002E-2</v>
      </c>
      <c r="C2383">
        <v>-25</v>
      </c>
      <c r="D2383">
        <v>57.1</v>
      </c>
      <c r="E2383">
        <v>42.454000000000001</v>
      </c>
      <c r="F2383">
        <v>2.3555E-2</v>
      </c>
      <c r="G2383">
        <v>16.013999999999999</v>
      </c>
      <c r="H2383">
        <v>3.7018000000000002E-2</v>
      </c>
    </row>
    <row r="2384" spans="1:8" x14ac:dyDescent="0.25">
      <c r="B2384">
        <v>4.9215000000000002E-2</v>
      </c>
      <c r="C2384">
        <v>-20</v>
      </c>
      <c r="D2384">
        <v>57.1</v>
      </c>
      <c r="E2384">
        <v>42.237000000000002</v>
      </c>
      <c r="F2384">
        <v>2.3675999999999999E-2</v>
      </c>
      <c r="G2384">
        <v>21.346</v>
      </c>
      <c r="H2384">
        <v>4.9215000000000002E-2</v>
      </c>
    </row>
    <row r="2385" spans="2:8" x14ac:dyDescent="0.25">
      <c r="B2385">
        <v>6.1310999999999997E-2</v>
      </c>
      <c r="C2385">
        <v>-15</v>
      </c>
      <c r="D2385">
        <v>57.1</v>
      </c>
      <c r="E2385">
        <v>42.018999999999998</v>
      </c>
      <c r="F2385">
        <v>2.3799000000000001E-2</v>
      </c>
      <c r="G2385">
        <v>26.695</v>
      </c>
      <c r="H2385">
        <v>6.1310999999999997E-2</v>
      </c>
    </row>
    <row r="2386" spans="2:8" x14ac:dyDescent="0.25">
      <c r="B2386">
        <v>7.3308999999999999E-2</v>
      </c>
      <c r="C2386">
        <v>-10</v>
      </c>
      <c r="D2386">
        <v>57.1</v>
      </c>
      <c r="E2386">
        <v>41.798000000000002</v>
      </c>
      <c r="F2386">
        <v>2.3924999999999998E-2</v>
      </c>
      <c r="G2386">
        <v>32.06</v>
      </c>
      <c r="H2386">
        <v>7.3308999999999999E-2</v>
      </c>
    </row>
    <row r="2387" spans="2:8" x14ac:dyDescent="0.25">
      <c r="B2387">
        <v>8.5209999999999994E-2</v>
      </c>
      <c r="C2387">
        <v>-5</v>
      </c>
      <c r="D2387">
        <v>57.1</v>
      </c>
      <c r="E2387">
        <v>41.575000000000003</v>
      </c>
      <c r="F2387">
        <v>2.4053000000000001E-2</v>
      </c>
      <c r="G2387">
        <v>37.441000000000003</v>
      </c>
      <c r="H2387">
        <v>8.5209999999999994E-2</v>
      </c>
    </row>
    <row r="2388" spans="2:8" x14ac:dyDescent="0.25">
      <c r="B2388">
        <v>9.7017000000000006E-2</v>
      </c>
      <c r="C2388">
        <v>0</v>
      </c>
      <c r="D2388">
        <v>57.1</v>
      </c>
      <c r="E2388">
        <v>41.35</v>
      </c>
      <c r="F2388">
        <v>2.4184000000000001E-2</v>
      </c>
      <c r="G2388">
        <v>42.838999999999999</v>
      </c>
      <c r="H2388">
        <v>9.7017000000000006E-2</v>
      </c>
    </row>
    <row r="2389" spans="2:8" x14ac:dyDescent="0.25">
      <c r="B2389">
        <v>0.10872999999999999</v>
      </c>
      <c r="C2389">
        <v>5</v>
      </c>
      <c r="D2389">
        <v>57.1</v>
      </c>
      <c r="E2389">
        <v>41.124000000000002</v>
      </c>
      <c r="F2389">
        <v>2.4316999999999998E-2</v>
      </c>
      <c r="G2389">
        <v>48.253</v>
      </c>
      <c r="H2389">
        <v>0.10872999999999999</v>
      </c>
    </row>
    <row r="2390" spans="2:8" x14ac:dyDescent="0.25">
      <c r="B2390">
        <v>0.12035999999999999</v>
      </c>
      <c r="C2390">
        <v>10</v>
      </c>
      <c r="D2390">
        <v>57.1</v>
      </c>
      <c r="E2390">
        <v>40.895000000000003</v>
      </c>
      <c r="F2390">
        <v>2.4452999999999999E-2</v>
      </c>
      <c r="G2390">
        <v>53.683999999999997</v>
      </c>
      <c r="H2390">
        <v>0.12035999999999999</v>
      </c>
    </row>
    <row r="2391" spans="2:8" x14ac:dyDescent="0.25">
      <c r="B2391">
        <v>0.13189999999999999</v>
      </c>
      <c r="C2391">
        <v>15</v>
      </c>
      <c r="D2391">
        <v>57.1</v>
      </c>
      <c r="E2391">
        <v>40.664000000000001</v>
      </c>
      <c r="F2391">
        <v>2.4591999999999999E-2</v>
      </c>
      <c r="G2391">
        <v>59.131999999999998</v>
      </c>
      <c r="H2391">
        <v>0.13189999999999999</v>
      </c>
    </row>
    <row r="2392" spans="2:8" x14ac:dyDescent="0.25">
      <c r="B2392">
        <v>0.14335000000000001</v>
      </c>
      <c r="C2392">
        <v>20</v>
      </c>
      <c r="D2392">
        <v>57.1</v>
      </c>
      <c r="E2392">
        <v>40.430999999999997</v>
      </c>
      <c r="F2392">
        <v>2.4733000000000002E-2</v>
      </c>
      <c r="G2392">
        <v>64.596999999999994</v>
      </c>
      <c r="H2392">
        <v>0.14335000000000001</v>
      </c>
    </row>
    <row r="2393" spans="2:8" x14ac:dyDescent="0.25">
      <c r="B2393">
        <v>0.15472</v>
      </c>
      <c r="C2393">
        <v>25</v>
      </c>
      <c r="D2393">
        <v>57.1</v>
      </c>
      <c r="E2393">
        <v>40.195999999999998</v>
      </c>
      <c r="F2393">
        <v>2.4878000000000001E-2</v>
      </c>
      <c r="G2393">
        <v>70.078999999999994</v>
      </c>
      <c r="H2393">
        <v>0.15472</v>
      </c>
    </row>
    <row r="2394" spans="2:8" x14ac:dyDescent="0.25">
      <c r="B2394">
        <v>1.2848999999999999</v>
      </c>
      <c r="C2394">
        <v>30</v>
      </c>
      <c r="D2394">
        <v>57.1</v>
      </c>
      <c r="E2394">
        <v>0.1976</v>
      </c>
      <c r="F2394">
        <v>5.0606</v>
      </c>
      <c r="G2394">
        <v>621.09</v>
      </c>
      <c r="H2394">
        <v>1.2848999999999999</v>
      </c>
    </row>
    <row r="2395" spans="2:8" x14ac:dyDescent="0.25">
      <c r="B2395">
        <v>1.2912999999999999</v>
      </c>
      <c r="C2395">
        <v>35</v>
      </c>
      <c r="D2395">
        <v>57.1</v>
      </c>
      <c r="E2395">
        <v>0.19500000000000001</v>
      </c>
      <c r="F2395">
        <v>5.1283000000000003</v>
      </c>
      <c r="G2395">
        <v>624.21</v>
      </c>
      <c r="H2395">
        <v>1.2912999999999999</v>
      </c>
    </row>
    <row r="2396" spans="2:8" x14ac:dyDescent="0.25">
      <c r="B2396">
        <v>1.2975000000000001</v>
      </c>
      <c r="C2396">
        <v>40</v>
      </c>
      <c r="D2396">
        <v>57.1</v>
      </c>
      <c r="E2396">
        <v>0.19248999999999999</v>
      </c>
      <c r="F2396">
        <v>5.1951999999999998</v>
      </c>
      <c r="G2396">
        <v>627.29</v>
      </c>
      <c r="H2396">
        <v>1.2975000000000001</v>
      </c>
    </row>
    <row r="2397" spans="2:8" x14ac:dyDescent="0.25">
      <c r="B2397">
        <v>1.3035000000000001</v>
      </c>
      <c r="C2397">
        <v>45</v>
      </c>
      <c r="D2397">
        <v>57.1</v>
      </c>
      <c r="E2397">
        <v>0.19006999999999999</v>
      </c>
      <c r="F2397">
        <v>5.2613000000000003</v>
      </c>
      <c r="G2397">
        <v>630.33000000000004</v>
      </c>
      <c r="H2397">
        <v>1.3035000000000001</v>
      </c>
    </row>
    <row r="2398" spans="2:8" x14ac:dyDescent="0.25">
      <c r="B2398">
        <v>1.3095000000000001</v>
      </c>
      <c r="C2398">
        <v>50</v>
      </c>
      <c r="D2398">
        <v>57.1</v>
      </c>
      <c r="E2398">
        <v>0.18773000000000001</v>
      </c>
      <c r="F2398">
        <v>5.3269000000000002</v>
      </c>
      <c r="G2398">
        <v>633.34</v>
      </c>
      <c r="H2398">
        <v>1.3095000000000001</v>
      </c>
    </row>
    <row r="2399" spans="2:8" x14ac:dyDescent="0.25">
      <c r="B2399">
        <v>1.3152999999999999</v>
      </c>
      <c r="C2399">
        <v>55</v>
      </c>
      <c r="D2399">
        <v>57.1</v>
      </c>
      <c r="E2399">
        <v>0.18547</v>
      </c>
      <c r="F2399">
        <v>5.3917999999999999</v>
      </c>
      <c r="G2399">
        <v>636.32000000000005</v>
      </c>
      <c r="H2399">
        <v>1.3152999999999999</v>
      </c>
    </row>
    <row r="2400" spans="2:8" x14ac:dyDescent="0.25">
      <c r="B2400">
        <v>1.321</v>
      </c>
      <c r="C2400">
        <v>60</v>
      </c>
      <c r="D2400">
        <v>57.1</v>
      </c>
      <c r="E2400">
        <v>0.18328</v>
      </c>
      <c r="F2400">
        <v>5.4561999999999999</v>
      </c>
      <c r="G2400">
        <v>639.28</v>
      </c>
      <c r="H2400">
        <v>1.321</v>
      </c>
    </row>
    <row r="2401" spans="2:8" x14ac:dyDescent="0.25">
      <c r="B2401">
        <v>1.3266</v>
      </c>
      <c r="C2401">
        <v>65</v>
      </c>
      <c r="D2401">
        <v>57.1</v>
      </c>
      <c r="E2401">
        <v>0.18115000000000001</v>
      </c>
      <c r="F2401">
        <v>5.5202</v>
      </c>
      <c r="G2401">
        <v>642.20000000000005</v>
      </c>
      <c r="H2401">
        <v>1.3266</v>
      </c>
    </row>
    <row r="2402" spans="2:8" x14ac:dyDescent="0.25">
      <c r="B2402">
        <v>1.3321000000000001</v>
      </c>
      <c r="C2402">
        <v>70</v>
      </c>
      <c r="D2402">
        <v>57.1</v>
      </c>
      <c r="E2402">
        <v>0.17909</v>
      </c>
      <c r="F2402">
        <v>5.5837000000000003</v>
      </c>
      <c r="G2402">
        <v>645.11</v>
      </c>
      <c r="H2402">
        <v>1.3321000000000001</v>
      </c>
    </row>
    <row r="2403" spans="2:8" x14ac:dyDescent="0.25">
      <c r="B2403">
        <v>1.3374999999999999</v>
      </c>
      <c r="C2403">
        <v>75</v>
      </c>
      <c r="D2403">
        <v>57.1</v>
      </c>
      <c r="E2403">
        <v>0.17709</v>
      </c>
      <c r="F2403">
        <v>5.6467000000000001</v>
      </c>
      <c r="G2403">
        <v>648</v>
      </c>
      <c r="H2403">
        <v>1.3374999999999999</v>
      </c>
    </row>
    <row r="2404" spans="2:8" x14ac:dyDescent="0.25">
      <c r="B2404">
        <v>1.3429</v>
      </c>
      <c r="C2404">
        <v>80</v>
      </c>
      <c r="D2404">
        <v>57.1</v>
      </c>
      <c r="E2404">
        <v>0.17515</v>
      </c>
      <c r="F2404">
        <v>5.7093999999999996</v>
      </c>
      <c r="G2404">
        <v>650.87</v>
      </c>
      <c r="H2404">
        <v>1.3429</v>
      </c>
    </row>
    <row r="2405" spans="2:8" x14ac:dyDescent="0.25">
      <c r="B2405">
        <v>1.3482000000000001</v>
      </c>
      <c r="C2405">
        <v>85</v>
      </c>
      <c r="D2405">
        <v>57.1</v>
      </c>
      <c r="E2405">
        <v>0.17326</v>
      </c>
      <c r="F2405">
        <v>5.7717000000000001</v>
      </c>
      <c r="G2405">
        <v>653.73</v>
      </c>
      <c r="H2405">
        <v>1.3482000000000001</v>
      </c>
    </row>
    <row r="2406" spans="2:8" x14ac:dyDescent="0.25">
      <c r="B2406">
        <v>1.3532999999999999</v>
      </c>
      <c r="C2406">
        <v>90</v>
      </c>
      <c r="D2406">
        <v>57.1</v>
      </c>
      <c r="E2406">
        <v>0.17141999999999999</v>
      </c>
      <c r="F2406">
        <v>5.8335999999999997</v>
      </c>
      <c r="G2406">
        <v>656.57</v>
      </c>
      <c r="H2406">
        <v>1.3532999999999999</v>
      </c>
    </row>
    <row r="2407" spans="2:8" x14ac:dyDescent="0.25">
      <c r="B2407">
        <v>1.3585</v>
      </c>
      <c r="C2407">
        <v>95</v>
      </c>
      <c r="D2407">
        <v>57.1</v>
      </c>
      <c r="E2407">
        <v>0.16963</v>
      </c>
      <c r="F2407">
        <v>5.8952999999999998</v>
      </c>
      <c r="G2407">
        <v>659.39</v>
      </c>
      <c r="H2407">
        <v>1.3585</v>
      </c>
    </row>
    <row r="2408" spans="2:8" x14ac:dyDescent="0.25">
      <c r="B2408">
        <v>1.3634999999999999</v>
      </c>
      <c r="C2408">
        <v>100</v>
      </c>
      <c r="D2408">
        <v>57.1</v>
      </c>
      <c r="E2408">
        <v>0.16788</v>
      </c>
      <c r="F2408">
        <v>5.9566999999999997</v>
      </c>
      <c r="G2408">
        <v>662.21</v>
      </c>
      <c r="H2408">
        <v>1.3634999999999999</v>
      </c>
    </row>
    <row r="2409" spans="2:8" x14ac:dyDescent="0.25">
      <c r="B2409">
        <v>1.3685</v>
      </c>
      <c r="C2409">
        <v>105</v>
      </c>
      <c r="D2409">
        <v>57.1</v>
      </c>
      <c r="E2409">
        <v>0.16617999999999999</v>
      </c>
      <c r="F2409">
        <v>6.0176999999999996</v>
      </c>
      <c r="G2409">
        <v>665.02</v>
      </c>
      <c r="H2409">
        <v>1.3685</v>
      </c>
    </row>
    <row r="2410" spans="2:8" x14ac:dyDescent="0.25">
      <c r="B2410">
        <v>1.3734</v>
      </c>
      <c r="C2410">
        <v>110</v>
      </c>
      <c r="D2410">
        <v>57.1</v>
      </c>
      <c r="E2410">
        <v>0.16450999999999999</v>
      </c>
      <c r="F2410">
        <v>6.0785999999999998</v>
      </c>
      <c r="G2410">
        <v>667.82</v>
      </c>
      <c r="H2410">
        <v>1.3734</v>
      </c>
    </row>
    <row r="2411" spans="2:8" x14ac:dyDescent="0.25">
      <c r="B2411">
        <v>1.3783000000000001</v>
      </c>
      <c r="C2411">
        <v>115</v>
      </c>
      <c r="D2411">
        <v>57.1</v>
      </c>
      <c r="E2411">
        <v>0.16289000000000001</v>
      </c>
      <c r="F2411">
        <v>6.1391999999999998</v>
      </c>
      <c r="G2411">
        <v>670.6</v>
      </c>
      <c r="H2411">
        <v>1.3783000000000001</v>
      </c>
    </row>
    <row r="2412" spans="2:8" x14ac:dyDescent="0.25">
      <c r="B2412">
        <v>1.3831</v>
      </c>
      <c r="C2412">
        <v>120</v>
      </c>
      <c r="D2412">
        <v>57.1</v>
      </c>
      <c r="E2412">
        <v>0.1613</v>
      </c>
      <c r="F2412">
        <v>6.1994999999999996</v>
      </c>
      <c r="G2412">
        <v>673.39</v>
      </c>
      <c r="H2412">
        <v>1.3831</v>
      </c>
    </row>
    <row r="2413" spans="2:8" x14ac:dyDescent="0.25">
      <c r="B2413">
        <v>1.3878999999999999</v>
      </c>
      <c r="C2413">
        <v>125</v>
      </c>
      <c r="D2413">
        <v>57.1</v>
      </c>
      <c r="E2413">
        <v>0.15975</v>
      </c>
      <c r="F2413">
        <v>6.2596999999999996</v>
      </c>
      <c r="G2413">
        <v>676.16</v>
      </c>
      <c r="H2413">
        <v>1.3878999999999999</v>
      </c>
    </row>
    <row r="2414" spans="2:8" x14ac:dyDescent="0.25">
      <c r="B2414">
        <v>1.3926000000000001</v>
      </c>
      <c r="C2414">
        <v>130</v>
      </c>
      <c r="D2414">
        <v>57.1</v>
      </c>
      <c r="E2414">
        <v>0.15823999999999999</v>
      </c>
      <c r="F2414">
        <v>6.3197000000000001</v>
      </c>
      <c r="G2414">
        <v>678.93</v>
      </c>
      <c r="H2414">
        <v>1.3926000000000001</v>
      </c>
    </row>
    <row r="2415" spans="2:8" x14ac:dyDescent="0.25">
      <c r="B2415">
        <v>1.3973</v>
      </c>
      <c r="C2415">
        <v>135</v>
      </c>
      <c r="D2415">
        <v>57.1</v>
      </c>
      <c r="E2415">
        <v>0.15675</v>
      </c>
      <c r="F2415">
        <v>6.3794000000000004</v>
      </c>
      <c r="G2415">
        <v>681.7</v>
      </c>
      <c r="H2415">
        <v>1.3973</v>
      </c>
    </row>
    <row r="2416" spans="2:8" x14ac:dyDescent="0.25">
      <c r="B2416">
        <v>1.4018999999999999</v>
      </c>
      <c r="C2416">
        <v>140</v>
      </c>
      <c r="D2416">
        <v>57.1</v>
      </c>
      <c r="E2416">
        <v>0.15529999999999999</v>
      </c>
      <c r="F2416">
        <v>6.4390000000000001</v>
      </c>
      <c r="G2416">
        <v>684.46</v>
      </c>
      <c r="H2416">
        <v>1.4018999999999999</v>
      </c>
    </row>
    <row r="2417" spans="2:8" x14ac:dyDescent="0.25">
      <c r="B2417">
        <v>1.4065000000000001</v>
      </c>
      <c r="C2417">
        <v>145</v>
      </c>
      <c r="D2417">
        <v>57.1</v>
      </c>
      <c r="E2417">
        <v>0.15387999999999999</v>
      </c>
      <c r="F2417">
        <v>6.4984999999999999</v>
      </c>
      <c r="G2417">
        <v>687.22</v>
      </c>
      <c r="H2417">
        <v>1.4065000000000001</v>
      </c>
    </row>
    <row r="2418" spans="2:8" x14ac:dyDescent="0.25">
      <c r="B2418">
        <v>1.411</v>
      </c>
      <c r="C2418">
        <v>150</v>
      </c>
      <c r="D2418">
        <v>57.1</v>
      </c>
      <c r="E2418">
        <v>0.15248999999999999</v>
      </c>
      <c r="F2418">
        <v>6.5576999999999996</v>
      </c>
      <c r="G2418">
        <v>689.98</v>
      </c>
      <c r="H2418">
        <v>1.411</v>
      </c>
    </row>
    <row r="2419" spans="2:8" x14ac:dyDescent="0.25">
      <c r="B2419">
        <v>1.4155</v>
      </c>
      <c r="C2419">
        <v>155</v>
      </c>
      <c r="D2419">
        <v>57.1</v>
      </c>
      <c r="E2419">
        <v>0.15112999999999999</v>
      </c>
      <c r="F2419">
        <v>6.6167999999999996</v>
      </c>
      <c r="G2419">
        <v>692.73</v>
      </c>
      <c r="H2419">
        <v>1.4155</v>
      </c>
    </row>
    <row r="2420" spans="2:8" x14ac:dyDescent="0.25">
      <c r="B2420">
        <v>1.42</v>
      </c>
      <c r="C2420">
        <v>160</v>
      </c>
      <c r="D2420">
        <v>57.1</v>
      </c>
      <c r="E2420">
        <v>0.14979000000000001</v>
      </c>
      <c r="F2420">
        <v>6.6757999999999997</v>
      </c>
      <c r="G2420">
        <v>695.48</v>
      </c>
      <c r="H2420">
        <v>1.42</v>
      </c>
    </row>
    <row r="2421" spans="2:8" x14ac:dyDescent="0.25">
      <c r="B2421">
        <v>1.4244000000000001</v>
      </c>
      <c r="C2421">
        <v>165</v>
      </c>
      <c r="D2421">
        <v>57.1</v>
      </c>
      <c r="E2421">
        <v>0.14849000000000001</v>
      </c>
      <c r="F2421">
        <v>6.7347000000000001</v>
      </c>
      <c r="G2421">
        <v>698.23</v>
      </c>
      <c r="H2421">
        <v>1.4244000000000001</v>
      </c>
    </row>
    <row r="2422" spans="2:8" x14ac:dyDescent="0.25">
      <c r="B2422">
        <v>1.4288000000000001</v>
      </c>
      <c r="C2422">
        <v>170</v>
      </c>
      <c r="D2422">
        <v>57.1</v>
      </c>
      <c r="E2422">
        <v>0.1472</v>
      </c>
      <c r="F2422">
        <v>6.7934000000000001</v>
      </c>
      <c r="G2422">
        <v>700.98</v>
      </c>
      <c r="H2422">
        <v>1.4288000000000001</v>
      </c>
    </row>
    <row r="2423" spans="2:8" x14ac:dyDescent="0.25">
      <c r="B2423">
        <v>1.4332</v>
      </c>
      <c r="C2423">
        <v>175</v>
      </c>
      <c r="D2423">
        <v>57.1</v>
      </c>
      <c r="E2423">
        <v>0.14593999999999999</v>
      </c>
      <c r="F2423">
        <v>6.8520000000000003</v>
      </c>
      <c r="G2423">
        <v>703.73</v>
      </c>
      <c r="H2423">
        <v>1.4332</v>
      </c>
    </row>
    <row r="2424" spans="2:8" x14ac:dyDescent="0.25">
      <c r="B2424">
        <v>1.4375</v>
      </c>
      <c r="C2424">
        <v>180</v>
      </c>
      <c r="D2424">
        <v>57.1</v>
      </c>
      <c r="E2424">
        <v>0.14471000000000001</v>
      </c>
      <c r="F2424">
        <v>6.9104999999999999</v>
      </c>
      <c r="G2424">
        <v>706.48</v>
      </c>
      <c r="H2424">
        <v>1.4375</v>
      </c>
    </row>
    <row r="2425" spans="2:8" x14ac:dyDescent="0.25">
      <c r="B2425">
        <v>1.4418</v>
      </c>
      <c r="C2425">
        <v>185</v>
      </c>
      <c r="D2425">
        <v>57.1</v>
      </c>
      <c r="E2425">
        <v>0.14349999999999999</v>
      </c>
      <c r="F2425">
        <v>6.9687999999999999</v>
      </c>
      <c r="G2425">
        <v>709.23</v>
      </c>
      <c r="H2425">
        <v>1.4418</v>
      </c>
    </row>
    <row r="2426" spans="2:8" x14ac:dyDescent="0.25">
      <c r="B2426">
        <v>1.446</v>
      </c>
      <c r="C2426">
        <v>190</v>
      </c>
      <c r="D2426">
        <v>57.1</v>
      </c>
      <c r="E2426">
        <v>0.14230999999999999</v>
      </c>
      <c r="F2426">
        <v>7.0270999999999999</v>
      </c>
      <c r="G2426">
        <v>711.98</v>
      </c>
      <c r="H2426">
        <v>1.446</v>
      </c>
    </row>
    <row r="2427" spans="2:8" x14ac:dyDescent="0.25">
      <c r="B2427">
        <v>1.4501999999999999</v>
      </c>
      <c r="C2427">
        <v>195</v>
      </c>
      <c r="D2427">
        <v>57.1</v>
      </c>
      <c r="E2427">
        <v>0.14113999999999999</v>
      </c>
      <c r="F2427">
        <v>7.0853000000000002</v>
      </c>
      <c r="G2427">
        <v>714.73</v>
      </c>
      <c r="H2427">
        <v>1.4501999999999999</v>
      </c>
    </row>
    <row r="2428" spans="2:8" x14ac:dyDescent="0.25">
      <c r="B2428">
        <v>1.4543999999999999</v>
      </c>
      <c r="C2428">
        <v>200</v>
      </c>
      <c r="D2428">
        <v>57.1</v>
      </c>
      <c r="E2428">
        <v>0.13999</v>
      </c>
      <c r="F2428">
        <v>7.1433999999999997</v>
      </c>
      <c r="G2428">
        <v>717.48</v>
      </c>
      <c r="H2428">
        <v>1.4543999999999999</v>
      </c>
    </row>
    <row r="2429" spans="2:8" x14ac:dyDescent="0.25">
      <c r="B2429">
        <v>1.4585999999999999</v>
      </c>
      <c r="C2429">
        <v>205</v>
      </c>
      <c r="D2429">
        <v>57.1</v>
      </c>
      <c r="E2429">
        <v>0.13886000000000001</v>
      </c>
      <c r="F2429">
        <v>7.2013999999999996</v>
      </c>
      <c r="G2429">
        <v>720.24</v>
      </c>
      <c r="H2429">
        <v>1.4585999999999999</v>
      </c>
    </row>
    <row r="2430" spans="2:8" x14ac:dyDescent="0.25">
      <c r="B2430">
        <v>1.4626999999999999</v>
      </c>
      <c r="C2430">
        <v>210</v>
      </c>
      <c r="D2430">
        <v>57.1</v>
      </c>
      <c r="E2430">
        <v>0.13775999999999999</v>
      </c>
      <c r="F2430">
        <v>7.2592999999999996</v>
      </c>
      <c r="G2430">
        <v>722.99</v>
      </c>
      <c r="H2430">
        <v>1.4626999999999999</v>
      </c>
    </row>
    <row r="2431" spans="2:8" x14ac:dyDescent="0.25">
      <c r="B2431">
        <v>1.4668000000000001</v>
      </c>
      <c r="C2431">
        <v>215</v>
      </c>
      <c r="D2431">
        <v>57.1</v>
      </c>
      <c r="E2431">
        <v>0.13667000000000001</v>
      </c>
      <c r="F2431">
        <v>7.3170999999999999</v>
      </c>
      <c r="G2431">
        <v>725.75</v>
      </c>
      <c r="H2431">
        <v>1.4668000000000001</v>
      </c>
    </row>
    <row r="2432" spans="2:8" x14ac:dyDescent="0.25">
      <c r="B2432">
        <v>1.4709000000000001</v>
      </c>
      <c r="C2432">
        <v>220</v>
      </c>
      <c r="D2432">
        <v>57.1</v>
      </c>
      <c r="E2432">
        <v>0.1356</v>
      </c>
      <c r="F2432">
        <v>7.3747999999999996</v>
      </c>
      <c r="G2432">
        <v>728.51</v>
      </c>
      <c r="H2432">
        <v>1.4709000000000001</v>
      </c>
    </row>
    <row r="2433" spans="2:8" x14ac:dyDescent="0.25">
      <c r="B2433">
        <v>1.4749000000000001</v>
      </c>
      <c r="C2433">
        <v>225</v>
      </c>
      <c r="D2433">
        <v>57.1</v>
      </c>
      <c r="E2433">
        <v>0.13453999999999999</v>
      </c>
      <c r="F2433">
        <v>7.4325000000000001</v>
      </c>
      <c r="G2433">
        <v>731.27</v>
      </c>
      <c r="H2433">
        <v>1.4749000000000001</v>
      </c>
    </row>
    <row r="2434" spans="2:8" x14ac:dyDescent="0.25">
      <c r="B2434">
        <v>1.4790000000000001</v>
      </c>
      <c r="C2434">
        <v>230</v>
      </c>
      <c r="D2434">
        <v>57.1</v>
      </c>
      <c r="E2434">
        <v>0.13350999999999999</v>
      </c>
      <c r="F2434">
        <v>7.4901</v>
      </c>
      <c r="G2434">
        <v>734.04</v>
      </c>
      <c r="H2434">
        <v>1.4790000000000001</v>
      </c>
    </row>
    <row r="2435" spans="2:8" x14ac:dyDescent="0.25">
      <c r="B2435">
        <v>1.4830000000000001</v>
      </c>
      <c r="C2435">
        <v>235</v>
      </c>
      <c r="D2435">
        <v>57.1</v>
      </c>
      <c r="E2435">
        <v>0.13249</v>
      </c>
      <c r="F2435">
        <v>7.5476000000000001</v>
      </c>
      <c r="G2435">
        <v>736.81</v>
      </c>
      <c r="H2435">
        <v>1.4830000000000001</v>
      </c>
    </row>
    <row r="2436" spans="2:8" x14ac:dyDescent="0.25">
      <c r="B2436">
        <v>1.4869000000000001</v>
      </c>
      <c r="C2436">
        <v>240</v>
      </c>
      <c r="D2436">
        <v>57.1</v>
      </c>
      <c r="E2436">
        <v>0.13149</v>
      </c>
      <c r="F2436">
        <v>7.6051000000000002</v>
      </c>
      <c r="G2436">
        <v>739.58</v>
      </c>
      <c r="H2436">
        <v>1.4869000000000001</v>
      </c>
    </row>
    <row r="2437" spans="2:8" x14ac:dyDescent="0.25">
      <c r="B2437">
        <v>1.4908999999999999</v>
      </c>
      <c r="C2437">
        <v>245</v>
      </c>
      <c r="D2437">
        <v>57.1</v>
      </c>
      <c r="E2437">
        <v>0.13050999999999999</v>
      </c>
      <c r="F2437">
        <v>7.6623999999999999</v>
      </c>
      <c r="G2437">
        <v>742.36</v>
      </c>
      <c r="H2437">
        <v>1.4908999999999999</v>
      </c>
    </row>
    <row r="2438" spans="2:8" x14ac:dyDescent="0.25">
      <c r="B2438">
        <v>1.4947999999999999</v>
      </c>
      <c r="C2438">
        <v>250</v>
      </c>
      <c r="D2438">
        <v>57.1</v>
      </c>
      <c r="E2438">
        <v>0.12953999999999999</v>
      </c>
      <c r="F2438">
        <v>7.7198000000000002</v>
      </c>
      <c r="G2438">
        <v>745.13</v>
      </c>
      <c r="H2438">
        <v>1.4947999999999999</v>
      </c>
    </row>
    <row r="2439" spans="2:8" x14ac:dyDescent="0.25">
      <c r="B2439">
        <v>1.4986999999999999</v>
      </c>
      <c r="C2439">
        <v>255</v>
      </c>
      <c r="D2439">
        <v>57.1</v>
      </c>
      <c r="E2439">
        <v>0.12858</v>
      </c>
      <c r="F2439">
        <v>7.7770999999999999</v>
      </c>
      <c r="G2439">
        <v>747.92</v>
      </c>
      <c r="H2439">
        <v>1.4986999999999999</v>
      </c>
    </row>
    <row r="2440" spans="2:8" x14ac:dyDescent="0.25">
      <c r="B2440">
        <v>1.5025999999999999</v>
      </c>
      <c r="C2440">
        <v>260</v>
      </c>
      <c r="D2440">
        <v>57.1</v>
      </c>
      <c r="E2440">
        <v>0.12764</v>
      </c>
      <c r="F2440">
        <v>7.8342999999999998</v>
      </c>
      <c r="G2440">
        <v>750.7</v>
      </c>
      <c r="H2440">
        <v>1.5025999999999999</v>
      </c>
    </row>
    <row r="2441" spans="2:8" x14ac:dyDescent="0.25">
      <c r="B2441">
        <v>1.5065</v>
      </c>
      <c r="C2441">
        <v>265</v>
      </c>
      <c r="D2441">
        <v>57.1</v>
      </c>
      <c r="E2441">
        <v>0.12672</v>
      </c>
      <c r="F2441">
        <v>7.8914</v>
      </c>
      <c r="G2441">
        <v>753.49</v>
      </c>
      <c r="H2441">
        <v>1.5065</v>
      </c>
    </row>
    <row r="2442" spans="2:8" x14ac:dyDescent="0.25">
      <c r="B2442">
        <v>1.5103</v>
      </c>
      <c r="C2442">
        <v>270</v>
      </c>
      <c r="D2442">
        <v>57.1</v>
      </c>
      <c r="E2442">
        <v>0.12581000000000001</v>
      </c>
      <c r="F2442">
        <v>7.9485000000000001</v>
      </c>
      <c r="G2442">
        <v>756.29</v>
      </c>
      <c r="H2442">
        <v>1.5103</v>
      </c>
    </row>
    <row r="2443" spans="2:8" x14ac:dyDescent="0.25">
      <c r="B2443">
        <v>1.5141</v>
      </c>
      <c r="C2443">
        <v>275</v>
      </c>
      <c r="D2443">
        <v>57.1</v>
      </c>
      <c r="E2443">
        <v>0.12490999999999999</v>
      </c>
      <c r="F2443">
        <v>8.0055999999999994</v>
      </c>
      <c r="G2443">
        <v>759.09</v>
      </c>
      <c r="H2443">
        <v>1.5141</v>
      </c>
    </row>
    <row r="2444" spans="2:8" x14ac:dyDescent="0.25">
      <c r="B2444">
        <v>1.5179</v>
      </c>
      <c r="C2444">
        <v>280</v>
      </c>
      <c r="D2444">
        <v>57.1</v>
      </c>
      <c r="E2444">
        <v>0.12403</v>
      </c>
      <c r="F2444">
        <v>8.0625999999999998</v>
      </c>
      <c r="G2444">
        <v>761.89</v>
      </c>
      <c r="H2444">
        <v>1.5179</v>
      </c>
    </row>
    <row r="2445" spans="2:8" x14ac:dyDescent="0.25">
      <c r="B2445">
        <v>1.5217000000000001</v>
      </c>
      <c r="C2445">
        <v>285</v>
      </c>
      <c r="D2445">
        <v>57.1</v>
      </c>
      <c r="E2445">
        <v>0.12316000000000001</v>
      </c>
      <c r="F2445">
        <v>8.1196000000000002</v>
      </c>
      <c r="G2445">
        <v>764.7</v>
      </c>
      <c r="H2445">
        <v>1.5217000000000001</v>
      </c>
    </row>
    <row r="2446" spans="2:8" x14ac:dyDescent="0.25">
      <c r="B2446">
        <v>1.5255000000000001</v>
      </c>
      <c r="C2446">
        <v>290</v>
      </c>
      <c r="D2446">
        <v>57.1</v>
      </c>
      <c r="E2446">
        <v>0.12230000000000001</v>
      </c>
      <c r="F2446">
        <v>8.1765000000000008</v>
      </c>
      <c r="G2446">
        <v>767.51</v>
      </c>
      <c r="H2446">
        <v>1.5255000000000001</v>
      </c>
    </row>
    <row r="2447" spans="2:8" x14ac:dyDescent="0.25">
      <c r="B2447">
        <v>1.5291999999999999</v>
      </c>
      <c r="C2447">
        <v>295</v>
      </c>
      <c r="D2447">
        <v>57.1</v>
      </c>
      <c r="E2447">
        <v>0.12146</v>
      </c>
      <c r="F2447">
        <v>8.2333999999999996</v>
      </c>
      <c r="G2447">
        <v>770.32</v>
      </c>
      <c r="H2447">
        <v>1.5291999999999999</v>
      </c>
    </row>
    <row r="2448" spans="2:8" x14ac:dyDescent="0.25">
      <c r="B2448">
        <v>1.5329999999999999</v>
      </c>
      <c r="C2448">
        <v>300</v>
      </c>
      <c r="D2448">
        <v>57.1</v>
      </c>
      <c r="E2448">
        <v>0.12062</v>
      </c>
      <c r="F2448">
        <v>8.2902000000000005</v>
      </c>
      <c r="G2448">
        <v>773.15</v>
      </c>
      <c r="H2448">
        <v>1.5329999999999999</v>
      </c>
    </row>
    <row r="2450" spans="1:8" x14ac:dyDescent="0.25">
      <c r="A2450">
        <v>59.6</v>
      </c>
      <c r="B2450">
        <v>-2.5555000000000001E-2</v>
      </c>
      <c r="C2450">
        <v>-50</v>
      </c>
      <c r="D2450">
        <v>59.6</v>
      </c>
      <c r="E2450">
        <v>43.512</v>
      </c>
      <c r="F2450">
        <v>2.2981999999999999E-2</v>
      </c>
      <c r="G2450">
        <v>-10.385999999999999</v>
      </c>
      <c r="H2450">
        <v>-2.5555000000000001E-2</v>
      </c>
    </row>
    <row r="2451" spans="1:8" x14ac:dyDescent="0.25">
      <c r="B2451">
        <v>-1.2825E-2</v>
      </c>
      <c r="C2451">
        <v>-45</v>
      </c>
      <c r="D2451">
        <v>59.6</v>
      </c>
      <c r="E2451">
        <v>43.304000000000002</v>
      </c>
      <c r="F2451">
        <v>2.3092999999999999E-2</v>
      </c>
      <c r="G2451">
        <v>-5.1394000000000002</v>
      </c>
      <c r="H2451">
        <v>-1.2825E-2</v>
      </c>
    </row>
    <row r="2452" spans="1:8" x14ac:dyDescent="0.25">
      <c r="B2452">
        <v>-2.0661E-4</v>
      </c>
      <c r="C2452">
        <v>-40</v>
      </c>
      <c r="D2452">
        <v>59.6</v>
      </c>
      <c r="E2452">
        <v>43.094999999999999</v>
      </c>
      <c r="F2452">
        <v>2.3205E-2</v>
      </c>
      <c r="G2452">
        <v>0.12472999999999999</v>
      </c>
      <c r="H2452">
        <v>-2.0661E-4</v>
      </c>
    </row>
    <row r="2453" spans="1:8" x14ac:dyDescent="0.25">
      <c r="B2453">
        <v>1.2304000000000001E-2</v>
      </c>
      <c r="C2453">
        <v>-35</v>
      </c>
      <c r="D2453">
        <v>59.6</v>
      </c>
      <c r="E2453">
        <v>42.883000000000003</v>
      </c>
      <c r="F2453">
        <v>2.3318999999999999E-2</v>
      </c>
      <c r="G2453">
        <v>5.4062000000000001</v>
      </c>
      <c r="H2453">
        <v>1.2304000000000001E-2</v>
      </c>
    </row>
    <row r="2454" spans="1:8" x14ac:dyDescent="0.25">
      <c r="B2454">
        <v>2.4708000000000001E-2</v>
      </c>
      <c r="C2454">
        <v>-30</v>
      </c>
      <c r="D2454">
        <v>59.6</v>
      </c>
      <c r="E2454">
        <v>42.67</v>
      </c>
      <c r="F2454">
        <v>2.3435999999999998E-2</v>
      </c>
      <c r="G2454">
        <v>10.705</v>
      </c>
      <c r="H2454">
        <v>2.4708000000000001E-2</v>
      </c>
    </row>
    <row r="2455" spans="1:8" x14ac:dyDescent="0.25">
      <c r="B2455">
        <v>3.7006999999999998E-2</v>
      </c>
      <c r="C2455">
        <v>-25</v>
      </c>
      <c r="D2455">
        <v>59.6</v>
      </c>
      <c r="E2455">
        <v>42.454999999999998</v>
      </c>
      <c r="F2455">
        <v>2.3553999999999999E-2</v>
      </c>
      <c r="G2455">
        <v>16.02</v>
      </c>
      <c r="H2455">
        <v>3.7006999999999998E-2</v>
      </c>
    </row>
    <row r="2456" spans="1:8" x14ac:dyDescent="0.25">
      <c r="B2456">
        <v>4.9203999999999998E-2</v>
      </c>
      <c r="C2456">
        <v>-20</v>
      </c>
      <c r="D2456">
        <v>59.6</v>
      </c>
      <c r="E2456">
        <v>42.238</v>
      </c>
      <c r="F2456">
        <v>2.3675000000000002E-2</v>
      </c>
      <c r="G2456">
        <v>21.352</v>
      </c>
      <c r="H2456">
        <v>4.9203999999999998E-2</v>
      </c>
    </row>
    <row r="2457" spans="1:8" x14ac:dyDescent="0.25">
      <c r="B2457">
        <v>6.13E-2</v>
      </c>
      <c r="C2457">
        <v>-15</v>
      </c>
      <c r="D2457">
        <v>59.6</v>
      </c>
      <c r="E2457">
        <v>42.018999999999998</v>
      </c>
      <c r="F2457">
        <v>2.3799000000000001E-2</v>
      </c>
      <c r="G2457">
        <v>26.701000000000001</v>
      </c>
      <c r="H2457">
        <v>6.13E-2</v>
      </c>
    </row>
    <row r="2458" spans="1:8" x14ac:dyDescent="0.25">
      <c r="B2458">
        <v>7.3297000000000001E-2</v>
      </c>
      <c r="C2458">
        <v>-10</v>
      </c>
      <c r="D2458">
        <v>59.6</v>
      </c>
      <c r="E2458">
        <v>41.798000000000002</v>
      </c>
      <c r="F2458">
        <v>2.3924000000000001E-2</v>
      </c>
      <c r="G2458">
        <v>32.064999999999998</v>
      </c>
      <c r="H2458">
        <v>7.3297000000000001E-2</v>
      </c>
    </row>
    <row r="2459" spans="1:8" x14ac:dyDescent="0.25">
      <c r="B2459">
        <v>8.5197999999999996E-2</v>
      </c>
      <c r="C2459">
        <v>-5</v>
      </c>
      <c r="D2459">
        <v>59.6</v>
      </c>
      <c r="E2459">
        <v>41.576000000000001</v>
      </c>
      <c r="F2459">
        <v>2.4053000000000001E-2</v>
      </c>
      <c r="G2459">
        <v>37.447000000000003</v>
      </c>
      <c r="H2459">
        <v>8.5197999999999996E-2</v>
      </c>
    </row>
    <row r="2460" spans="1:8" x14ac:dyDescent="0.25">
      <c r="B2460">
        <v>9.7004999999999994E-2</v>
      </c>
      <c r="C2460">
        <v>0</v>
      </c>
      <c r="D2460">
        <v>59.6</v>
      </c>
      <c r="E2460">
        <v>41.350999999999999</v>
      </c>
      <c r="F2460">
        <v>2.4183E-2</v>
      </c>
      <c r="G2460">
        <v>42.844000000000001</v>
      </c>
      <c r="H2460">
        <v>9.7004999999999994E-2</v>
      </c>
    </row>
    <row r="2461" spans="1:8" x14ac:dyDescent="0.25">
      <c r="B2461">
        <v>0.10872</v>
      </c>
      <c r="C2461">
        <v>5</v>
      </c>
      <c r="D2461">
        <v>59.6</v>
      </c>
      <c r="E2461">
        <v>41.124000000000002</v>
      </c>
      <c r="F2461">
        <v>2.4316000000000001E-2</v>
      </c>
      <c r="G2461">
        <v>48.259</v>
      </c>
      <c r="H2461">
        <v>0.10872</v>
      </c>
    </row>
    <row r="2462" spans="1:8" x14ac:dyDescent="0.25">
      <c r="B2462">
        <v>0.12034</v>
      </c>
      <c r="C2462">
        <v>10</v>
      </c>
      <c r="D2462">
        <v>59.6</v>
      </c>
      <c r="E2462">
        <v>40.896000000000001</v>
      </c>
      <c r="F2462">
        <v>2.4452000000000002E-2</v>
      </c>
      <c r="G2462">
        <v>53.689</v>
      </c>
      <c r="H2462">
        <v>0.12034</v>
      </c>
    </row>
    <row r="2463" spans="1:8" x14ac:dyDescent="0.25">
      <c r="B2463">
        <v>0.13188</v>
      </c>
      <c r="C2463">
        <v>15</v>
      </c>
      <c r="D2463">
        <v>59.6</v>
      </c>
      <c r="E2463">
        <v>40.664999999999999</v>
      </c>
      <c r="F2463">
        <v>2.4590999999999998E-2</v>
      </c>
      <c r="G2463">
        <v>59.137</v>
      </c>
      <c r="H2463">
        <v>0.13188</v>
      </c>
    </row>
    <row r="2464" spans="1:8" x14ac:dyDescent="0.25">
      <c r="B2464">
        <v>0.14333000000000001</v>
      </c>
      <c r="C2464">
        <v>20</v>
      </c>
      <c r="D2464">
        <v>59.6</v>
      </c>
      <c r="E2464">
        <v>40.432000000000002</v>
      </c>
      <c r="F2464">
        <v>2.4733000000000002E-2</v>
      </c>
      <c r="G2464">
        <v>64.602000000000004</v>
      </c>
      <c r="H2464">
        <v>0.14333000000000001</v>
      </c>
    </row>
    <row r="2465" spans="2:8" x14ac:dyDescent="0.25">
      <c r="B2465">
        <v>0.15470999999999999</v>
      </c>
      <c r="C2465">
        <v>25</v>
      </c>
      <c r="D2465">
        <v>59.6</v>
      </c>
      <c r="E2465">
        <v>40.197000000000003</v>
      </c>
      <c r="F2465">
        <v>2.4877E-2</v>
      </c>
      <c r="G2465">
        <v>70.084000000000003</v>
      </c>
      <c r="H2465">
        <v>0.15470999999999999</v>
      </c>
    </row>
    <row r="2466" spans="2:8" x14ac:dyDescent="0.25">
      <c r="B2466">
        <v>1.2786999999999999</v>
      </c>
      <c r="C2466">
        <v>30</v>
      </c>
      <c r="D2466">
        <v>59.6</v>
      </c>
      <c r="E2466">
        <v>0.20693</v>
      </c>
      <c r="F2466">
        <v>4.8326000000000002</v>
      </c>
      <c r="G2466">
        <v>620.34</v>
      </c>
      <c r="H2466">
        <v>1.2786999999999999</v>
      </c>
    </row>
    <row r="2467" spans="2:8" x14ac:dyDescent="0.25">
      <c r="B2467">
        <v>1.2851999999999999</v>
      </c>
      <c r="C2467">
        <v>35</v>
      </c>
      <c r="D2467">
        <v>59.6</v>
      </c>
      <c r="E2467">
        <v>0.20416000000000001</v>
      </c>
      <c r="F2467">
        <v>4.8981000000000003</v>
      </c>
      <c r="G2467">
        <v>623.5</v>
      </c>
      <c r="H2467">
        <v>1.2851999999999999</v>
      </c>
    </row>
    <row r="2468" spans="2:8" x14ac:dyDescent="0.25">
      <c r="B2468">
        <v>1.2914000000000001</v>
      </c>
      <c r="C2468">
        <v>40</v>
      </c>
      <c r="D2468">
        <v>59.6</v>
      </c>
      <c r="E2468">
        <v>0.20150000000000001</v>
      </c>
      <c r="F2468">
        <v>4.9627999999999997</v>
      </c>
      <c r="G2468">
        <v>626.61</v>
      </c>
      <c r="H2468">
        <v>1.2914000000000001</v>
      </c>
    </row>
    <row r="2469" spans="2:8" x14ac:dyDescent="0.25">
      <c r="B2469">
        <v>1.2975000000000001</v>
      </c>
      <c r="C2469">
        <v>45</v>
      </c>
      <c r="D2469">
        <v>59.6</v>
      </c>
      <c r="E2469">
        <v>0.19894000000000001</v>
      </c>
      <c r="F2469">
        <v>5.0267999999999997</v>
      </c>
      <c r="G2469">
        <v>629.69000000000005</v>
      </c>
      <c r="H2469">
        <v>1.2975000000000001</v>
      </c>
    </row>
    <row r="2470" spans="2:8" x14ac:dyDescent="0.25">
      <c r="B2470">
        <v>1.3035000000000001</v>
      </c>
      <c r="C2470">
        <v>50</v>
      </c>
      <c r="D2470">
        <v>59.6</v>
      </c>
      <c r="E2470">
        <v>0.19646</v>
      </c>
      <c r="F2470">
        <v>5.0900999999999996</v>
      </c>
      <c r="G2470">
        <v>632.73</v>
      </c>
      <c r="H2470">
        <v>1.3035000000000001</v>
      </c>
    </row>
    <row r="2471" spans="2:8" x14ac:dyDescent="0.25">
      <c r="B2471">
        <v>1.3093999999999999</v>
      </c>
      <c r="C2471">
        <v>55</v>
      </c>
      <c r="D2471">
        <v>59.6</v>
      </c>
      <c r="E2471">
        <v>0.19406999999999999</v>
      </c>
      <c r="F2471">
        <v>5.1528</v>
      </c>
      <c r="G2471">
        <v>635.73</v>
      </c>
      <c r="H2471">
        <v>1.3093999999999999</v>
      </c>
    </row>
    <row r="2472" spans="2:8" x14ac:dyDescent="0.25">
      <c r="B2472">
        <v>1.3151999999999999</v>
      </c>
      <c r="C2472">
        <v>60</v>
      </c>
      <c r="D2472">
        <v>59.6</v>
      </c>
      <c r="E2472">
        <v>0.19176000000000001</v>
      </c>
      <c r="F2472">
        <v>5.2149999999999999</v>
      </c>
      <c r="G2472">
        <v>638.71</v>
      </c>
      <c r="H2472">
        <v>1.3151999999999999</v>
      </c>
    </row>
    <row r="2473" spans="2:8" x14ac:dyDescent="0.25">
      <c r="B2473">
        <v>1.3208</v>
      </c>
      <c r="C2473">
        <v>65</v>
      </c>
      <c r="D2473">
        <v>59.6</v>
      </c>
      <c r="E2473">
        <v>0.18951000000000001</v>
      </c>
      <c r="F2473">
        <v>5.2766999999999999</v>
      </c>
      <c r="G2473">
        <v>641.66</v>
      </c>
      <c r="H2473">
        <v>1.3208</v>
      </c>
    </row>
    <row r="2474" spans="2:8" x14ac:dyDescent="0.25">
      <c r="B2474">
        <v>1.3264</v>
      </c>
      <c r="C2474">
        <v>70</v>
      </c>
      <c r="D2474">
        <v>59.6</v>
      </c>
      <c r="E2474">
        <v>0.18734000000000001</v>
      </c>
      <c r="F2474">
        <v>5.3379000000000003</v>
      </c>
      <c r="G2474">
        <v>644.59</v>
      </c>
      <c r="H2474">
        <v>1.3264</v>
      </c>
    </row>
    <row r="2475" spans="2:8" x14ac:dyDescent="0.25">
      <c r="B2475">
        <v>1.3318000000000001</v>
      </c>
      <c r="C2475">
        <v>75</v>
      </c>
      <c r="D2475">
        <v>59.6</v>
      </c>
      <c r="E2475">
        <v>0.18523000000000001</v>
      </c>
      <c r="F2475">
        <v>5.3986999999999998</v>
      </c>
      <c r="G2475">
        <v>647.5</v>
      </c>
      <c r="H2475">
        <v>1.3318000000000001</v>
      </c>
    </row>
    <row r="2476" spans="2:8" x14ac:dyDescent="0.25">
      <c r="B2476">
        <v>1.3371999999999999</v>
      </c>
      <c r="C2476">
        <v>80</v>
      </c>
      <c r="D2476">
        <v>59.6</v>
      </c>
      <c r="E2476">
        <v>0.18318000000000001</v>
      </c>
      <c r="F2476">
        <v>5.4591000000000003</v>
      </c>
      <c r="G2476">
        <v>650.39</v>
      </c>
      <c r="H2476">
        <v>1.3371999999999999</v>
      </c>
    </row>
    <row r="2477" spans="2:8" x14ac:dyDescent="0.25">
      <c r="B2477">
        <v>1.3425</v>
      </c>
      <c r="C2477">
        <v>85</v>
      </c>
      <c r="D2477">
        <v>59.6</v>
      </c>
      <c r="E2477">
        <v>0.18118999999999999</v>
      </c>
      <c r="F2477">
        <v>5.5190999999999999</v>
      </c>
      <c r="G2477">
        <v>653.26</v>
      </c>
      <c r="H2477">
        <v>1.3425</v>
      </c>
    </row>
    <row r="2478" spans="2:8" x14ac:dyDescent="0.25">
      <c r="B2478">
        <v>1.3476999999999999</v>
      </c>
      <c r="C2478">
        <v>90</v>
      </c>
      <c r="D2478">
        <v>59.6</v>
      </c>
      <c r="E2478">
        <v>0.17924999999999999</v>
      </c>
      <c r="F2478">
        <v>5.5788000000000002</v>
      </c>
      <c r="G2478">
        <v>656.12</v>
      </c>
      <c r="H2478">
        <v>1.3476999999999999</v>
      </c>
    </row>
    <row r="2479" spans="2:8" x14ac:dyDescent="0.25">
      <c r="B2479">
        <v>1.3529</v>
      </c>
      <c r="C2479">
        <v>95</v>
      </c>
      <c r="D2479">
        <v>59.6</v>
      </c>
      <c r="E2479">
        <v>0.17735999999999999</v>
      </c>
      <c r="F2479">
        <v>5.6382000000000003</v>
      </c>
      <c r="G2479">
        <v>658.96</v>
      </c>
      <c r="H2479">
        <v>1.3529</v>
      </c>
    </row>
    <row r="2480" spans="2:8" x14ac:dyDescent="0.25">
      <c r="B2480">
        <v>1.3580000000000001</v>
      </c>
      <c r="C2480">
        <v>100</v>
      </c>
      <c r="D2480">
        <v>59.6</v>
      </c>
      <c r="E2480">
        <v>0.17552000000000001</v>
      </c>
      <c r="F2480">
        <v>5.6971999999999996</v>
      </c>
      <c r="G2480">
        <v>661.8</v>
      </c>
      <c r="H2480">
        <v>1.3580000000000001</v>
      </c>
    </row>
    <row r="2481" spans="2:8" x14ac:dyDescent="0.25">
      <c r="B2481">
        <v>1.363</v>
      </c>
      <c r="C2481">
        <v>105</v>
      </c>
      <c r="D2481">
        <v>59.6</v>
      </c>
      <c r="E2481">
        <v>0.17373</v>
      </c>
      <c r="F2481">
        <v>5.7560000000000002</v>
      </c>
      <c r="G2481">
        <v>664.62</v>
      </c>
      <c r="H2481">
        <v>1.363</v>
      </c>
    </row>
    <row r="2482" spans="2:8" x14ac:dyDescent="0.25">
      <c r="B2482">
        <v>1.3678999999999999</v>
      </c>
      <c r="C2482">
        <v>110</v>
      </c>
      <c r="D2482">
        <v>59.6</v>
      </c>
      <c r="E2482">
        <v>0.17197999999999999</v>
      </c>
      <c r="F2482">
        <v>5.8146000000000004</v>
      </c>
      <c r="G2482">
        <v>667.43</v>
      </c>
      <c r="H2482">
        <v>1.3678999999999999</v>
      </c>
    </row>
    <row r="2483" spans="2:8" x14ac:dyDescent="0.25">
      <c r="B2483">
        <v>1.3728</v>
      </c>
      <c r="C2483">
        <v>115</v>
      </c>
      <c r="D2483">
        <v>59.6</v>
      </c>
      <c r="E2483">
        <v>0.17027</v>
      </c>
      <c r="F2483">
        <v>5.8728999999999996</v>
      </c>
      <c r="G2483">
        <v>670.23</v>
      </c>
      <c r="H2483">
        <v>1.3728</v>
      </c>
    </row>
    <row r="2484" spans="2:8" x14ac:dyDescent="0.25">
      <c r="B2484">
        <v>1.3776999999999999</v>
      </c>
      <c r="C2484">
        <v>120</v>
      </c>
      <c r="D2484">
        <v>59.6</v>
      </c>
      <c r="E2484">
        <v>0.16861000000000001</v>
      </c>
      <c r="F2484">
        <v>5.931</v>
      </c>
      <c r="G2484">
        <v>673.02</v>
      </c>
      <c r="H2484">
        <v>1.3776999999999999</v>
      </c>
    </row>
    <row r="2485" spans="2:8" x14ac:dyDescent="0.25">
      <c r="B2485">
        <v>1.3825000000000001</v>
      </c>
      <c r="C2485">
        <v>125</v>
      </c>
      <c r="D2485">
        <v>59.6</v>
      </c>
      <c r="E2485">
        <v>0.16697999999999999</v>
      </c>
      <c r="F2485">
        <v>5.9888000000000003</v>
      </c>
      <c r="G2485">
        <v>675.81</v>
      </c>
      <c r="H2485">
        <v>1.3825000000000001</v>
      </c>
    </row>
    <row r="2486" spans="2:8" x14ac:dyDescent="0.25">
      <c r="B2486">
        <v>1.3872</v>
      </c>
      <c r="C2486">
        <v>130</v>
      </c>
      <c r="D2486">
        <v>59.6</v>
      </c>
      <c r="E2486">
        <v>0.16539000000000001</v>
      </c>
      <c r="F2486">
        <v>6.0465</v>
      </c>
      <c r="G2486">
        <v>678.59</v>
      </c>
      <c r="H2486">
        <v>1.3872</v>
      </c>
    </row>
    <row r="2487" spans="2:8" x14ac:dyDescent="0.25">
      <c r="B2487">
        <v>1.3918999999999999</v>
      </c>
      <c r="C2487">
        <v>135</v>
      </c>
      <c r="D2487">
        <v>59.6</v>
      </c>
      <c r="E2487">
        <v>0.16383</v>
      </c>
      <c r="F2487">
        <v>6.1039000000000003</v>
      </c>
      <c r="G2487">
        <v>681.37</v>
      </c>
      <c r="H2487">
        <v>1.3918999999999999</v>
      </c>
    </row>
    <row r="2488" spans="2:8" x14ac:dyDescent="0.25">
      <c r="B2488">
        <v>1.3965000000000001</v>
      </c>
      <c r="C2488">
        <v>140</v>
      </c>
      <c r="D2488">
        <v>59.6</v>
      </c>
      <c r="E2488">
        <v>0.1623</v>
      </c>
      <c r="F2488">
        <v>6.1612</v>
      </c>
      <c r="G2488">
        <v>684.14</v>
      </c>
      <c r="H2488">
        <v>1.3965000000000001</v>
      </c>
    </row>
    <row r="2489" spans="2:8" x14ac:dyDescent="0.25">
      <c r="B2489">
        <v>1.4011</v>
      </c>
      <c r="C2489">
        <v>145</v>
      </c>
      <c r="D2489">
        <v>59.6</v>
      </c>
      <c r="E2489">
        <v>0.16081000000000001</v>
      </c>
      <c r="F2489">
        <v>6.2183999999999999</v>
      </c>
      <c r="G2489">
        <v>686.91</v>
      </c>
      <c r="H2489">
        <v>1.4011</v>
      </c>
    </row>
    <row r="2490" spans="2:8" x14ac:dyDescent="0.25">
      <c r="B2490">
        <v>1.4056999999999999</v>
      </c>
      <c r="C2490">
        <v>150</v>
      </c>
      <c r="D2490">
        <v>59.6</v>
      </c>
      <c r="E2490">
        <v>0.15934999999999999</v>
      </c>
      <c r="F2490">
        <v>6.2752999999999997</v>
      </c>
      <c r="G2490">
        <v>689.67</v>
      </c>
      <c r="H2490">
        <v>1.4056999999999999</v>
      </c>
    </row>
    <row r="2491" spans="2:8" x14ac:dyDescent="0.25">
      <c r="B2491">
        <v>1.4101999999999999</v>
      </c>
      <c r="C2491">
        <v>155</v>
      </c>
      <c r="D2491">
        <v>59.6</v>
      </c>
      <c r="E2491">
        <v>0.15792</v>
      </c>
      <c r="F2491">
        <v>6.3322000000000003</v>
      </c>
      <c r="G2491">
        <v>692.43</v>
      </c>
      <c r="H2491">
        <v>1.4101999999999999</v>
      </c>
    </row>
    <row r="2492" spans="2:8" x14ac:dyDescent="0.25">
      <c r="B2492">
        <v>1.4147000000000001</v>
      </c>
      <c r="C2492">
        <v>160</v>
      </c>
      <c r="D2492">
        <v>59.6</v>
      </c>
      <c r="E2492">
        <v>0.15651999999999999</v>
      </c>
      <c r="F2492">
        <v>6.3887999999999998</v>
      </c>
      <c r="G2492">
        <v>695.19</v>
      </c>
      <c r="H2492">
        <v>1.4147000000000001</v>
      </c>
    </row>
    <row r="2493" spans="2:8" x14ac:dyDescent="0.25">
      <c r="B2493">
        <v>1.4191</v>
      </c>
      <c r="C2493">
        <v>165</v>
      </c>
      <c r="D2493">
        <v>59.6</v>
      </c>
      <c r="E2493">
        <v>0.15515000000000001</v>
      </c>
      <c r="F2493">
        <v>6.4454000000000002</v>
      </c>
      <c r="G2493">
        <v>697.95</v>
      </c>
      <c r="H2493">
        <v>1.4191</v>
      </c>
    </row>
    <row r="2494" spans="2:8" x14ac:dyDescent="0.25">
      <c r="B2494">
        <v>1.4235</v>
      </c>
      <c r="C2494">
        <v>170</v>
      </c>
      <c r="D2494">
        <v>59.6</v>
      </c>
      <c r="E2494">
        <v>0.15379999999999999</v>
      </c>
      <c r="F2494">
        <v>6.5018000000000002</v>
      </c>
      <c r="G2494">
        <v>700.71</v>
      </c>
      <c r="H2494">
        <v>1.4235</v>
      </c>
    </row>
    <row r="2495" spans="2:8" x14ac:dyDescent="0.25">
      <c r="B2495">
        <v>1.4278</v>
      </c>
      <c r="C2495">
        <v>175</v>
      </c>
      <c r="D2495">
        <v>59.6</v>
      </c>
      <c r="E2495">
        <v>0.15248</v>
      </c>
      <c r="F2495">
        <v>6.5580999999999996</v>
      </c>
      <c r="G2495">
        <v>703.46</v>
      </c>
      <c r="H2495">
        <v>1.4278</v>
      </c>
    </row>
    <row r="2496" spans="2:8" x14ac:dyDescent="0.25">
      <c r="B2496">
        <v>1.4321999999999999</v>
      </c>
      <c r="C2496">
        <v>180</v>
      </c>
      <c r="D2496">
        <v>59.6</v>
      </c>
      <c r="E2496">
        <v>0.15118999999999999</v>
      </c>
      <c r="F2496">
        <v>6.6143000000000001</v>
      </c>
      <c r="G2496">
        <v>706.22</v>
      </c>
      <c r="H2496">
        <v>1.4321999999999999</v>
      </c>
    </row>
    <row r="2497" spans="2:8" x14ac:dyDescent="0.25">
      <c r="B2497">
        <v>1.4365000000000001</v>
      </c>
      <c r="C2497">
        <v>185</v>
      </c>
      <c r="D2497">
        <v>59.6</v>
      </c>
      <c r="E2497">
        <v>0.14992</v>
      </c>
      <c r="F2497">
        <v>6.6703000000000001</v>
      </c>
      <c r="G2497">
        <v>708.97</v>
      </c>
      <c r="H2497">
        <v>1.4365000000000001</v>
      </c>
    </row>
    <row r="2498" spans="2:8" x14ac:dyDescent="0.25">
      <c r="B2498">
        <v>1.4407000000000001</v>
      </c>
      <c r="C2498">
        <v>190</v>
      </c>
      <c r="D2498">
        <v>59.6</v>
      </c>
      <c r="E2498">
        <v>0.14867</v>
      </c>
      <c r="F2498">
        <v>6.7263000000000002</v>
      </c>
      <c r="G2498">
        <v>711.73</v>
      </c>
      <c r="H2498">
        <v>1.4407000000000001</v>
      </c>
    </row>
    <row r="2499" spans="2:8" x14ac:dyDescent="0.25">
      <c r="B2499">
        <v>1.4449000000000001</v>
      </c>
      <c r="C2499">
        <v>195</v>
      </c>
      <c r="D2499">
        <v>59.6</v>
      </c>
      <c r="E2499">
        <v>0.14745</v>
      </c>
      <c r="F2499">
        <v>6.7820999999999998</v>
      </c>
      <c r="G2499">
        <v>714.49</v>
      </c>
      <c r="H2499">
        <v>1.4449000000000001</v>
      </c>
    </row>
    <row r="2500" spans="2:8" x14ac:dyDescent="0.25">
      <c r="B2500">
        <v>1.4491000000000001</v>
      </c>
      <c r="C2500">
        <v>200</v>
      </c>
      <c r="D2500">
        <v>59.6</v>
      </c>
      <c r="E2500">
        <v>0.14624000000000001</v>
      </c>
      <c r="F2500">
        <v>6.8379000000000003</v>
      </c>
      <c r="G2500">
        <v>717.25</v>
      </c>
      <c r="H2500">
        <v>1.4491000000000001</v>
      </c>
    </row>
    <row r="2501" spans="2:8" x14ac:dyDescent="0.25">
      <c r="B2501">
        <v>1.4533</v>
      </c>
      <c r="C2501">
        <v>205</v>
      </c>
      <c r="D2501">
        <v>59.6</v>
      </c>
      <c r="E2501">
        <v>0.14505999999999999</v>
      </c>
      <c r="F2501">
        <v>6.8936000000000002</v>
      </c>
      <c r="G2501">
        <v>720</v>
      </c>
      <c r="H2501">
        <v>1.4533</v>
      </c>
    </row>
    <row r="2502" spans="2:8" x14ac:dyDescent="0.25">
      <c r="B2502">
        <v>1.4575</v>
      </c>
      <c r="C2502">
        <v>210</v>
      </c>
      <c r="D2502">
        <v>59.6</v>
      </c>
      <c r="E2502">
        <v>0.1439</v>
      </c>
      <c r="F2502">
        <v>6.9492000000000003</v>
      </c>
      <c r="G2502">
        <v>722.77</v>
      </c>
      <c r="H2502">
        <v>1.4575</v>
      </c>
    </row>
    <row r="2503" spans="2:8" x14ac:dyDescent="0.25">
      <c r="B2503">
        <v>1.4616</v>
      </c>
      <c r="C2503">
        <v>215</v>
      </c>
      <c r="D2503">
        <v>59.6</v>
      </c>
      <c r="E2503">
        <v>0.14276</v>
      </c>
      <c r="F2503">
        <v>7.0046999999999997</v>
      </c>
      <c r="G2503">
        <v>725.53</v>
      </c>
      <c r="H2503">
        <v>1.4616</v>
      </c>
    </row>
    <row r="2504" spans="2:8" x14ac:dyDescent="0.25">
      <c r="B2504">
        <v>1.4656</v>
      </c>
      <c r="C2504">
        <v>220</v>
      </c>
      <c r="D2504">
        <v>59.6</v>
      </c>
      <c r="E2504">
        <v>0.14163999999999999</v>
      </c>
      <c r="F2504">
        <v>7.0601000000000003</v>
      </c>
      <c r="G2504">
        <v>728.29</v>
      </c>
      <c r="H2504">
        <v>1.4656</v>
      </c>
    </row>
    <row r="2505" spans="2:8" x14ac:dyDescent="0.25">
      <c r="B2505">
        <v>1.4697</v>
      </c>
      <c r="C2505">
        <v>225</v>
      </c>
      <c r="D2505">
        <v>59.6</v>
      </c>
      <c r="E2505">
        <v>0.14054</v>
      </c>
      <c r="F2505">
        <v>7.1154999999999999</v>
      </c>
      <c r="G2505">
        <v>731.06</v>
      </c>
      <c r="H2505">
        <v>1.4697</v>
      </c>
    </row>
    <row r="2506" spans="2:8" x14ac:dyDescent="0.25">
      <c r="B2506">
        <v>1.4737</v>
      </c>
      <c r="C2506">
        <v>230</v>
      </c>
      <c r="D2506">
        <v>59.6</v>
      </c>
      <c r="E2506">
        <v>0.13946</v>
      </c>
      <c r="F2506">
        <v>7.1707999999999998</v>
      </c>
      <c r="G2506">
        <v>733.83</v>
      </c>
      <c r="H2506">
        <v>1.4737</v>
      </c>
    </row>
    <row r="2507" spans="2:8" x14ac:dyDescent="0.25">
      <c r="B2507">
        <v>1.4777</v>
      </c>
      <c r="C2507">
        <v>235</v>
      </c>
      <c r="D2507">
        <v>59.6</v>
      </c>
      <c r="E2507">
        <v>0.13839000000000001</v>
      </c>
      <c r="F2507">
        <v>7.226</v>
      </c>
      <c r="G2507">
        <v>736.61</v>
      </c>
      <c r="H2507">
        <v>1.4777</v>
      </c>
    </row>
    <row r="2508" spans="2:8" x14ac:dyDescent="0.25">
      <c r="B2508">
        <v>1.4817</v>
      </c>
      <c r="C2508">
        <v>240</v>
      </c>
      <c r="D2508">
        <v>59.6</v>
      </c>
      <c r="E2508">
        <v>0.13733999999999999</v>
      </c>
      <c r="F2508">
        <v>7.2811000000000003</v>
      </c>
      <c r="G2508">
        <v>739.38</v>
      </c>
      <c r="H2508">
        <v>1.4817</v>
      </c>
    </row>
    <row r="2509" spans="2:8" x14ac:dyDescent="0.25">
      <c r="B2509">
        <v>1.4857</v>
      </c>
      <c r="C2509">
        <v>245</v>
      </c>
      <c r="D2509">
        <v>59.6</v>
      </c>
      <c r="E2509">
        <v>0.13630999999999999</v>
      </c>
      <c r="F2509">
        <v>7.3361999999999998</v>
      </c>
      <c r="G2509">
        <v>742.16</v>
      </c>
      <c r="H2509">
        <v>1.4857</v>
      </c>
    </row>
    <row r="2510" spans="2:8" x14ac:dyDescent="0.25">
      <c r="B2510">
        <v>1.4896</v>
      </c>
      <c r="C2510">
        <v>250</v>
      </c>
      <c r="D2510">
        <v>59.6</v>
      </c>
      <c r="E2510">
        <v>0.1353</v>
      </c>
      <c r="F2510">
        <v>7.3912000000000004</v>
      </c>
      <c r="G2510">
        <v>744.94</v>
      </c>
      <c r="H2510">
        <v>1.4896</v>
      </c>
    </row>
    <row r="2511" spans="2:8" x14ac:dyDescent="0.25">
      <c r="B2511">
        <v>1.4935</v>
      </c>
      <c r="C2511">
        <v>255</v>
      </c>
      <c r="D2511">
        <v>59.6</v>
      </c>
      <c r="E2511">
        <v>0.1343</v>
      </c>
      <c r="F2511">
        <v>7.4462000000000002</v>
      </c>
      <c r="G2511">
        <v>747.73</v>
      </c>
      <c r="H2511">
        <v>1.4935</v>
      </c>
    </row>
    <row r="2512" spans="2:8" x14ac:dyDescent="0.25">
      <c r="B2512">
        <v>1.4974000000000001</v>
      </c>
      <c r="C2512">
        <v>260</v>
      </c>
      <c r="D2512">
        <v>59.6</v>
      </c>
      <c r="E2512">
        <v>0.13331000000000001</v>
      </c>
      <c r="F2512">
        <v>7.5011000000000001</v>
      </c>
      <c r="G2512">
        <v>750.52</v>
      </c>
      <c r="H2512">
        <v>1.4974000000000001</v>
      </c>
    </row>
    <row r="2513" spans="1:8" x14ac:dyDescent="0.25">
      <c r="B2513">
        <v>1.5013000000000001</v>
      </c>
      <c r="C2513">
        <v>265</v>
      </c>
      <c r="D2513">
        <v>59.6</v>
      </c>
      <c r="E2513">
        <v>0.13235</v>
      </c>
      <c r="F2513">
        <v>7.5559000000000003</v>
      </c>
      <c r="G2513">
        <v>753.31</v>
      </c>
      <c r="H2513">
        <v>1.5013000000000001</v>
      </c>
    </row>
    <row r="2514" spans="1:8" x14ac:dyDescent="0.25">
      <c r="B2514">
        <v>1.5051000000000001</v>
      </c>
      <c r="C2514">
        <v>270</v>
      </c>
      <c r="D2514">
        <v>59.6</v>
      </c>
      <c r="E2514">
        <v>0.13139000000000001</v>
      </c>
      <c r="F2514">
        <v>7.6106999999999996</v>
      </c>
      <c r="G2514">
        <v>756.11</v>
      </c>
      <c r="H2514">
        <v>1.5051000000000001</v>
      </c>
    </row>
    <row r="2515" spans="1:8" x14ac:dyDescent="0.25">
      <c r="B2515">
        <v>1.5089999999999999</v>
      </c>
      <c r="C2515">
        <v>275</v>
      </c>
      <c r="D2515">
        <v>59.6</v>
      </c>
      <c r="E2515">
        <v>0.13045000000000001</v>
      </c>
      <c r="F2515">
        <v>7.6654999999999998</v>
      </c>
      <c r="G2515">
        <v>758.91</v>
      </c>
      <c r="H2515">
        <v>1.5089999999999999</v>
      </c>
    </row>
    <row r="2516" spans="1:8" x14ac:dyDescent="0.25">
      <c r="B2516">
        <v>1.5127999999999999</v>
      </c>
      <c r="C2516">
        <v>280</v>
      </c>
      <c r="D2516">
        <v>59.6</v>
      </c>
      <c r="E2516">
        <v>0.12953000000000001</v>
      </c>
      <c r="F2516">
        <v>7.7202000000000002</v>
      </c>
      <c r="G2516">
        <v>761.72</v>
      </c>
      <c r="H2516">
        <v>1.5127999999999999</v>
      </c>
    </row>
    <row r="2517" spans="1:8" x14ac:dyDescent="0.25">
      <c r="B2517">
        <v>1.5165999999999999</v>
      </c>
      <c r="C2517">
        <v>285</v>
      </c>
      <c r="D2517">
        <v>59.6</v>
      </c>
      <c r="E2517">
        <v>0.12862000000000001</v>
      </c>
      <c r="F2517">
        <v>7.7747999999999999</v>
      </c>
      <c r="G2517">
        <v>764.53</v>
      </c>
      <c r="H2517">
        <v>1.5165999999999999</v>
      </c>
    </row>
    <row r="2518" spans="1:8" x14ac:dyDescent="0.25">
      <c r="B2518">
        <v>1.5203</v>
      </c>
      <c r="C2518">
        <v>290</v>
      </c>
      <c r="D2518">
        <v>59.6</v>
      </c>
      <c r="E2518">
        <v>0.12772</v>
      </c>
      <c r="F2518">
        <v>7.8293999999999997</v>
      </c>
      <c r="G2518">
        <v>767.34</v>
      </c>
      <c r="H2518">
        <v>1.5203</v>
      </c>
    </row>
    <row r="2519" spans="1:8" x14ac:dyDescent="0.25">
      <c r="B2519">
        <v>1.5241</v>
      </c>
      <c r="C2519">
        <v>295</v>
      </c>
      <c r="D2519">
        <v>59.6</v>
      </c>
      <c r="E2519">
        <v>0.12684000000000001</v>
      </c>
      <c r="F2519">
        <v>7.8840000000000003</v>
      </c>
      <c r="G2519">
        <v>770.16</v>
      </c>
      <c r="H2519">
        <v>1.5241</v>
      </c>
    </row>
    <row r="2520" spans="1:8" x14ac:dyDescent="0.25">
      <c r="B2520">
        <v>1.5278</v>
      </c>
      <c r="C2520">
        <v>300</v>
      </c>
      <c r="D2520">
        <v>59.6</v>
      </c>
      <c r="E2520">
        <v>0.12597</v>
      </c>
      <c r="F2520">
        <v>7.9385000000000003</v>
      </c>
      <c r="G2520">
        <v>772.99</v>
      </c>
      <c r="H2520">
        <v>1.5278</v>
      </c>
    </row>
    <row r="2522" spans="1:8" x14ac:dyDescent="0.25">
      <c r="A2522">
        <v>62.1</v>
      </c>
      <c r="B2522">
        <v>-2.5565000000000001E-2</v>
      </c>
      <c r="C2522">
        <v>-50</v>
      </c>
      <c r="D2522">
        <v>62.1</v>
      </c>
      <c r="E2522">
        <v>43.512</v>
      </c>
      <c r="F2522">
        <v>2.2981999999999999E-2</v>
      </c>
      <c r="G2522">
        <v>-10.379</v>
      </c>
      <c r="H2522">
        <v>-2.5565000000000001E-2</v>
      </c>
    </row>
    <row r="2523" spans="1:8" x14ac:dyDescent="0.25">
      <c r="B2523">
        <v>-1.2836E-2</v>
      </c>
      <c r="C2523">
        <v>-45</v>
      </c>
      <c r="D2523">
        <v>62.1</v>
      </c>
      <c r="E2523">
        <v>43.304000000000002</v>
      </c>
      <c r="F2523">
        <v>2.3092000000000001E-2</v>
      </c>
      <c r="G2523">
        <v>-5.133</v>
      </c>
      <c r="H2523">
        <v>-1.2836E-2</v>
      </c>
    </row>
    <row r="2524" spans="1:8" x14ac:dyDescent="0.25">
      <c r="B2524">
        <v>-2.1709999999999999E-4</v>
      </c>
      <c r="C2524">
        <v>-40</v>
      </c>
      <c r="D2524">
        <v>62.1</v>
      </c>
      <c r="E2524">
        <v>43.094999999999999</v>
      </c>
      <c r="F2524">
        <v>2.3205E-2</v>
      </c>
      <c r="G2524">
        <v>0.13106999999999999</v>
      </c>
      <c r="H2524">
        <v>-2.1709999999999999E-4</v>
      </c>
    </row>
    <row r="2525" spans="1:8" x14ac:dyDescent="0.25">
      <c r="B2525">
        <v>1.2293E-2</v>
      </c>
      <c r="C2525">
        <v>-35</v>
      </c>
      <c r="D2525">
        <v>62.1</v>
      </c>
      <c r="E2525">
        <v>42.884</v>
      </c>
      <c r="F2525">
        <v>2.3318999999999999E-2</v>
      </c>
      <c r="G2525">
        <v>5.4123999999999999</v>
      </c>
      <c r="H2525">
        <v>1.2293E-2</v>
      </c>
    </row>
    <row r="2526" spans="1:8" x14ac:dyDescent="0.25">
      <c r="B2526">
        <v>2.4697E-2</v>
      </c>
      <c r="C2526">
        <v>-30</v>
      </c>
      <c r="D2526">
        <v>62.1</v>
      </c>
      <c r="E2526">
        <v>42.670999999999999</v>
      </c>
      <c r="F2526">
        <v>2.3435000000000001E-2</v>
      </c>
      <c r="G2526">
        <v>10.711</v>
      </c>
      <c r="H2526">
        <v>2.4697E-2</v>
      </c>
    </row>
    <row r="2527" spans="1:8" x14ac:dyDescent="0.25">
      <c r="B2527">
        <v>3.6996000000000001E-2</v>
      </c>
      <c r="C2527">
        <v>-25</v>
      </c>
      <c r="D2527">
        <v>62.1</v>
      </c>
      <c r="E2527">
        <v>42.454999999999998</v>
      </c>
      <c r="F2527">
        <v>2.3553999999999999E-2</v>
      </c>
      <c r="G2527">
        <v>16.026</v>
      </c>
      <c r="H2527">
        <v>3.6996000000000001E-2</v>
      </c>
    </row>
    <row r="2528" spans="1:8" x14ac:dyDescent="0.25">
      <c r="B2528">
        <v>4.9192E-2</v>
      </c>
      <c r="C2528">
        <v>-20</v>
      </c>
      <c r="D2528">
        <v>62.1</v>
      </c>
      <c r="E2528">
        <v>42.238999999999997</v>
      </c>
      <c r="F2528">
        <v>2.3675000000000002E-2</v>
      </c>
      <c r="G2528">
        <v>21.358000000000001</v>
      </c>
      <c r="H2528">
        <v>4.9192E-2</v>
      </c>
    </row>
    <row r="2529" spans="2:8" x14ac:dyDescent="0.25">
      <c r="B2529">
        <v>6.1288000000000002E-2</v>
      </c>
      <c r="C2529">
        <v>-15</v>
      </c>
      <c r="D2529">
        <v>62.1</v>
      </c>
      <c r="E2529">
        <v>42.02</v>
      </c>
      <c r="F2529">
        <v>2.3798E-2</v>
      </c>
      <c r="G2529">
        <v>26.706</v>
      </c>
      <c r="H2529">
        <v>6.1288000000000002E-2</v>
      </c>
    </row>
    <row r="2530" spans="2:8" x14ac:dyDescent="0.25">
      <c r="B2530">
        <v>7.3286000000000004E-2</v>
      </c>
      <c r="C2530">
        <v>-10</v>
      </c>
      <c r="D2530">
        <v>62.1</v>
      </c>
      <c r="E2530">
        <v>41.798999999999999</v>
      </c>
      <c r="F2530">
        <v>2.3924000000000001E-2</v>
      </c>
      <c r="G2530">
        <v>32.070999999999998</v>
      </c>
      <c r="H2530">
        <v>7.3286000000000004E-2</v>
      </c>
    </row>
    <row r="2531" spans="2:8" x14ac:dyDescent="0.25">
      <c r="B2531">
        <v>8.5185999999999998E-2</v>
      </c>
      <c r="C2531">
        <v>-5</v>
      </c>
      <c r="D2531">
        <v>62.1</v>
      </c>
      <c r="E2531">
        <v>41.576000000000001</v>
      </c>
      <c r="F2531">
        <v>2.4052E-2</v>
      </c>
      <c r="G2531">
        <v>37.451999999999998</v>
      </c>
      <c r="H2531">
        <v>8.5185999999999998E-2</v>
      </c>
    </row>
    <row r="2532" spans="2:8" x14ac:dyDescent="0.25">
      <c r="B2532">
        <v>9.6992999999999996E-2</v>
      </c>
      <c r="C2532">
        <v>0</v>
      </c>
      <c r="D2532">
        <v>62.1</v>
      </c>
      <c r="E2532">
        <v>41.351999999999997</v>
      </c>
      <c r="F2532">
        <v>2.4183E-2</v>
      </c>
      <c r="G2532">
        <v>42.85</v>
      </c>
      <c r="H2532">
        <v>9.6992999999999996E-2</v>
      </c>
    </row>
    <row r="2533" spans="2:8" x14ac:dyDescent="0.25">
      <c r="B2533">
        <v>0.10871</v>
      </c>
      <c r="C2533">
        <v>5</v>
      </c>
      <c r="D2533">
        <v>62.1</v>
      </c>
      <c r="E2533">
        <v>41.125</v>
      </c>
      <c r="F2533">
        <v>2.4316000000000001E-2</v>
      </c>
      <c r="G2533">
        <v>48.264000000000003</v>
      </c>
      <c r="H2533">
        <v>0.10871</v>
      </c>
    </row>
    <row r="2534" spans="2:8" x14ac:dyDescent="0.25">
      <c r="B2534">
        <v>0.12033000000000001</v>
      </c>
      <c r="C2534">
        <v>10</v>
      </c>
      <c r="D2534">
        <v>62.1</v>
      </c>
      <c r="E2534">
        <v>40.896000000000001</v>
      </c>
      <c r="F2534">
        <v>2.4452000000000002E-2</v>
      </c>
      <c r="G2534">
        <v>53.695</v>
      </c>
      <c r="H2534">
        <v>0.12033000000000001</v>
      </c>
    </row>
    <row r="2535" spans="2:8" x14ac:dyDescent="0.25">
      <c r="B2535">
        <v>0.13186999999999999</v>
      </c>
      <c r="C2535">
        <v>15</v>
      </c>
      <c r="D2535">
        <v>62.1</v>
      </c>
      <c r="E2535">
        <v>40.665999999999997</v>
      </c>
      <c r="F2535">
        <v>2.4590999999999998E-2</v>
      </c>
      <c r="G2535">
        <v>59.142000000000003</v>
      </c>
      <c r="H2535">
        <v>0.13186999999999999</v>
      </c>
    </row>
    <row r="2536" spans="2:8" x14ac:dyDescent="0.25">
      <c r="B2536">
        <v>0.14332</v>
      </c>
      <c r="C2536">
        <v>20</v>
      </c>
      <c r="D2536">
        <v>62.1</v>
      </c>
      <c r="E2536">
        <v>40.433</v>
      </c>
      <c r="F2536">
        <v>2.4732000000000001E-2</v>
      </c>
      <c r="G2536">
        <v>64.606999999999999</v>
      </c>
      <c r="H2536">
        <v>0.14332</v>
      </c>
    </row>
    <row r="2537" spans="2:8" x14ac:dyDescent="0.25">
      <c r="B2537">
        <v>0.15468999999999999</v>
      </c>
      <c r="C2537">
        <v>25</v>
      </c>
      <c r="D2537">
        <v>62.1</v>
      </c>
      <c r="E2537">
        <v>40.198</v>
      </c>
      <c r="F2537">
        <v>2.4877E-2</v>
      </c>
      <c r="G2537">
        <v>70.088999999999999</v>
      </c>
      <c r="H2537">
        <v>0.15468999999999999</v>
      </c>
    </row>
    <row r="2538" spans="2:8" x14ac:dyDescent="0.25">
      <c r="B2538">
        <v>0.16597999999999999</v>
      </c>
      <c r="C2538">
        <v>30</v>
      </c>
      <c r="D2538">
        <v>62.1</v>
      </c>
      <c r="E2538">
        <v>39.96</v>
      </c>
      <c r="F2538">
        <v>2.5024999999999999E-2</v>
      </c>
      <c r="G2538">
        <v>75.588999999999999</v>
      </c>
      <c r="H2538">
        <v>0.16597999999999999</v>
      </c>
    </row>
    <row r="2539" spans="2:8" x14ac:dyDescent="0.25">
      <c r="B2539">
        <v>1.2791999999999999</v>
      </c>
      <c r="C2539">
        <v>35</v>
      </c>
      <c r="D2539">
        <v>62.1</v>
      </c>
      <c r="E2539">
        <v>0.21339</v>
      </c>
      <c r="F2539">
        <v>4.6863999999999999</v>
      </c>
      <c r="G2539">
        <v>622.79</v>
      </c>
      <c r="H2539">
        <v>1.2791999999999999</v>
      </c>
    </row>
    <row r="2540" spans="2:8" x14ac:dyDescent="0.25">
      <c r="B2540">
        <v>1.2856000000000001</v>
      </c>
      <c r="C2540">
        <v>40</v>
      </c>
      <c r="D2540">
        <v>62.1</v>
      </c>
      <c r="E2540">
        <v>0.21057000000000001</v>
      </c>
      <c r="F2540">
        <v>4.7489999999999997</v>
      </c>
      <c r="G2540">
        <v>625.92999999999995</v>
      </c>
      <c r="H2540">
        <v>1.2856000000000001</v>
      </c>
    </row>
    <row r="2541" spans="2:8" x14ac:dyDescent="0.25">
      <c r="B2541">
        <v>1.2917000000000001</v>
      </c>
      <c r="C2541">
        <v>45</v>
      </c>
      <c r="D2541">
        <v>62.1</v>
      </c>
      <c r="E2541">
        <v>0.20785999999999999</v>
      </c>
      <c r="F2541">
        <v>4.8109999999999999</v>
      </c>
      <c r="G2541">
        <v>629.04</v>
      </c>
      <c r="H2541">
        <v>1.2917000000000001</v>
      </c>
    </row>
    <row r="2542" spans="2:8" x14ac:dyDescent="0.25">
      <c r="B2542">
        <v>1.2978000000000001</v>
      </c>
      <c r="C2542">
        <v>50</v>
      </c>
      <c r="D2542">
        <v>62.1</v>
      </c>
      <c r="E2542">
        <v>0.20524000000000001</v>
      </c>
      <c r="F2542">
        <v>4.8723000000000001</v>
      </c>
      <c r="G2542">
        <v>632.11</v>
      </c>
      <c r="H2542">
        <v>1.2978000000000001</v>
      </c>
    </row>
    <row r="2543" spans="2:8" x14ac:dyDescent="0.25">
      <c r="B2543">
        <v>1.3037000000000001</v>
      </c>
      <c r="C2543">
        <v>55</v>
      </c>
      <c r="D2543">
        <v>62.1</v>
      </c>
      <c r="E2543">
        <v>0.20272000000000001</v>
      </c>
      <c r="F2543">
        <v>4.9329000000000001</v>
      </c>
      <c r="G2543">
        <v>635.14</v>
      </c>
      <c r="H2543">
        <v>1.3037000000000001</v>
      </c>
    </row>
    <row r="2544" spans="2:8" x14ac:dyDescent="0.25">
      <c r="B2544">
        <v>1.3095000000000001</v>
      </c>
      <c r="C2544">
        <v>60</v>
      </c>
      <c r="D2544">
        <v>62.1</v>
      </c>
      <c r="E2544">
        <v>0.20028000000000001</v>
      </c>
      <c r="F2544">
        <v>4.9931000000000001</v>
      </c>
      <c r="G2544">
        <v>638.14</v>
      </c>
      <c r="H2544">
        <v>1.3095000000000001</v>
      </c>
    </row>
    <row r="2545" spans="2:8" x14ac:dyDescent="0.25">
      <c r="B2545">
        <v>1.3151999999999999</v>
      </c>
      <c r="C2545">
        <v>65</v>
      </c>
      <c r="D2545">
        <v>62.1</v>
      </c>
      <c r="E2545">
        <v>0.19791</v>
      </c>
      <c r="F2545">
        <v>5.0526999999999997</v>
      </c>
      <c r="G2545">
        <v>641.12</v>
      </c>
      <c r="H2545">
        <v>1.3151999999999999</v>
      </c>
    </row>
    <row r="2546" spans="2:8" x14ac:dyDescent="0.25">
      <c r="B2546">
        <v>1.3208</v>
      </c>
      <c r="C2546">
        <v>70</v>
      </c>
      <c r="D2546">
        <v>62.1</v>
      </c>
      <c r="E2546">
        <v>0.19561999999999999</v>
      </c>
      <c r="F2546">
        <v>5.1117999999999997</v>
      </c>
      <c r="G2546">
        <v>644.07000000000005</v>
      </c>
      <c r="H2546">
        <v>1.3208</v>
      </c>
    </row>
    <row r="2547" spans="2:8" x14ac:dyDescent="0.25">
      <c r="B2547">
        <v>1.3263</v>
      </c>
      <c r="C2547">
        <v>75</v>
      </c>
      <c r="D2547">
        <v>62.1</v>
      </c>
      <c r="E2547">
        <v>0.19339999999999999</v>
      </c>
      <c r="F2547">
        <v>5.1704999999999997</v>
      </c>
      <c r="G2547">
        <v>647</v>
      </c>
      <c r="H2547">
        <v>1.3263</v>
      </c>
    </row>
    <row r="2548" spans="2:8" x14ac:dyDescent="0.25">
      <c r="B2548">
        <v>1.3317000000000001</v>
      </c>
      <c r="C2548">
        <v>80</v>
      </c>
      <c r="D2548">
        <v>62.1</v>
      </c>
      <c r="E2548">
        <v>0.19125</v>
      </c>
      <c r="F2548">
        <v>5.2289000000000003</v>
      </c>
      <c r="G2548">
        <v>649.91</v>
      </c>
      <c r="H2548">
        <v>1.3317000000000001</v>
      </c>
    </row>
    <row r="2549" spans="2:8" x14ac:dyDescent="0.25">
      <c r="B2549">
        <v>1.3371</v>
      </c>
      <c r="C2549">
        <v>85</v>
      </c>
      <c r="D2549">
        <v>62.1</v>
      </c>
      <c r="E2549">
        <v>0.18915000000000001</v>
      </c>
      <c r="F2549">
        <v>5.2868000000000004</v>
      </c>
      <c r="G2549">
        <v>652.79999999999995</v>
      </c>
      <c r="H2549">
        <v>1.3371</v>
      </c>
    </row>
    <row r="2550" spans="2:8" x14ac:dyDescent="0.25">
      <c r="B2550">
        <v>1.3423</v>
      </c>
      <c r="C2550">
        <v>90</v>
      </c>
      <c r="D2550">
        <v>62.1</v>
      </c>
      <c r="E2550">
        <v>0.18711</v>
      </c>
      <c r="F2550">
        <v>5.3444000000000003</v>
      </c>
      <c r="G2550">
        <v>655.67</v>
      </c>
      <c r="H2550">
        <v>1.3423</v>
      </c>
    </row>
    <row r="2551" spans="2:8" x14ac:dyDescent="0.25">
      <c r="B2551">
        <v>1.3474999999999999</v>
      </c>
      <c r="C2551">
        <v>95</v>
      </c>
      <c r="D2551">
        <v>62.1</v>
      </c>
      <c r="E2551">
        <v>0.18512999999999999</v>
      </c>
      <c r="F2551">
        <v>5.4016999999999999</v>
      </c>
      <c r="G2551">
        <v>658.53</v>
      </c>
      <c r="H2551">
        <v>1.3474999999999999</v>
      </c>
    </row>
    <row r="2552" spans="2:8" x14ac:dyDescent="0.25">
      <c r="B2552">
        <v>1.3526</v>
      </c>
      <c r="C2552">
        <v>100</v>
      </c>
      <c r="D2552">
        <v>62.1</v>
      </c>
      <c r="E2552">
        <v>0.1832</v>
      </c>
      <c r="F2552">
        <v>5.4587000000000003</v>
      </c>
      <c r="G2552">
        <v>661.38</v>
      </c>
      <c r="H2552">
        <v>1.3526</v>
      </c>
    </row>
    <row r="2553" spans="2:8" x14ac:dyDescent="0.25">
      <c r="B2553">
        <v>1.3575999999999999</v>
      </c>
      <c r="C2553">
        <v>105</v>
      </c>
      <c r="D2553">
        <v>62.1</v>
      </c>
      <c r="E2553">
        <v>0.18131</v>
      </c>
      <c r="F2553">
        <v>5.5153999999999996</v>
      </c>
      <c r="G2553">
        <v>664.21</v>
      </c>
      <c r="H2553">
        <v>1.3575999999999999</v>
      </c>
    </row>
    <row r="2554" spans="2:8" x14ac:dyDescent="0.25">
      <c r="B2554">
        <v>1.3626</v>
      </c>
      <c r="C2554">
        <v>110</v>
      </c>
      <c r="D2554">
        <v>62.1</v>
      </c>
      <c r="E2554">
        <v>0.17948</v>
      </c>
      <c r="F2554">
        <v>5.5717999999999996</v>
      </c>
      <c r="G2554">
        <v>667.04</v>
      </c>
      <c r="H2554">
        <v>1.3626</v>
      </c>
    </row>
    <row r="2555" spans="2:8" x14ac:dyDescent="0.25">
      <c r="B2555">
        <v>1.3674999999999999</v>
      </c>
      <c r="C2555">
        <v>115</v>
      </c>
      <c r="D2555">
        <v>62.1</v>
      </c>
      <c r="E2555">
        <v>0.17768</v>
      </c>
      <c r="F2555">
        <v>5.6280000000000001</v>
      </c>
      <c r="G2555">
        <v>669.85</v>
      </c>
      <c r="H2555">
        <v>1.3674999999999999</v>
      </c>
    </row>
    <row r="2556" spans="2:8" x14ac:dyDescent="0.25">
      <c r="B2556">
        <v>1.3724000000000001</v>
      </c>
      <c r="C2556">
        <v>120</v>
      </c>
      <c r="D2556">
        <v>62.1</v>
      </c>
      <c r="E2556">
        <v>0.17593</v>
      </c>
      <c r="F2556">
        <v>5.6840000000000002</v>
      </c>
      <c r="G2556">
        <v>672.66</v>
      </c>
      <c r="H2556">
        <v>1.3724000000000001</v>
      </c>
    </row>
    <row r="2557" spans="2:8" x14ac:dyDescent="0.25">
      <c r="B2557">
        <v>1.3772</v>
      </c>
      <c r="C2557">
        <v>125</v>
      </c>
      <c r="D2557">
        <v>62.1</v>
      </c>
      <c r="E2557">
        <v>0.17422000000000001</v>
      </c>
      <c r="F2557">
        <v>5.7397</v>
      </c>
      <c r="G2557">
        <v>675.45</v>
      </c>
      <c r="H2557">
        <v>1.3772</v>
      </c>
    </row>
    <row r="2558" spans="2:8" x14ac:dyDescent="0.25">
      <c r="B2558">
        <v>1.3819999999999999</v>
      </c>
      <c r="C2558">
        <v>130</v>
      </c>
      <c r="D2558">
        <v>62.1</v>
      </c>
      <c r="E2558">
        <v>0.17255000000000001</v>
      </c>
      <c r="F2558">
        <v>5.7953000000000001</v>
      </c>
      <c r="G2558">
        <v>678.25</v>
      </c>
      <c r="H2558">
        <v>1.3819999999999999</v>
      </c>
    </row>
    <row r="2559" spans="2:8" x14ac:dyDescent="0.25">
      <c r="B2559">
        <v>1.3867</v>
      </c>
      <c r="C2559">
        <v>135</v>
      </c>
      <c r="D2559">
        <v>62.1</v>
      </c>
      <c r="E2559">
        <v>0.17091999999999999</v>
      </c>
      <c r="F2559">
        <v>5.8506</v>
      </c>
      <c r="G2559">
        <v>681.03</v>
      </c>
      <c r="H2559">
        <v>1.3867</v>
      </c>
    </row>
    <row r="2560" spans="2:8" x14ac:dyDescent="0.25">
      <c r="B2560">
        <v>1.3913</v>
      </c>
      <c r="C2560">
        <v>140</v>
      </c>
      <c r="D2560">
        <v>62.1</v>
      </c>
      <c r="E2560">
        <v>0.16932</v>
      </c>
      <c r="F2560">
        <v>5.9058000000000002</v>
      </c>
      <c r="G2560">
        <v>683.81</v>
      </c>
      <c r="H2560">
        <v>1.3913</v>
      </c>
    </row>
    <row r="2561" spans="2:8" x14ac:dyDescent="0.25">
      <c r="B2561">
        <v>1.3958999999999999</v>
      </c>
      <c r="C2561">
        <v>145</v>
      </c>
      <c r="D2561">
        <v>62.1</v>
      </c>
      <c r="E2561">
        <v>0.16775999999999999</v>
      </c>
      <c r="F2561">
        <v>5.9607999999999999</v>
      </c>
      <c r="G2561">
        <v>686.59</v>
      </c>
      <c r="H2561">
        <v>1.3958999999999999</v>
      </c>
    </row>
    <row r="2562" spans="2:8" x14ac:dyDescent="0.25">
      <c r="B2562">
        <v>1.4005000000000001</v>
      </c>
      <c r="C2562">
        <v>150</v>
      </c>
      <c r="D2562">
        <v>62.1</v>
      </c>
      <c r="E2562">
        <v>0.16622999999999999</v>
      </c>
      <c r="F2562">
        <v>6.0156999999999998</v>
      </c>
      <c r="G2562">
        <v>689.36</v>
      </c>
      <c r="H2562">
        <v>1.4005000000000001</v>
      </c>
    </row>
    <row r="2563" spans="2:8" x14ac:dyDescent="0.25">
      <c r="B2563">
        <v>1.405</v>
      </c>
      <c r="C2563">
        <v>155</v>
      </c>
      <c r="D2563">
        <v>62.1</v>
      </c>
      <c r="E2563">
        <v>0.16472999999999999</v>
      </c>
      <c r="F2563">
        <v>6.0704000000000002</v>
      </c>
      <c r="G2563">
        <v>692.13</v>
      </c>
      <c r="H2563">
        <v>1.405</v>
      </c>
    </row>
    <row r="2564" spans="2:8" x14ac:dyDescent="0.25">
      <c r="B2564">
        <v>1.4095</v>
      </c>
      <c r="C2564">
        <v>160</v>
      </c>
      <c r="D2564">
        <v>62.1</v>
      </c>
      <c r="E2564">
        <v>0.16327</v>
      </c>
      <c r="F2564">
        <v>6.1249000000000002</v>
      </c>
      <c r="G2564">
        <v>694.9</v>
      </c>
      <c r="H2564">
        <v>1.4095</v>
      </c>
    </row>
    <row r="2565" spans="2:8" x14ac:dyDescent="0.25">
      <c r="B2565">
        <v>1.4139999999999999</v>
      </c>
      <c r="C2565">
        <v>165</v>
      </c>
      <c r="D2565">
        <v>62.1</v>
      </c>
      <c r="E2565">
        <v>0.16183</v>
      </c>
      <c r="F2565">
        <v>6.1792999999999996</v>
      </c>
      <c r="G2565">
        <v>697.67</v>
      </c>
      <c r="H2565">
        <v>1.4139999999999999</v>
      </c>
    </row>
    <row r="2566" spans="2:8" x14ac:dyDescent="0.25">
      <c r="B2566">
        <v>1.4184000000000001</v>
      </c>
      <c r="C2566">
        <v>170</v>
      </c>
      <c r="D2566">
        <v>62.1</v>
      </c>
      <c r="E2566">
        <v>0.16042000000000001</v>
      </c>
      <c r="F2566">
        <v>6.2336</v>
      </c>
      <c r="G2566">
        <v>700.43</v>
      </c>
      <c r="H2566">
        <v>1.4184000000000001</v>
      </c>
    </row>
    <row r="2567" spans="2:8" x14ac:dyDescent="0.25">
      <c r="B2567">
        <v>1.4227000000000001</v>
      </c>
      <c r="C2567">
        <v>175</v>
      </c>
      <c r="D2567">
        <v>62.1</v>
      </c>
      <c r="E2567">
        <v>0.15903999999999999</v>
      </c>
      <c r="F2567">
        <v>6.2877999999999998</v>
      </c>
      <c r="G2567">
        <v>703.19</v>
      </c>
      <c r="H2567">
        <v>1.4227000000000001</v>
      </c>
    </row>
    <row r="2568" spans="2:8" x14ac:dyDescent="0.25">
      <c r="B2568">
        <v>1.4271</v>
      </c>
      <c r="C2568">
        <v>180</v>
      </c>
      <c r="D2568">
        <v>62.1</v>
      </c>
      <c r="E2568">
        <v>0.15767999999999999</v>
      </c>
      <c r="F2568">
        <v>6.3418999999999999</v>
      </c>
      <c r="G2568">
        <v>705.96</v>
      </c>
      <c r="H2568">
        <v>1.4271</v>
      </c>
    </row>
    <row r="2569" spans="2:8" x14ac:dyDescent="0.25">
      <c r="B2569">
        <v>1.4314</v>
      </c>
      <c r="C2569">
        <v>185</v>
      </c>
      <c r="D2569">
        <v>62.1</v>
      </c>
      <c r="E2569">
        <v>0.15634999999999999</v>
      </c>
      <c r="F2569">
        <v>6.3958000000000004</v>
      </c>
      <c r="G2569">
        <v>708.72</v>
      </c>
      <c r="H2569">
        <v>1.4314</v>
      </c>
    </row>
    <row r="2570" spans="2:8" x14ac:dyDescent="0.25">
      <c r="B2570">
        <v>1.4356</v>
      </c>
      <c r="C2570">
        <v>190</v>
      </c>
      <c r="D2570">
        <v>62.1</v>
      </c>
      <c r="E2570">
        <v>0.15504999999999999</v>
      </c>
      <c r="F2570">
        <v>6.4497</v>
      </c>
      <c r="G2570">
        <v>711.48</v>
      </c>
      <c r="H2570">
        <v>1.4356</v>
      </c>
    </row>
    <row r="2571" spans="2:8" x14ac:dyDescent="0.25">
      <c r="B2571">
        <v>1.4399</v>
      </c>
      <c r="C2571">
        <v>195</v>
      </c>
      <c r="D2571">
        <v>62.1</v>
      </c>
      <c r="E2571">
        <v>0.15376999999999999</v>
      </c>
      <c r="F2571">
        <v>6.5034000000000001</v>
      </c>
      <c r="G2571">
        <v>714.24</v>
      </c>
      <c r="H2571">
        <v>1.4399</v>
      </c>
    </row>
    <row r="2572" spans="2:8" x14ac:dyDescent="0.25">
      <c r="B2572">
        <v>1.4440999999999999</v>
      </c>
      <c r="C2572">
        <v>200</v>
      </c>
      <c r="D2572">
        <v>62.1</v>
      </c>
      <c r="E2572">
        <v>0.15251000000000001</v>
      </c>
      <c r="F2572">
        <v>6.5570000000000004</v>
      </c>
      <c r="G2572">
        <v>717.01</v>
      </c>
      <c r="H2572">
        <v>1.4440999999999999</v>
      </c>
    </row>
    <row r="2573" spans="2:8" x14ac:dyDescent="0.25">
      <c r="B2573">
        <v>1.4482999999999999</v>
      </c>
      <c r="C2573">
        <v>205</v>
      </c>
      <c r="D2573">
        <v>62.1</v>
      </c>
      <c r="E2573">
        <v>0.15126999999999999</v>
      </c>
      <c r="F2573">
        <v>6.6105999999999998</v>
      </c>
      <c r="G2573">
        <v>719.77</v>
      </c>
      <c r="H2573">
        <v>1.4482999999999999</v>
      </c>
    </row>
    <row r="2574" spans="2:8" x14ac:dyDescent="0.25">
      <c r="B2574">
        <v>1.4523999999999999</v>
      </c>
      <c r="C2574">
        <v>210</v>
      </c>
      <c r="D2574">
        <v>62.1</v>
      </c>
      <c r="E2574">
        <v>0.15006</v>
      </c>
      <c r="F2574">
        <v>6.6641000000000004</v>
      </c>
      <c r="G2574">
        <v>722.54</v>
      </c>
      <c r="H2574">
        <v>1.4523999999999999</v>
      </c>
    </row>
    <row r="2575" spans="2:8" x14ac:dyDescent="0.25">
      <c r="B2575">
        <v>1.4564999999999999</v>
      </c>
      <c r="C2575">
        <v>215</v>
      </c>
      <c r="D2575">
        <v>62.1</v>
      </c>
      <c r="E2575">
        <v>0.14887</v>
      </c>
      <c r="F2575">
        <v>6.7173999999999996</v>
      </c>
      <c r="G2575">
        <v>725.31</v>
      </c>
      <c r="H2575">
        <v>1.4564999999999999</v>
      </c>
    </row>
    <row r="2576" spans="2:8" x14ac:dyDescent="0.25">
      <c r="B2576">
        <v>1.4605999999999999</v>
      </c>
      <c r="C2576">
        <v>220</v>
      </c>
      <c r="D2576">
        <v>62.1</v>
      </c>
      <c r="E2576">
        <v>0.14768999999999999</v>
      </c>
      <c r="F2576">
        <v>6.7708000000000004</v>
      </c>
      <c r="G2576">
        <v>728.08</v>
      </c>
      <c r="H2576">
        <v>1.4605999999999999</v>
      </c>
    </row>
    <row r="2577" spans="2:8" x14ac:dyDescent="0.25">
      <c r="B2577">
        <v>1.4646999999999999</v>
      </c>
      <c r="C2577">
        <v>225</v>
      </c>
      <c r="D2577">
        <v>62.1</v>
      </c>
      <c r="E2577">
        <v>0.14654</v>
      </c>
      <c r="F2577">
        <v>6.8239999999999998</v>
      </c>
      <c r="G2577">
        <v>730.85</v>
      </c>
      <c r="H2577">
        <v>1.4646999999999999</v>
      </c>
    </row>
    <row r="2578" spans="2:8" x14ac:dyDescent="0.25">
      <c r="B2578">
        <v>1.4686999999999999</v>
      </c>
      <c r="C2578">
        <v>230</v>
      </c>
      <c r="D2578">
        <v>62.1</v>
      </c>
      <c r="E2578">
        <v>0.14541000000000001</v>
      </c>
      <c r="F2578">
        <v>6.8771000000000004</v>
      </c>
      <c r="G2578">
        <v>733.62</v>
      </c>
      <c r="H2578">
        <v>1.4686999999999999</v>
      </c>
    </row>
    <row r="2579" spans="2:8" x14ac:dyDescent="0.25">
      <c r="B2579">
        <v>1.4726999999999999</v>
      </c>
      <c r="C2579">
        <v>235</v>
      </c>
      <c r="D2579">
        <v>62.1</v>
      </c>
      <c r="E2579">
        <v>0.14430000000000001</v>
      </c>
      <c r="F2579">
        <v>6.9302000000000001</v>
      </c>
      <c r="G2579">
        <v>736.4</v>
      </c>
      <c r="H2579">
        <v>1.4726999999999999</v>
      </c>
    </row>
    <row r="2580" spans="2:8" x14ac:dyDescent="0.25">
      <c r="B2580">
        <v>1.4766999999999999</v>
      </c>
      <c r="C2580">
        <v>240</v>
      </c>
      <c r="D2580">
        <v>62.1</v>
      </c>
      <c r="E2580">
        <v>0.14319999999999999</v>
      </c>
      <c r="F2580">
        <v>6.9832000000000001</v>
      </c>
      <c r="G2580">
        <v>739.18</v>
      </c>
      <c r="H2580">
        <v>1.4766999999999999</v>
      </c>
    </row>
    <row r="2581" spans="2:8" x14ac:dyDescent="0.25">
      <c r="B2581">
        <v>1.4806999999999999</v>
      </c>
      <c r="C2581">
        <v>245</v>
      </c>
      <c r="D2581">
        <v>62.1</v>
      </c>
      <c r="E2581">
        <v>0.14212</v>
      </c>
      <c r="F2581">
        <v>7.0362</v>
      </c>
      <c r="G2581">
        <v>741.96</v>
      </c>
      <c r="H2581">
        <v>1.4806999999999999</v>
      </c>
    </row>
    <row r="2582" spans="2:8" x14ac:dyDescent="0.25">
      <c r="B2582">
        <v>1.4845999999999999</v>
      </c>
      <c r="C2582">
        <v>250</v>
      </c>
      <c r="D2582">
        <v>62.1</v>
      </c>
      <c r="E2582">
        <v>0.14105999999999999</v>
      </c>
      <c r="F2582">
        <v>7.0891000000000002</v>
      </c>
      <c r="G2582">
        <v>744.75</v>
      </c>
      <c r="H2582">
        <v>1.4845999999999999</v>
      </c>
    </row>
    <row r="2583" spans="2:8" x14ac:dyDescent="0.25">
      <c r="B2583">
        <v>1.4884999999999999</v>
      </c>
      <c r="C2583">
        <v>255</v>
      </c>
      <c r="D2583">
        <v>62.1</v>
      </c>
      <c r="E2583">
        <v>0.14002000000000001</v>
      </c>
      <c r="F2583">
        <v>7.1418999999999997</v>
      </c>
      <c r="G2583">
        <v>747.54</v>
      </c>
      <c r="H2583">
        <v>1.4884999999999999</v>
      </c>
    </row>
    <row r="2584" spans="2:8" x14ac:dyDescent="0.25">
      <c r="B2584">
        <v>1.4923999999999999</v>
      </c>
      <c r="C2584">
        <v>260</v>
      </c>
      <c r="D2584">
        <v>62.1</v>
      </c>
      <c r="E2584">
        <v>0.13899</v>
      </c>
      <c r="F2584">
        <v>7.1947000000000001</v>
      </c>
      <c r="G2584">
        <v>750.33</v>
      </c>
      <c r="H2584">
        <v>1.4923999999999999</v>
      </c>
    </row>
    <row r="2585" spans="2:8" x14ac:dyDescent="0.25">
      <c r="B2585">
        <v>1.4963</v>
      </c>
      <c r="C2585">
        <v>265</v>
      </c>
      <c r="D2585">
        <v>62.1</v>
      </c>
      <c r="E2585">
        <v>0.13797999999999999</v>
      </c>
      <c r="F2585">
        <v>7.2473999999999998</v>
      </c>
      <c r="G2585">
        <v>753.13</v>
      </c>
      <c r="H2585">
        <v>1.4963</v>
      </c>
    </row>
    <row r="2586" spans="2:8" x14ac:dyDescent="0.25">
      <c r="B2586">
        <v>1.5002</v>
      </c>
      <c r="C2586">
        <v>270</v>
      </c>
      <c r="D2586">
        <v>62.1</v>
      </c>
      <c r="E2586">
        <v>0.13697999999999999</v>
      </c>
      <c r="F2586">
        <v>7.3000999999999996</v>
      </c>
      <c r="G2586">
        <v>755.93</v>
      </c>
      <c r="H2586">
        <v>1.5002</v>
      </c>
    </row>
    <row r="2587" spans="2:8" x14ac:dyDescent="0.25">
      <c r="B2587">
        <v>1.504</v>
      </c>
      <c r="C2587">
        <v>275</v>
      </c>
      <c r="D2587">
        <v>62.1</v>
      </c>
      <c r="E2587">
        <v>0.13600000000000001</v>
      </c>
      <c r="F2587">
        <v>7.3526999999999996</v>
      </c>
      <c r="G2587">
        <v>758.74</v>
      </c>
      <c r="H2587">
        <v>1.504</v>
      </c>
    </row>
    <row r="2588" spans="2:8" x14ac:dyDescent="0.25">
      <c r="B2588">
        <v>1.5078</v>
      </c>
      <c r="C2588">
        <v>280</v>
      </c>
      <c r="D2588">
        <v>62.1</v>
      </c>
      <c r="E2588">
        <v>0.13503999999999999</v>
      </c>
      <c r="F2588">
        <v>7.4053000000000004</v>
      </c>
      <c r="G2588">
        <v>761.55</v>
      </c>
      <c r="H2588">
        <v>1.5078</v>
      </c>
    </row>
    <row r="2589" spans="2:8" x14ac:dyDescent="0.25">
      <c r="B2589">
        <v>1.5116000000000001</v>
      </c>
      <c r="C2589">
        <v>285</v>
      </c>
      <c r="D2589">
        <v>62.1</v>
      </c>
      <c r="E2589">
        <v>0.13408999999999999</v>
      </c>
      <c r="F2589">
        <v>7.4577999999999998</v>
      </c>
      <c r="G2589">
        <v>764.36</v>
      </c>
      <c r="H2589">
        <v>1.5116000000000001</v>
      </c>
    </row>
    <row r="2590" spans="2:8" x14ac:dyDescent="0.25">
      <c r="B2590">
        <v>1.5154000000000001</v>
      </c>
      <c r="C2590">
        <v>290</v>
      </c>
      <c r="D2590">
        <v>62.1</v>
      </c>
      <c r="E2590">
        <v>0.13314999999999999</v>
      </c>
      <c r="F2590">
        <v>7.5103</v>
      </c>
      <c r="G2590">
        <v>767.18</v>
      </c>
      <c r="H2590">
        <v>1.5154000000000001</v>
      </c>
    </row>
    <row r="2591" spans="2:8" x14ac:dyDescent="0.25">
      <c r="B2591">
        <v>1.5190999999999999</v>
      </c>
      <c r="C2591">
        <v>295</v>
      </c>
      <c r="D2591">
        <v>62.1</v>
      </c>
      <c r="E2591">
        <v>0.13222999999999999</v>
      </c>
      <c r="F2591">
        <v>7.5628000000000002</v>
      </c>
      <c r="G2591">
        <v>770</v>
      </c>
      <c r="H2591">
        <v>1.5190999999999999</v>
      </c>
    </row>
    <row r="2592" spans="2:8" x14ac:dyDescent="0.25">
      <c r="B2592">
        <v>1.5228999999999999</v>
      </c>
      <c r="C2592">
        <v>300</v>
      </c>
      <c r="D2592">
        <v>62.1</v>
      </c>
      <c r="E2592">
        <v>0.13131999999999999</v>
      </c>
      <c r="F2592">
        <v>7.6151999999999997</v>
      </c>
      <c r="G2592">
        <v>772.83</v>
      </c>
      <c r="H2592">
        <v>1.5228999999999999</v>
      </c>
    </row>
    <row r="2594" spans="1:8" x14ac:dyDescent="0.25">
      <c r="A2594">
        <v>64.7</v>
      </c>
      <c r="B2594">
        <v>-2.5575000000000001E-2</v>
      </c>
      <c r="C2594">
        <v>-50</v>
      </c>
      <c r="D2594">
        <v>64.7</v>
      </c>
      <c r="E2594">
        <v>43.512999999999998</v>
      </c>
      <c r="F2594">
        <v>2.2981999999999999E-2</v>
      </c>
      <c r="G2594">
        <v>-10.372999999999999</v>
      </c>
      <c r="H2594">
        <v>-2.5575000000000001E-2</v>
      </c>
    </row>
    <row r="2595" spans="1:8" x14ac:dyDescent="0.25">
      <c r="B2595">
        <v>-1.2846E-2</v>
      </c>
      <c r="C2595">
        <v>-45</v>
      </c>
      <c r="D2595">
        <v>64.7</v>
      </c>
      <c r="E2595">
        <v>43.305</v>
      </c>
      <c r="F2595">
        <v>2.3092000000000001E-2</v>
      </c>
      <c r="G2595">
        <v>-5.1262999999999996</v>
      </c>
      <c r="H2595">
        <v>-1.2846E-2</v>
      </c>
    </row>
    <row r="2596" spans="1:8" x14ac:dyDescent="0.25">
      <c r="B2596">
        <v>-2.2801000000000001E-4</v>
      </c>
      <c r="C2596">
        <v>-40</v>
      </c>
      <c r="D2596">
        <v>64.7</v>
      </c>
      <c r="E2596">
        <v>43.095999999999997</v>
      </c>
      <c r="F2596">
        <v>2.3203999999999999E-2</v>
      </c>
      <c r="G2596">
        <v>0.13766999999999999</v>
      </c>
      <c r="H2596">
        <v>-2.2801000000000001E-4</v>
      </c>
    </row>
    <row r="2597" spans="1:8" x14ac:dyDescent="0.25">
      <c r="B2597">
        <v>1.2282E-2</v>
      </c>
      <c r="C2597">
        <v>-35</v>
      </c>
      <c r="D2597">
        <v>64.7</v>
      </c>
      <c r="E2597">
        <v>42.884</v>
      </c>
      <c r="F2597">
        <v>2.3318999999999999E-2</v>
      </c>
      <c r="G2597">
        <v>5.4188999999999998</v>
      </c>
      <c r="H2597">
        <v>1.2282E-2</v>
      </c>
    </row>
    <row r="2598" spans="1:8" x14ac:dyDescent="0.25">
      <c r="B2598">
        <v>2.4684999999999999E-2</v>
      </c>
      <c r="C2598">
        <v>-30</v>
      </c>
      <c r="D2598">
        <v>64.7</v>
      </c>
      <c r="E2598">
        <v>42.670999999999999</v>
      </c>
      <c r="F2598">
        <v>2.3435000000000001E-2</v>
      </c>
      <c r="G2598">
        <v>10.717000000000001</v>
      </c>
      <c r="H2598">
        <v>2.4684999999999999E-2</v>
      </c>
    </row>
    <row r="2599" spans="1:8" x14ac:dyDescent="0.25">
      <c r="B2599">
        <v>3.6984000000000003E-2</v>
      </c>
      <c r="C2599">
        <v>-25</v>
      </c>
      <c r="D2599">
        <v>64.7</v>
      </c>
      <c r="E2599">
        <v>42.456000000000003</v>
      </c>
      <c r="F2599">
        <v>2.3553999999999999E-2</v>
      </c>
      <c r="G2599">
        <v>16.032</v>
      </c>
      <c r="H2599">
        <v>3.6984000000000003E-2</v>
      </c>
    </row>
    <row r="2600" spans="1:8" x14ac:dyDescent="0.25">
      <c r="B2600">
        <v>4.9181000000000002E-2</v>
      </c>
      <c r="C2600">
        <v>-20</v>
      </c>
      <c r="D2600">
        <v>64.7</v>
      </c>
      <c r="E2600">
        <v>42.238999999999997</v>
      </c>
      <c r="F2600">
        <v>2.3675000000000002E-2</v>
      </c>
      <c r="G2600">
        <v>21.364000000000001</v>
      </c>
      <c r="H2600">
        <v>4.9181000000000002E-2</v>
      </c>
    </row>
    <row r="2601" spans="1:8" x14ac:dyDescent="0.25">
      <c r="B2601">
        <v>6.1275999999999997E-2</v>
      </c>
      <c r="C2601">
        <v>-15</v>
      </c>
      <c r="D2601">
        <v>64.7</v>
      </c>
      <c r="E2601">
        <v>42.02</v>
      </c>
      <c r="F2601">
        <v>2.3798E-2</v>
      </c>
      <c r="G2601">
        <v>26.713000000000001</v>
      </c>
      <c r="H2601">
        <v>6.1275999999999997E-2</v>
      </c>
    </row>
    <row r="2602" spans="1:8" x14ac:dyDescent="0.25">
      <c r="B2602">
        <v>7.3273000000000005E-2</v>
      </c>
      <c r="C2602">
        <v>-10</v>
      </c>
      <c r="D2602">
        <v>64.7</v>
      </c>
      <c r="E2602">
        <v>41.8</v>
      </c>
      <c r="F2602">
        <v>2.3924000000000001E-2</v>
      </c>
      <c r="G2602">
        <v>32.076999999999998</v>
      </c>
      <c r="H2602">
        <v>7.3273000000000005E-2</v>
      </c>
    </row>
    <row r="2603" spans="1:8" x14ac:dyDescent="0.25">
      <c r="B2603">
        <v>8.5174E-2</v>
      </c>
      <c r="C2603">
        <v>-5</v>
      </c>
      <c r="D2603">
        <v>64.7</v>
      </c>
      <c r="E2603">
        <v>41.576999999999998</v>
      </c>
      <c r="F2603">
        <v>2.4052E-2</v>
      </c>
      <c r="G2603">
        <v>37.457999999999998</v>
      </c>
      <c r="H2603">
        <v>8.5174E-2</v>
      </c>
    </row>
    <row r="2604" spans="1:8" x14ac:dyDescent="0.25">
      <c r="B2604">
        <v>9.6979999999999997E-2</v>
      </c>
      <c r="C2604">
        <v>0</v>
      </c>
      <c r="D2604">
        <v>64.7</v>
      </c>
      <c r="E2604">
        <v>41.351999999999997</v>
      </c>
      <c r="F2604">
        <v>2.4181999999999999E-2</v>
      </c>
      <c r="G2604">
        <v>42.856000000000002</v>
      </c>
      <c r="H2604">
        <v>9.6979999999999997E-2</v>
      </c>
    </row>
    <row r="2605" spans="1:8" x14ac:dyDescent="0.25">
      <c r="B2605">
        <v>0.10868999999999999</v>
      </c>
      <c r="C2605">
        <v>5</v>
      </c>
      <c r="D2605">
        <v>64.7</v>
      </c>
      <c r="E2605">
        <v>41.125999999999998</v>
      </c>
      <c r="F2605">
        <v>2.4316000000000001E-2</v>
      </c>
      <c r="G2605">
        <v>48.27</v>
      </c>
      <c r="H2605">
        <v>0.10868999999999999</v>
      </c>
    </row>
    <row r="2606" spans="1:8" x14ac:dyDescent="0.25">
      <c r="B2606">
        <v>0.12032</v>
      </c>
      <c r="C2606">
        <v>10</v>
      </c>
      <c r="D2606">
        <v>64.7</v>
      </c>
      <c r="E2606">
        <v>40.896999999999998</v>
      </c>
      <c r="F2606">
        <v>2.4452000000000002E-2</v>
      </c>
      <c r="G2606">
        <v>53.7</v>
      </c>
      <c r="H2606">
        <v>0.12032</v>
      </c>
    </row>
    <row r="2607" spans="1:8" x14ac:dyDescent="0.25">
      <c r="B2607">
        <v>0.13186</v>
      </c>
      <c r="C2607">
        <v>15</v>
      </c>
      <c r="D2607">
        <v>64.7</v>
      </c>
      <c r="E2607">
        <v>40.665999999999997</v>
      </c>
      <c r="F2607">
        <v>2.4590000000000001E-2</v>
      </c>
      <c r="G2607">
        <v>59.148000000000003</v>
      </c>
      <c r="H2607">
        <v>0.13186</v>
      </c>
    </row>
    <row r="2608" spans="1:8" x14ac:dyDescent="0.25">
      <c r="B2608">
        <v>0.14330999999999999</v>
      </c>
      <c r="C2608">
        <v>20</v>
      </c>
      <c r="D2608">
        <v>64.7</v>
      </c>
      <c r="E2608">
        <v>40.433999999999997</v>
      </c>
      <c r="F2608">
        <v>2.4732000000000001E-2</v>
      </c>
      <c r="G2608">
        <v>64.611999999999995</v>
      </c>
      <c r="H2608">
        <v>0.14330999999999999</v>
      </c>
    </row>
    <row r="2609" spans="2:8" x14ac:dyDescent="0.25">
      <c r="B2609">
        <v>0.15468000000000001</v>
      </c>
      <c r="C2609">
        <v>25</v>
      </c>
      <c r="D2609">
        <v>64.7</v>
      </c>
      <c r="E2609">
        <v>40.198</v>
      </c>
      <c r="F2609">
        <v>2.4877E-2</v>
      </c>
      <c r="G2609">
        <v>70.093999999999994</v>
      </c>
      <c r="H2609">
        <v>0.15468000000000001</v>
      </c>
    </row>
    <row r="2610" spans="2:8" x14ac:dyDescent="0.25">
      <c r="B2610">
        <v>0.16597000000000001</v>
      </c>
      <c r="C2610">
        <v>30</v>
      </c>
      <c r="D2610">
        <v>64.7</v>
      </c>
      <c r="E2610">
        <v>39.960999999999999</v>
      </c>
      <c r="F2610">
        <v>2.5024000000000001E-2</v>
      </c>
      <c r="G2610">
        <v>75.593999999999994</v>
      </c>
      <c r="H2610">
        <v>0.16597000000000001</v>
      </c>
    </row>
    <row r="2611" spans="2:8" x14ac:dyDescent="0.25">
      <c r="B2611">
        <v>1.2732000000000001</v>
      </c>
      <c r="C2611">
        <v>35</v>
      </c>
      <c r="D2611">
        <v>64.7</v>
      </c>
      <c r="E2611">
        <v>0.22305</v>
      </c>
      <c r="F2611">
        <v>4.4833999999999996</v>
      </c>
      <c r="G2611">
        <v>622.03</v>
      </c>
      <c r="H2611">
        <v>1.2732000000000001</v>
      </c>
    </row>
    <row r="2612" spans="2:8" x14ac:dyDescent="0.25">
      <c r="B2612">
        <v>1.2796000000000001</v>
      </c>
      <c r="C2612">
        <v>40</v>
      </c>
      <c r="D2612">
        <v>64.7</v>
      </c>
      <c r="E2612">
        <v>0.22006000000000001</v>
      </c>
      <c r="F2612">
        <v>4.5441000000000003</v>
      </c>
      <c r="G2612">
        <v>625.22</v>
      </c>
      <c r="H2612">
        <v>1.2796000000000001</v>
      </c>
    </row>
    <row r="2613" spans="2:8" x14ac:dyDescent="0.25">
      <c r="B2613">
        <v>1.2859</v>
      </c>
      <c r="C2613">
        <v>45</v>
      </c>
      <c r="D2613">
        <v>64.7</v>
      </c>
      <c r="E2613">
        <v>0.21718999999999999</v>
      </c>
      <c r="F2613">
        <v>4.6041999999999996</v>
      </c>
      <c r="G2613">
        <v>628.36</v>
      </c>
      <c r="H2613">
        <v>1.2859</v>
      </c>
    </row>
    <row r="2614" spans="2:8" x14ac:dyDescent="0.25">
      <c r="B2614">
        <v>1.292</v>
      </c>
      <c r="C2614">
        <v>50</v>
      </c>
      <c r="D2614">
        <v>64.7</v>
      </c>
      <c r="E2614">
        <v>0.21443000000000001</v>
      </c>
      <c r="F2614">
        <v>4.6635</v>
      </c>
      <c r="G2614">
        <v>631.46</v>
      </c>
      <c r="H2614">
        <v>1.292</v>
      </c>
    </row>
    <row r="2615" spans="2:8" x14ac:dyDescent="0.25">
      <c r="B2615">
        <v>1.298</v>
      </c>
      <c r="C2615">
        <v>55</v>
      </c>
      <c r="D2615">
        <v>64.7</v>
      </c>
      <c r="E2615">
        <v>0.21176</v>
      </c>
      <c r="F2615">
        <v>4.7222</v>
      </c>
      <c r="G2615">
        <v>634.52</v>
      </c>
      <c r="H2615">
        <v>1.298</v>
      </c>
    </row>
    <row r="2616" spans="2:8" x14ac:dyDescent="0.25">
      <c r="B2616">
        <v>1.3039000000000001</v>
      </c>
      <c r="C2616">
        <v>60</v>
      </c>
      <c r="D2616">
        <v>64.7</v>
      </c>
      <c r="E2616">
        <v>0.20918999999999999</v>
      </c>
      <c r="F2616">
        <v>4.7804000000000002</v>
      </c>
      <c r="G2616">
        <v>637.54999999999995</v>
      </c>
      <c r="H2616">
        <v>1.3039000000000001</v>
      </c>
    </row>
    <row r="2617" spans="2:8" x14ac:dyDescent="0.25">
      <c r="B2617">
        <v>1.3096000000000001</v>
      </c>
      <c r="C2617">
        <v>65</v>
      </c>
      <c r="D2617">
        <v>64.7</v>
      </c>
      <c r="E2617">
        <v>0.20669000000000001</v>
      </c>
      <c r="F2617">
        <v>4.8380999999999998</v>
      </c>
      <c r="G2617">
        <v>640.54999999999995</v>
      </c>
      <c r="H2617">
        <v>1.3096000000000001</v>
      </c>
    </row>
    <row r="2618" spans="2:8" x14ac:dyDescent="0.25">
      <c r="B2618">
        <v>1.3151999999999999</v>
      </c>
      <c r="C2618">
        <v>70</v>
      </c>
      <c r="D2618">
        <v>64.7</v>
      </c>
      <c r="E2618">
        <v>0.20427999999999999</v>
      </c>
      <c r="F2618">
        <v>4.8952</v>
      </c>
      <c r="G2618">
        <v>643.53</v>
      </c>
      <c r="H2618">
        <v>1.3151999999999999</v>
      </c>
    </row>
    <row r="2619" spans="2:8" x14ac:dyDescent="0.25">
      <c r="B2619">
        <v>1.3208</v>
      </c>
      <c r="C2619">
        <v>75</v>
      </c>
      <c r="D2619">
        <v>64.7</v>
      </c>
      <c r="E2619">
        <v>0.20194000000000001</v>
      </c>
      <c r="F2619">
        <v>4.952</v>
      </c>
      <c r="G2619">
        <v>646.48</v>
      </c>
      <c r="H2619">
        <v>1.3208</v>
      </c>
    </row>
    <row r="2620" spans="2:8" x14ac:dyDescent="0.25">
      <c r="B2620">
        <v>1.3262</v>
      </c>
      <c r="C2620">
        <v>80</v>
      </c>
      <c r="D2620">
        <v>64.7</v>
      </c>
      <c r="E2620">
        <v>0.19966999999999999</v>
      </c>
      <c r="F2620">
        <v>5.0083000000000002</v>
      </c>
      <c r="G2620">
        <v>649.4</v>
      </c>
      <c r="H2620">
        <v>1.3262</v>
      </c>
    </row>
    <row r="2621" spans="2:8" x14ac:dyDescent="0.25">
      <c r="B2621">
        <v>1.3315999999999999</v>
      </c>
      <c r="C2621">
        <v>85</v>
      </c>
      <c r="D2621">
        <v>64.7</v>
      </c>
      <c r="E2621">
        <v>0.19746</v>
      </c>
      <c r="F2621">
        <v>5.0641999999999996</v>
      </c>
      <c r="G2621">
        <v>652.30999999999995</v>
      </c>
      <c r="H2621">
        <v>1.3315999999999999</v>
      </c>
    </row>
    <row r="2622" spans="2:8" x14ac:dyDescent="0.25">
      <c r="B2622">
        <v>1.3369</v>
      </c>
      <c r="C2622">
        <v>90</v>
      </c>
      <c r="D2622">
        <v>64.7</v>
      </c>
      <c r="E2622">
        <v>0.19531999999999999</v>
      </c>
      <c r="F2622">
        <v>5.1197999999999997</v>
      </c>
      <c r="G2622">
        <v>655.21</v>
      </c>
      <c r="H2622">
        <v>1.3369</v>
      </c>
    </row>
    <row r="2623" spans="2:8" x14ac:dyDescent="0.25">
      <c r="B2623">
        <v>1.3421000000000001</v>
      </c>
      <c r="C2623">
        <v>95</v>
      </c>
      <c r="D2623">
        <v>64.7</v>
      </c>
      <c r="E2623">
        <v>0.19323000000000001</v>
      </c>
      <c r="F2623">
        <v>5.1750999999999996</v>
      </c>
      <c r="G2623">
        <v>658.08</v>
      </c>
      <c r="H2623">
        <v>1.3421000000000001</v>
      </c>
    </row>
    <row r="2624" spans="2:8" x14ac:dyDescent="0.25">
      <c r="B2624">
        <v>1.3472</v>
      </c>
      <c r="C2624">
        <v>100</v>
      </c>
      <c r="D2624">
        <v>64.7</v>
      </c>
      <c r="E2624">
        <v>0.19120000000000001</v>
      </c>
      <c r="F2624">
        <v>5.2301000000000002</v>
      </c>
      <c r="G2624">
        <v>660.94</v>
      </c>
      <c r="H2624">
        <v>1.3472</v>
      </c>
    </row>
    <row r="2625" spans="2:8" x14ac:dyDescent="0.25">
      <c r="B2625">
        <v>1.3523000000000001</v>
      </c>
      <c r="C2625">
        <v>105</v>
      </c>
      <c r="D2625">
        <v>64.7</v>
      </c>
      <c r="E2625">
        <v>0.18922</v>
      </c>
      <c r="F2625">
        <v>5.2847999999999997</v>
      </c>
      <c r="G2625">
        <v>663.79</v>
      </c>
      <c r="H2625">
        <v>1.3523000000000001</v>
      </c>
    </row>
    <row r="2626" spans="2:8" x14ac:dyDescent="0.25">
      <c r="B2626">
        <v>1.3573</v>
      </c>
      <c r="C2626">
        <v>110</v>
      </c>
      <c r="D2626">
        <v>64.7</v>
      </c>
      <c r="E2626">
        <v>0.18729000000000001</v>
      </c>
      <c r="F2626">
        <v>5.3391999999999999</v>
      </c>
      <c r="G2626">
        <v>666.63</v>
      </c>
      <c r="H2626">
        <v>1.3573</v>
      </c>
    </row>
    <row r="2627" spans="2:8" x14ac:dyDescent="0.25">
      <c r="B2627">
        <v>1.3622000000000001</v>
      </c>
      <c r="C2627">
        <v>115</v>
      </c>
      <c r="D2627">
        <v>64.7</v>
      </c>
      <c r="E2627">
        <v>0.18540999999999999</v>
      </c>
      <c r="F2627">
        <v>5.3933999999999997</v>
      </c>
      <c r="G2627">
        <v>669.46</v>
      </c>
      <c r="H2627">
        <v>1.3622000000000001</v>
      </c>
    </row>
    <row r="2628" spans="2:8" x14ac:dyDescent="0.25">
      <c r="B2628">
        <v>1.3671</v>
      </c>
      <c r="C2628">
        <v>120</v>
      </c>
      <c r="D2628">
        <v>64.7</v>
      </c>
      <c r="E2628">
        <v>0.18357999999999999</v>
      </c>
      <c r="F2628">
        <v>5.4473000000000003</v>
      </c>
      <c r="G2628">
        <v>672.27</v>
      </c>
      <c r="H2628">
        <v>1.3671</v>
      </c>
    </row>
    <row r="2629" spans="2:8" x14ac:dyDescent="0.25">
      <c r="B2629">
        <v>1.3720000000000001</v>
      </c>
      <c r="C2629">
        <v>125</v>
      </c>
      <c r="D2629">
        <v>64.7</v>
      </c>
      <c r="E2629">
        <v>0.18178</v>
      </c>
      <c r="F2629">
        <v>5.5011000000000001</v>
      </c>
      <c r="G2629">
        <v>675.08</v>
      </c>
      <c r="H2629">
        <v>1.3720000000000001</v>
      </c>
    </row>
    <row r="2630" spans="2:8" x14ac:dyDescent="0.25">
      <c r="B2630">
        <v>1.3767</v>
      </c>
      <c r="C2630">
        <v>130</v>
      </c>
      <c r="D2630">
        <v>64.7</v>
      </c>
      <c r="E2630">
        <v>0.18003</v>
      </c>
      <c r="F2630">
        <v>5.5545999999999998</v>
      </c>
      <c r="G2630">
        <v>677.89</v>
      </c>
      <c r="H2630">
        <v>1.3767</v>
      </c>
    </row>
    <row r="2631" spans="2:8" x14ac:dyDescent="0.25">
      <c r="B2631">
        <v>1.3814</v>
      </c>
      <c r="C2631">
        <v>135</v>
      </c>
      <c r="D2631">
        <v>64.7</v>
      </c>
      <c r="E2631">
        <v>0.17832000000000001</v>
      </c>
      <c r="F2631">
        <v>5.6078999999999999</v>
      </c>
      <c r="G2631">
        <v>680.68</v>
      </c>
      <c r="H2631">
        <v>1.3814</v>
      </c>
    </row>
    <row r="2632" spans="2:8" x14ac:dyDescent="0.25">
      <c r="B2632">
        <v>1.3861000000000001</v>
      </c>
      <c r="C2632">
        <v>140</v>
      </c>
      <c r="D2632">
        <v>64.7</v>
      </c>
      <c r="E2632">
        <v>0.17663999999999999</v>
      </c>
      <c r="F2632">
        <v>5.6611000000000002</v>
      </c>
      <c r="G2632">
        <v>683.48</v>
      </c>
      <c r="H2632">
        <v>1.3861000000000001</v>
      </c>
    </row>
    <row r="2633" spans="2:8" x14ac:dyDescent="0.25">
      <c r="B2633">
        <v>1.3907</v>
      </c>
      <c r="C2633">
        <v>145</v>
      </c>
      <c r="D2633">
        <v>64.7</v>
      </c>
      <c r="E2633">
        <v>0.17501</v>
      </c>
      <c r="F2633">
        <v>5.7141000000000002</v>
      </c>
      <c r="G2633">
        <v>686.26</v>
      </c>
      <c r="H2633">
        <v>1.3907</v>
      </c>
    </row>
    <row r="2634" spans="2:8" x14ac:dyDescent="0.25">
      <c r="B2634">
        <v>1.3953</v>
      </c>
      <c r="C2634">
        <v>150</v>
      </c>
      <c r="D2634">
        <v>64.7</v>
      </c>
      <c r="E2634">
        <v>0.1734</v>
      </c>
      <c r="F2634">
        <v>5.7668999999999997</v>
      </c>
      <c r="G2634">
        <v>689.04</v>
      </c>
      <c r="H2634">
        <v>1.3953</v>
      </c>
    </row>
    <row r="2635" spans="2:8" x14ac:dyDescent="0.25">
      <c r="B2635">
        <v>1.3998999999999999</v>
      </c>
      <c r="C2635">
        <v>155</v>
      </c>
      <c r="D2635">
        <v>64.7</v>
      </c>
      <c r="E2635">
        <v>0.17183000000000001</v>
      </c>
      <c r="F2635">
        <v>5.8196000000000003</v>
      </c>
      <c r="G2635">
        <v>691.82</v>
      </c>
      <c r="H2635">
        <v>1.3998999999999999</v>
      </c>
    </row>
    <row r="2636" spans="2:8" x14ac:dyDescent="0.25">
      <c r="B2636">
        <v>1.4044000000000001</v>
      </c>
      <c r="C2636">
        <v>160</v>
      </c>
      <c r="D2636">
        <v>64.7</v>
      </c>
      <c r="E2636">
        <v>0.17030000000000001</v>
      </c>
      <c r="F2636">
        <v>5.8720999999999997</v>
      </c>
      <c r="G2636">
        <v>694.6</v>
      </c>
      <c r="H2636">
        <v>1.4044000000000001</v>
      </c>
    </row>
    <row r="2637" spans="2:8" x14ac:dyDescent="0.25">
      <c r="B2637">
        <v>1.4088000000000001</v>
      </c>
      <c r="C2637">
        <v>165</v>
      </c>
      <c r="D2637">
        <v>64.7</v>
      </c>
      <c r="E2637">
        <v>0.16879</v>
      </c>
      <c r="F2637">
        <v>5.9245000000000001</v>
      </c>
      <c r="G2637">
        <v>697.37</v>
      </c>
      <c r="H2637">
        <v>1.4088000000000001</v>
      </c>
    </row>
    <row r="2638" spans="2:8" x14ac:dyDescent="0.25">
      <c r="B2638">
        <v>1.4132</v>
      </c>
      <c r="C2638">
        <v>170</v>
      </c>
      <c r="D2638">
        <v>64.7</v>
      </c>
      <c r="E2638">
        <v>0.16732</v>
      </c>
      <c r="F2638">
        <v>5.9767000000000001</v>
      </c>
      <c r="G2638">
        <v>700.14</v>
      </c>
      <c r="H2638">
        <v>1.4132</v>
      </c>
    </row>
    <row r="2639" spans="2:8" x14ac:dyDescent="0.25">
      <c r="B2639">
        <v>1.4176</v>
      </c>
      <c r="C2639">
        <v>175</v>
      </c>
      <c r="D2639">
        <v>64.7</v>
      </c>
      <c r="E2639">
        <v>0.16586999999999999</v>
      </c>
      <c r="F2639">
        <v>6.0289000000000001</v>
      </c>
      <c r="G2639">
        <v>702.91</v>
      </c>
      <c r="H2639">
        <v>1.4176</v>
      </c>
    </row>
    <row r="2640" spans="2:8" x14ac:dyDescent="0.25">
      <c r="B2640">
        <v>1.4219999999999999</v>
      </c>
      <c r="C2640">
        <v>180</v>
      </c>
      <c r="D2640">
        <v>64.7</v>
      </c>
      <c r="E2640">
        <v>0.16445000000000001</v>
      </c>
      <c r="F2640">
        <v>6.0808999999999997</v>
      </c>
      <c r="G2640">
        <v>705.68</v>
      </c>
      <c r="H2640">
        <v>1.4219999999999999</v>
      </c>
    </row>
    <row r="2641" spans="2:8" x14ac:dyDescent="0.25">
      <c r="B2641">
        <v>1.4262999999999999</v>
      </c>
      <c r="C2641">
        <v>185</v>
      </c>
      <c r="D2641">
        <v>64.7</v>
      </c>
      <c r="E2641">
        <v>0.16306000000000001</v>
      </c>
      <c r="F2641">
        <v>6.1327999999999996</v>
      </c>
      <c r="G2641">
        <v>708.45</v>
      </c>
      <c r="H2641">
        <v>1.4262999999999999</v>
      </c>
    </row>
    <row r="2642" spans="2:8" x14ac:dyDescent="0.25">
      <c r="B2642">
        <v>1.4306000000000001</v>
      </c>
      <c r="C2642">
        <v>190</v>
      </c>
      <c r="D2642">
        <v>64.7</v>
      </c>
      <c r="E2642">
        <v>0.16169</v>
      </c>
      <c r="F2642">
        <v>6.1845999999999997</v>
      </c>
      <c r="G2642">
        <v>711.22</v>
      </c>
      <c r="H2642">
        <v>1.4306000000000001</v>
      </c>
    </row>
    <row r="2643" spans="2:8" x14ac:dyDescent="0.25">
      <c r="B2643">
        <v>1.4348000000000001</v>
      </c>
      <c r="C2643">
        <v>195</v>
      </c>
      <c r="D2643">
        <v>64.7</v>
      </c>
      <c r="E2643">
        <v>0.16034999999999999</v>
      </c>
      <c r="F2643">
        <v>6.2363</v>
      </c>
      <c r="G2643">
        <v>713.99</v>
      </c>
      <c r="H2643">
        <v>1.4348000000000001</v>
      </c>
    </row>
    <row r="2644" spans="2:8" x14ac:dyDescent="0.25">
      <c r="B2644">
        <v>1.4390000000000001</v>
      </c>
      <c r="C2644">
        <v>200</v>
      </c>
      <c r="D2644">
        <v>64.7</v>
      </c>
      <c r="E2644">
        <v>0.15903</v>
      </c>
      <c r="F2644">
        <v>6.2880000000000003</v>
      </c>
      <c r="G2644">
        <v>716.76</v>
      </c>
      <c r="H2644">
        <v>1.4390000000000001</v>
      </c>
    </row>
    <row r="2645" spans="2:8" x14ac:dyDescent="0.25">
      <c r="B2645">
        <v>1.4432</v>
      </c>
      <c r="C2645">
        <v>205</v>
      </c>
      <c r="D2645">
        <v>64.7</v>
      </c>
      <c r="E2645">
        <v>0.15773999999999999</v>
      </c>
      <c r="F2645">
        <v>6.3395000000000001</v>
      </c>
      <c r="G2645">
        <v>719.53</v>
      </c>
      <c r="H2645">
        <v>1.4432</v>
      </c>
    </row>
    <row r="2646" spans="2:8" x14ac:dyDescent="0.25">
      <c r="B2646">
        <v>1.4474</v>
      </c>
      <c r="C2646">
        <v>210</v>
      </c>
      <c r="D2646">
        <v>64.7</v>
      </c>
      <c r="E2646">
        <v>0.15647</v>
      </c>
      <c r="F2646">
        <v>6.3909000000000002</v>
      </c>
      <c r="G2646">
        <v>722.3</v>
      </c>
      <c r="H2646">
        <v>1.4474</v>
      </c>
    </row>
    <row r="2647" spans="2:8" x14ac:dyDescent="0.25">
      <c r="B2647">
        <v>1.4515</v>
      </c>
      <c r="C2647">
        <v>215</v>
      </c>
      <c r="D2647">
        <v>64.7</v>
      </c>
      <c r="E2647">
        <v>0.15523000000000001</v>
      </c>
      <c r="F2647">
        <v>6.4423000000000004</v>
      </c>
      <c r="G2647">
        <v>725.08</v>
      </c>
      <c r="H2647">
        <v>1.4515</v>
      </c>
    </row>
    <row r="2648" spans="2:8" x14ac:dyDescent="0.25">
      <c r="B2648">
        <v>1.4556</v>
      </c>
      <c r="C2648">
        <v>220</v>
      </c>
      <c r="D2648">
        <v>64.7</v>
      </c>
      <c r="E2648">
        <v>0.154</v>
      </c>
      <c r="F2648">
        <v>6.4935</v>
      </c>
      <c r="G2648">
        <v>727.85</v>
      </c>
      <c r="H2648">
        <v>1.4556</v>
      </c>
    </row>
    <row r="2649" spans="2:8" x14ac:dyDescent="0.25">
      <c r="B2649">
        <v>1.4597</v>
      </c>
      <c r="C2649">
        <v>225</v>
      </c>
      <c r="D2649">
        <v>64.7</v>
      </c>
      <c r="E2649">
        <v>0.15279000000000001</v>
      </c>
      <c r="F2649">
        <v>6.5446999999999997</v>
      </c>
      <c r="G2649">
        <v>730.63</v>
      </c>
      <c r="H2649">
        <v>1.4597</v>
      </c>
    </row>
    <row r="2650" spans="2:8" x14ac:dyDescent="0.25">
      <c r="B2650">
        <v>1.4637</v>
      </c>
      <c r="C2650">
        <v>230</v>
      </c>
      <c r="D2650">
        <v>64.7</v>
      </c>
      <c r="E2650">
        <v>0.15160999999999999</v>
      </c>
      <c r="F2650">
        <v>6.5957999999999997</v>
      </c>
      <c r="G2650">
        <v>733.41</v>
      </c>
      <c r="H2650">
        <v>1.4637</v>
      </c>
    </row>
    <row r="2651" spans="2:8" x14ac:dyDescent="0.25">
      <c r="B2651">
        <v>1.4677</v>
      </c>
      <c r="C2651">
        <v>235</v>
      </c>
      <c r="D2651">
        <v>64.7</v>
      </c>
      <c r="E2651">
        <v>0.15045</v>
      </c>
      <c r="F2651">
        <v>6.6468999999999996</v>
      </c>
      <c r="G2651">
        <v>736.19</v>
      </c>
      <c r="H2651">
        <v>1.4677</v>
      </c>
    </row>
    <row r="2652" spans="2:8" x14ac:dyDescent="0.25">
      <c r="B2652">
        <v>1.4717</v>
      </c>
      <c r="C2652">
        <v>240</v>
      </c>
      <c r="D2652">
        <v>64.7</v>
      </c>
      <c r="E2652">
        <v>0.14929999999999999</v>
      </c>
      <c r="F2652">
        <v>6.6978999999999997</v>
      </c>
      <c r="G2652">
        <v>738.97</v>
      </c>
      <c r="H2652">
        <v>1.4717</v>
      </c>
    </row>
    <row r="2653" spans="2:8" x14ac:dyDescent="0.25">
      <c r="B2653">
        <v>1.4757</v>
      </c>
      <c r="C2653">
        <v>245</v>
      </c>
      <c r="D2653">
        <v>64.7</v>
      </c>
      <c r="E2653">
        <v>0.14817</v>
      </c>
      <c r="F2653">
        <v>6.7488000000000001</v>
      </c>
      <c r="G2653">
        <v>741.76</v>
      </c>
      <c r="H2653">
        <v>1.4757</v>
      </c>
    </row>
    <row r="2654" spans="2:8" x14ac:dyDescent="0.25">
      <c r="B2654">
        <v>1.4796</v>
      </c>
      <c r="C2654">
        <v>250</v>
      </c>
      <c r="D2654">
        <v>64.7</v>
      </c>
      <c r="E2654">
        <v>0.14707000000000001</v>
      </c>
      <c r="F2654">
        <v>6.7996999999999996</v>
      </c>
      <c r="G2654">
        <v>744.55</v>
      </c>
      <c r="H2654">
        <v>1.4796</v>
      </c>
    </row>
    <row r="2655" spans="2:8" x14ac:dyDescent="0.25">
      <c r="B2655">
        <v>1.4836</v>
      </c>
      <c r="C2655">
        <v>255</v>
      </c>
      <c r="D2655">
        <v>64.7</v>
      </c>
      <c r="E2655">
        <v>0.14598</v>
      </c>
      <c r="F2655">
        <v>6.8505000000000003</v>
      </c>
      <c r="G2655">
        <v>747.35</v>
      </c>
      <c r="H2655">
        <v>1.4836</v>
      </c>
    </row>
    <row r="2656" spans="2:8" x14ac:dyDescent="0.25">
      <c r="B2656">
        <v>1.4875</v>
      </c>
      <c r="C2656">
        <v>260</v>
      </c>
      <c r="D2656">
        <v>64.7</v>
      </c>
      <c r="E2656">
        <v>0.1449</v>
      </c>
      <c r="F2656">
        <v>6.9012000000000002</v>
      </c>
      <c r="G2656">
        <v>750.14</v>
      </c>
      <c r="H2656">
        <v>1.4875</v>
      </c>
    </row>
    <row r="2657" spans="1:8" x14ac:dyDescent="0.25">
      <c r="B2657">
        <v>1.4913000000000001</v>
      </c>
      <c r="C2657">
        <v>265</v>
      </c>
      <c r="D2657">
        <v>64.7</v>
      </c>
      <c r="E2657">
        <v>0.14385000000000001</v>
      </c>
      <c r="F2657">
        <v>6.9519000000000002</v>
      </c>
      <c r="G2657">
        <v>752.94</v>
      </c>
      <c r="H2657">
        <v>1.4913000000000001</v>
      </c>
    </row>
    <row r="2658" spans="1:8" x14ac:dyDescent="0.25">
      <c r="B2658">
        <v>1.4952000000000001</v>
      </c>
      <c r="C2658">
        <v>270</v>
      </c>
      <c r="D2658">
        <v>64.7</v>
      </c>
      <c r="E2658">
        <v>0.14280999999999999</v>
      </c>
      <c r="F2658">
        <v>7.0025000000000004</v>
      </c>
      <c r="G2658">
        <v>755.75</v>
      </c>
      <c r="H2658">
        <v>1.4952000000000001</v>
      </c>
    </row>
    <row r="2659" spans="1:8" x14ac:dyDescent="0.25">
      <c r="B2659">
        <v>1.4990000000000001</v>
      </c>
      <c r="C2659">
        <v>275</v>
      </c>
      <c r="D2659">
        <v>64.7</v>
      </c>
      <c r="E2659">
        <v>0.14177999999999999</v>
      </c>
      <c r="F2659">
        <v>7.0530999999999997</v>
      </c>
      <c r="G2659">
        <v>758.56</v>
      </c>
      <c r="H2659">
        <v>1.4990000000000001</v>
      </c>
    </row>
    <row r="2660" spans="1:8" x14ac:dyDescent="0.25">
      <c r="B2660">
        <v>1.5027999999999999</v>
      </c>
      <c r="C2660">
        <v>280</v>
      </c>
      <c r="D2660">
        <v>64.7</v>
      </c>
      <c r="E2660">
        <v>0.14077000000000001</v>
      </c>
      <c r="F2660">
        <v>7.1036999999999999</v>
      </c>
      <c r="G2660">
        <v>761.37</v>
      </c>
      <c r="H2660">
        <v>1.5027999999999999</v>
      </c>
    </row>
    <row r="2661" spans="1:8" x14ac:dyDescent="0.25">
      <c r="B2661">
        <v>1.5065999999999999</v>
      </c>
      <c r="C2661">
        <v>285</v>
      </c>
      <c r="D2661">
        <v>64.7</v>
      </c>
      <c r="E2661">
        <v>0.13977999999999999</v>
      </c>
      <c r="F2661">
        <v>7.1542000000000003</v>
      </c>
      <c r="G2661">
        <v>764.19</v>
      </c>
      <c r="H2661">
        <v>1.5065999999999999</v>
      </c>
    </row>
    <row r="2662" spans="1:8" x14ac:dyDescent="0.25">
      <c r="B2662">
        <v>1.5104</v>
      </c>
      <c r="C2662">
        <v>290</v>
      </c>
      <c r="D2662">
        <v>64.7</v>
      </c>
      <c r="E2662">
        <v>0.13880000000000001</v>
      </c>
      <c r="F2662">
        <v>7.2046000000000001</v>
      </c>
      <c r="G2662">
        <v>767.01</v>
      </c>
      <c r="H2662">
        <v>1.5104</v>
      </c>
    </row>
    <row r="2663" spans="1:8" x14ac:dyDescent="0.25">
      <c r="B2663">
        <v>1.5142</v>
      </c>
      <c r="C2663">
        <v>295</v>
      </c>
      <c r="D2663">
        <v>64.7</v>
      </c>
      <c r="E2663">
        <v>0.13783999999999999</v>
      </c>
      <c r="F2663">
        <v>7.2549999999999999</v>
      </c>
      <c r="G2663">
        <v>769.83</v>
      </c>
      <c r="H2663">
        <v>1.5142</v>
      </c>
    </row>
    <row r="2664" spans="1:8" x14ac:dyDescent="0.25">
      <c r="B2664">
        <v>1.5179</v>
      </c>
      <c r="C2664">
        <v>300</v>
      </c>
      <c r="D2664">
        <v>64.7</v>
      </c>
      <c r="E2664">
        <v>0.13689000000000001</v>
      </c>
      <c r="F2664">
        <v>7.3053999999999997</v>
      </c>
      <c r="G2664">
        <v>772.66</v>
      </c>
      <c r="H2664">
        <v>1.5179</v>
      </c>
    </row>
    <row r="2666" spans="1:8" x14ac:dyDescent="0.25">
      <c r="A2666">
        <v>67.400000000000006</v>
      </c>
      <c r="B2666">
        <v>-2.5586000000000001E-2</v>
      </c>
      <c r="C2666">
        <v>-50</v>
      </c>
      <c r="D2666">
        <v>67.400000000000006</v>
      </c>
      <c r="E2666">
        <v>43.512999999999998</v>
      </c>
      <c r="F2666">
        <v>2.2981999999999999E-2</v>
      </c>
      <c r="G2666">
        <v>-10.366</v>
      </c>
      <c r="H2666">
        <v>-2.5586000000000001E-2</v>
      </c>
    </row>
    <row r="2667" spans="1:8" x14ac:dyDescent="0.25">
      <c r="B2667">
        <v>-1.2857E-2</v>
      </c>
      <c r="C2667">
        <v>-45</v>
      </c>
      <c r="D2667">
        <v>67.400000000000006</v>
      </c>
      <c r="E2667">
        <v>43.305999999999997</v>
      </c>
      <c r="F2667">
        <v>2.3092000000000001E-2</v>
      </c>
      <c r="G2667">
        <v>-5.1193999999999997</v>
      </c>
      <c r="H2667">
        <v>-1.2857E-2</v>
      </c>
    </row>
    <row r="2668" spans="1:8" x14ac:dyDescent="0.25">
      <c r="B2668">
        <v>-2.3933E-4</v>
      </c>
      <c r="C2668">
        <v>-40</v>
      </c>
      <c r="D2668">
        <v>67.400000000000006</v>
      </c>
      <c r="E2668">
        <v>43.095999999999997</v>
      </c>
      <c r="F2668">
        <v>2.3203999999999999E-2</v>
      </c>
      <c r="G2668">
        <v>0.14452000000000001</v>
      </c>
      <c r="H2668">
        <v>-2.3933E-4</v>
      </c>
    </row>
    <row r="2669" spans="1:8" x14ac:dyDescent="0.25">
      <c r="B2669">
        <v>1.227E-2</v>
      </c>
      <c r="C2669">
        <v>-35</v>
      </c>
      <c r="D2669">
        <v>67.400000000000006</v>
      </c>
      <c r="E2669">
        <v>42.884999999999998</v>
      </c>
      <c r="F2669">
        <v>2.3317999999999998E-2</v>
      </c>
      <c r="G2669">
        <v>5.4257</v>
      </c>
      <c r="H2669">
        <v>1.227E-2</v>
      </c>
    </row>
    <row r="2670" spans="1:8" x14ac:dyDescent="0.25">
      <c r="B2670">
        <v>2.4674000000000001E-2</v>
      </c>
      <c r="C2670">
        <v>-30</v>
      </c>
      <c r="D2670">
        <v>67.400000000000006</v>
      </c>
      <c r="E2670">
        <v>42.671999999999997</v>
      </c>
      <c r="F2670">
        <v>2.3435000000000001E-2</v>
      </c>
      <c r="G2670">
        <v>10.724</v>
      </c>
      <c r="H2670">
        <v>2.4674000000000001E-2</v>
      </c>
    </row>
    <row r="2671" spans="1:8" x14ac:dyDescent="0.25">
      <c r="B2671">
        <v>3.6971999999999998E-2</v>
      </c>
      <c r="C2671">
        <v>-25</v>
      </c>
      <c r="D2671">
        <v>67.400000000000006</v>
      </c>
      <c r="E2671">
        <v>42.457000000000001</v>
      </c>
      <c r="F2671">
        <v>2.3553000000000001E-2</v>
      </c>
      <c r="G2671">
        <v>16.039000000000001</v>
      </c>
      <c r="H2671">
        <v>3.6971999999999998E-2</v>
      </c>
    </row>
    <row r="2672" spans="1:8" x14ac:dyDescent="0.25">
      <c r="B2672">
        <v>4.9168000000000003E-2</v>
      </c>
      <c r="C2672">
        <v>-20</v>
      </c>
      <c r="D2672">
        <v>67.400000000000006</v>
      </c>
      <c r="E2672">
        <v>42.24</v>
      </c>
      <c r="F2672">
        <v>2.3674000000000001E-2</v>
      </c>
      <c r="G2672">
        <v>21.370999999999999</v>
      </c>
      <c r="H2672">
        <v>4.9168000000000003E-2</v>
      </c>
    </row>
    <row r="2673" spans="2:8" x14ac:dyDescent="0.25">
      <c r="B2673">
        <v>6.1263999999999999E-2</v>
      </c>
      <c r="C2673">
        <v>-15</v>
      </c>
      <c r="D2673">
        <v>67.400000000000006</v>
      </c>
      <c r="E2673">
        <v>42.021000000000001</v>
      </c>
      <c r="F2673">
        <v>2.3798E-2</v>
      </c>
      <c r="G2673">
        <v>26.719000000000001</v>
      </c>
      <c r="H2673">
        <v>6.1263999999999999E-2</v>
      </c>
    </row>
    <row r="2674" spans="2:8" x14ac:dyDescent="0.25">
      <c r="B2674">
        <v>7.3261000000000007E-2</v>
      </c>
      <c r="C2674">
        <v>-10</v>
      </c>
      <c r="D2674">
        <v>67.400000000000006</v>
      </c>
      <c r="E2674">
        <v>41.8</v>
      </c>
      <c r="F2674">
        <v>2.3923E-2</v>
      </c>
      <c r="G2674">
        <v>32.084000000000003</v>
      </c>
      <c r="H2674">
        <v>7.3261000000000007E-2</v>
      </c>
    </row>
    <row r="2675" spans="2:8" x14ac:dyDescent="0.25">
      <c r="B2675">
        <v>8.5161000000000001E-2</v>
      </c>
      <c r="C2675">
        <v>-5</v>
      </c>
      <c r="D2675">
        <v>67.400000000000006</v>
      </c>
      <c r="E2675">
        <v>41.578000000000003</v>
      </c>
      <c r="F2675">
        <v>2.4050999999999999E-2</v>
      </c>
      <c r="G2675">
        <v>37.463999999999999</v>
      </c>
      <c r="H2675">
        <v>8.5161000000000001E-2</v>
      </c>
    </row>
    <row r="2676" spans="2:8" x14ac:dyDescent="0.25">
      <c r="B2676">
        <v>9.6966999999999998E-2</v>
      </c>
      <c r="C2676">
        <v>0</v>
      </c>
      <c r="D2676">
        <v>67.400000000000006</v>
      </c>
      <c r="E2676">
        <v>41.353000000000002</v>
      </c>
      <c r="F2676">
        <v>2.4181999999999999E-2</v>
      </c>
      <c r="G2676">
        <v>42.862000000000002</v>
      </c>
      <c r="H2676">
        <v>9.6966999999999998E-2</v>
      </c>
    </row>
    <row r="2677" spans="2:8" x14ac:dyDescent="0.25">
      <c r="B2677">
        <v>0.10868</v>
      </c>
      <c r="C2677">
        <v>5</v>
      </c>
      <c r="D2677">
        <v>67.400000000000006</v>
      </c>
      <c r="E2677">
        <v>41.125999999999998</v>
      </c>
      <c r="F2677">
        <v>2.4315E-2</v>
      </c>
      <c r="G2677">
        <v>48.276000000000003</v>
      </c>
      <c r="H2677">
        <v>0.10868</v>
      </c>
    </row>
    <row r="2678" spans="2:8" x14ac:dyDescent="0.25">
      <c r="B2678">
        <v>0.12031</v>
      </c>
      <c r="C2678">
        <v>10</v>
      </c>
      <c r="D2678">
        <v>67.400000000000006</v>
      </c>
      <c r="E2678">
        <v>40.898000000000003</v>
      </c>
      <c r="F2678">
        <v>2.4451000000000001E-2</v>
      </c>
      <c r="G2678">
        <v>53.706000000000003</v>
      </c>
      <c r="H2678">
        <v>0.12031</v>
      </c>
    </row>
    <row r="2679" spans="2:8" x14ac:dyDescent="0.25">
      <c r="B2679">
        <v>0.13184000000000001</v>
      </c>
      <c r="C2679">
        <v>15</v>
      </c>
      <c r="D2679">
        <v>67.400000000000006</v>
      </c>
      <c r="E2679">
        <v>40.667000000000002</v>
      </c>
      <c r="F2679">
        <v>2.4590000000000001E-2</v>
      </c>
      <c r="G2679">
        <v>59.152999999999999</v>
      </c>
      <c r="H2679">
        <v>0.13184000000000001</v>
      </c>
    </row>
    <row r="2680" spans="2:8" x14ac:dyDescent="0.25">
      <c r="B2680">
        <v>0.14329</v>
      </c>
      <c r="C2680">
        <v>20</v>
      </c>
      <c r="D2680">
        <v>67.400000000000006</v>
      </c>
      <c r="E2680">
        <v>40.433999999999997</v>
      </c>
      <c r="F2680">
        <v>2.4731E-2</v>
      </c>
      <c r="G2680">
        <v>64.617999999999995</v>
      </c>
      <c r="H2680">
        <v>0.14329</v>
      </c>
    </row>
    <row r="2681" spans="2:8" x14ac:dyDescent="0.25">
      <c r="B2681">
        <v>0.15465999999999999</v>
      </c>
      <c r="C2681">
        <v>25</v>
      </c>
      <c r="D2681">
        <v>67.400000000000006</v>
      </c>
      <c r="E2681">
        <v>40.198999999999998</v>
      </c>
      <c r="F2681">
        <v>2.4875999999999999E-2</v>
      </c>
      <c r="G2681">
        <v>70.099999999999994</v>
      </c>
      <c r="H2681">
        <v>0.15465999999999999</v>
      </c>
    </row>
    <row r="2682" spans="2:8" x14ac:dyDescent="0.25">
      <c r="B2682">
        <v>0.16594999999999999</v>
      </c>
      <c r="C2682">
        <v>30</v>
      </c>
      <c r="D2682">
        <v>67.400000000000006</v>
      </c>
      <c r="E2682">
        <v>39.962000000000003</v>
      </c>
      <c r="F2682">
        <v>2.5024000000000001E-2</v>
      </c>
      <c r="G2682">
        <v>75.599999999999994</v>
      </c>
      <c r="H2682">
        <v>0.16594999999999999</v>
      </c>
    </row>
    <row r="2683" spans="2:8" x14ac:dyDescent="0.25">
      <c r="B2683">
        <v>0.17716999999999999</v>
      </c>
      <c r="C2683">
        <v>35</v>
      </c>
      <c r="D2683">
        <v>67.400000000000006</v>
      </c>
      <c r="E2683">
        <v>39.722000000000001</v>
      </c>
      <c r="F2683">
        <v>2.5174999999999999E-2</v>
      </c>
      <c r="G2683">
        <v>81.117999999999995</v>
      </c>
      <c r="H2683">
        <v>0.17716999999999999</v>
      </c>
    </row>
    <row r="2684" spans="2:8" x14ac:dyDescent="0.25">
      <c r="B2684">
        <v>1.2737000000000001</v>
      </c>
      <c r="C2684">
        <v>40</v>
      </c>
      <c r="D2684">
        <v>67.400000000000006</v>
      </c>
      <c r="E2684">
        <v>0.22999</v>
      </c>
      <c r="F2684">
        <v>4.3479999999999999</v>
      </c>
      <c r="G2684">
        <v>624.47</v>
      </c>
      <c r="H2684">
        <v>1.2737000000000001</v>
      </c>
    </row>
    <row r="2685" spans="2:8" x14ac:dyDescent="0.25">
      <c r="B2685">
        <v>1.28</v>
      </c>
      <c r="C2685">
        <v>45</v>
      </c>
      <c r="D2685">
        <v>67.400000000000006</v>
      </c>
      <c r="E2685">
        <v>0.22695000000000001</v>
      </c>
      <c r="F2685">
        <v>4.4062000000000001</v>
      </c>
      <c r="G2685">
        <v>627.65</v>
      </c>
      <c r="H2685">
        <v>1.28</v>
      </c>
    </row>
    <row r="2686" spans="2:8" x14ac:dyDescent="0.25">
      <c r="B2686">
        <v>1.2862</v>
      </c>
      <c r="C2686">
        <v>50</v>
      </c>
      <c r="D2686">
        <v>67.400000000000006</v>
      </c>
      <c r="E2686">
        <v>0.22403000000000001</v>
      </c>
      <c r="F2686">
        <v>4.4637000000000002</v>
      </c>
      <c r="G2686">
        <v>630.78</v>
      </c>
      <c r="H2686">
        <v>1.2862</v>
      </c>
    </row>
    <row r="2687" spans="2:8" x14ac:dyDescent="0.25">
      <c r="B2687">
        <v>1.2922</v>
      </c>
      <c r="C2687">
        <v>55</v>
      </c>
      <c r="D2687">
        <v>67.400000000000006</v>
      </c>
      <c r="E2687">
        <v>0.22120999999999999</v>
      </c>
      <c r="F2687">
        <v>4.5206</v>
      </c>
      <c r="G2687">
        <v>633.87</v>
      </c>
      <c r="H2687">
        <v>1.2922</v>
      </c>
    </row>
    <row r="2688" spans="2:8" x14ac:dyDescent="0.25">
      <c r="B2688">
        <v>1.2982</v>
      </c>
      <c r="C2688">
        <v>60</v>
      </c>
      <c r="D2688">
        <v>67.400000000000006</v>
      </c>
      <c r="E2688">
        <v>0.21848999999999999</v>
      </c>
      <c r="F2688">
        <v>4.5769000000000002</v>
      </c>
      <c r="G2688">
        <v>636.92999999999995</v>
      </c>
      <c r="H2688">
        <v>1.2982</v>
      </c>
    </row>
    <row r="2689" spans="2:8" x14ac:dyDescent="0.25">
      <c r="B2689">
        <v>1.304</v>
      </c>
      <c r="C2689">
        <v>65</v>
      </c>
      <c r="D2689">
        <v>67.400000000000006</v>
      </c>
      <c r="E2689">
        <v>0.21586</v>
      </c>
      <c r="F2689">
        <v>4.6326000000000001</v>
      </c>
      <c r="G2689">
        <v>639.96</v>
      </c>
      <c r="H2689">
        <v>1.304</v>
      </c>
    </row>
    <row r="2690" spans="2:8" x14ac:dyDescent="0.25">
      <c r="B2690">
        <v>1.3096000000000001</v>
      </c>
      <c r="C2690">
        <v>70</v>
      </c>
      <c r="D2690">
        <v>67.400000000000006</v>
      </c>
      <c r="E2690">
        <v>0.21331</v>
      </c>
      <c r="F2690">
        <v>4.6879</v>
      </c>
      <c r="G2690">
        <v>642.96</v>
      </c>
      <c r="H2690">
        <v>1.3096000000000001</v>
      </c>
    </row>
    <row r="2691" spans="2:8" x14ac:dyDescent="0.25">
      <c r="B2691">
        <v>1.3151999999999999</v>
      </c>
      <c r="C2691">
        <v>75</v>
      </c>
      <c r="D2691">
        <v>67.400000000000006</v>
      </c>
      <c r="E2691">
        <v>0.21085000000000001</v>
      </c>
      <c r="F2691">
        <v>4.7427999999999999</v>
      </c>
      <c r="G2691">
        <v>645.92999999999995</v>
      </c>
      <c r="H2691">
        <v>1.3151999999999999</v>
      </c>
    </row>
    <row r="2692" spans="2:8" x14ac:dyDescent="0.25">
      <c r="B2692">
        <v>1.3207</v>
      </c>
      <c r="C2692">
        <v>80</v>
      </c>
      <c r="D2692">
        <v>67.400000000000006</v>
      </c>
      <c r="E2692">
        <v>0.20846000000000001</v>
      </c>
      <c r="F2692">
        <v>4.7972000000000001</v>
      </c>
      <c r="G2692">
        <v>648.88</v>
      </c>
      <c r="H2692">
        <v>1.3207</v>
      </c>
    </row>
    <row r="2693" spans="2:8" x14ac:dyDescent="0.25">
      <c r="B2693">
        <v>1.3261000000000001</v>
      </c>
      <c r="C2693">
        <v>85</v>
      </c>
      <c r="D2693">
        <v>67.400000000000006</v>
      </c>
      <c r="E2693">
        <v>0.20613000000000001</v>
      </c>
      <c r="F2693">
        <v>4.8512000000000004</v>
      </c>
      <c r="G2693">
        <v>651.80999999999995</v>
      </c>
      <c r="H2693">
        <v>1.3261000000000001</v>
      </c>
    </row>
    <row r="2694" spans="2:8" x14ac:dyDescent="0.25">
      <c r="B2694">
        <v>1.3313999999999999</v>
      </c>
      <c r="C2694">
        <v>90</v>
      </c>
      <c r="D2694">
        <v>67.400000000000006</v>
      </c>
      <c r="E2694">
        <v>0.20388000000000001</v>
      </c>
      <c r="F2694">
        <v>4.9048999999999996</v>
      </c>
      <c r="G2694">
        <v>654.72</v>
      </c>
      <c r="H2694">
        <v>1.3313999999999999</v>
      </c>
    </row>
    <row r="2695" spans="2:8" x14ac:dyDescent="0.25">
      <c r="B2695">
        <v>1.3367</v>
      </c>
      <c r="C2695">
        <v>95</v>
      </c>
      <c r="D2695">
        <v>67.400000000000006</v>
      </c>
      <c r="E2695">
        <v>0.20168</v>
      </c>
      <c r="F2695">
        <v>4.9583000000000004</v>
      </c>
      <c r="G2695">
        <v>657.61</v>
      </c>
      <c r="H2695">
        <v>1.3367</v>
      </c>
    </row>
    <row r="2696" spans="2:8" x14ac:dyDescent="0.25">
      <c r="B2696">
        <v>1.3418000000000001</v>
      </c>
      <c r="C2696">
        <v>100</v>
      </c>
      <c r="D2696">
        <v>67.400000000000006</v>
      </c>
      <c r="E2696">
        <v>0.19955000000000001</v>
      </c>
      <c r="F2696">
        <v>5.0113000000000003</v>
      </c>
      <c r="G2696">
        <v>660.49</v>
      </c>
      <c r="H2696">
        <v>1.3418000000000001</v>
      </c>
    </row>
    <row r="2697" spans="2:8" x14ac:dyDescent="0.25">
      <c r="B2697">
        <v>1.3469</v>
      </c>
      <c r="C2697">
        <v>105</v>
      </c>
      <c r="D2697">
        <v>67.400000000000006</v>
      </c>
      <c r="E2697">
        <v>0.19747000000000001</v>
      </c>
      <c r="F2697">
        <v>5.0640999999999998</v>
      </c>
      <c r="G2697">
        <v>663.35</v>
      </c>
      <c r="H2697">
        <v>1.3469</v>
      </c>
    </row>
    <row r="2698" spans="2:8" x14ac:dyDescent="0.25">
      <c r="B2698">
        <v>1.3520000000000001</v>
      </c>
      <c r="C2698">
        <v>110</v>
      </c>
      <c r="D2698">
        <v>67.400000000000006</v>
      </c>
      <c r="E2698">
        <v>0.19544</v>
      </c>
      <c r="F2698">
        <v>5.1166</v>
      </c>
      <c r="G2698">
        <v>666.2</v>
      </c>
      <c r="H2698">
        <v>1.3520000000000001</v>
      </c>
    </row>
    <row r="2699" spans="2:8" x14ac:dyDescent="0.25">
      <c r="B2699">
        <v>1.3569</v>
      </c>
      <c r="C2699">
        <v>115</v>
      </c>
      <c r="D2699">
        <v>67.400000000000006</v>
      </c>
      <c r="E2699">
        <v>0.19347</v>
      </c>
      <c r="F2699">
        <v>5.1688999999999998</v>
      </c>
      <c r="G2699">
        <v>669.05</v>
      </c>
      <c r="H2699">
        <v>1.3569</v>
      </c>
    </row>
    <row r="2700" spans="2:8" x14ac:dyDescent="0.25">
      <c r="B2700">
        <v>1.3617999999999999</v>
      </c>
      <c r="C2700">
        <v>120</v>
      </c>
      <c r="D2700">
        <v>67.400000000000006</v>
      </c>
      <c r="E2700">
        <v>0.19153999999999999</v>
      </c>
      <c r="F2700">
        <v>5.2209000000000003</v>
      </c>
      <c r="G2700">
        <v>671.88</v>
      </c>
      <c r="H2700">
        <v>1.3617999999999999</v>
      </c>
    </row>
    <row r="2701" spans="2:8" x14ac:dyDescent="0.25">
      <c r="B2701">
        <v>1.3667</v>
      </c>
      <c r="C2701">
        <v>125</v>
      </c>
      <c r="D2701">
        <v>67.400000000000006</v>
      </c>
      <c r="E2701">
        <v>0.18966</v>
      </c>
      <c r="F2701">
        <v>5.2727000000000004</v>
      </c>
      <c r="G2701">
        <v>674.7</v>
      </c>
      <c r="H2701">
        <v>1.3667</v>
      </c>
    </row>
    <row r="2702" spans="2:8" x14ac:dyDescent="0.25">
      <c r="B2702">
        <v>1.3714999999999999</v>
      </c>
      <c r="C2702">
        <v>130</v>
      </c>
      <c r="D2702">
        <v>67.400000000000006</v>
      </c>
      <c r="E2702">
        <v>0.18781999999999999</v>
      </c>
      <c r="F2702">
        <v>5.3243</v>
      </c>
      <c r="G2702">
        <v>677.51</v>
      </c>
      <c r="H2702">
        <v>1.3714999999999999</v>
      </c>
    </row>
    <row r="2703" spans="2:8" x14ac:dyDescent="0.25">
      <c r="B2703">
        <v>1.3762000000000001</v>
      </c>
      <c r="C2703">
        <v>135</v>
      </c>
      <c r="D2703">
        <v>67.400000000000006</v>
      </c>
      <c r="E2703">
        <v>0.18601999999999999</v>
      </c>
      <c r="F2703">
        <v>5.3757000000000001</v>
      </c>
      <c r="G2703">
        <v>680.32</v>
      </c>
      <c r="H2703">
        <v>1.3762000000000001</v>
      </c>
    </row>
    <row r="2704" spans="2:8" x14ac:dyDescent="0.25">
      <c r="B2704">
        <v>1.3809</v>
      </c>
      <c r="C2704">
        <v>140</v>
      </c>
      <c r="D2704">
        <v>67.400000000000006</v>
      </c>
      <c r="E2704">
        <v>0.18426999999999999</v>
      </c>
      <c r="F2704">
        <v>5.4268999999999998</v>
      </c>
      <c r="G2704">
        <v>683.12</v>
      </c>
      <c r="H2704">
        <v>1.3809</v>
      </c>
    </row>
    <row r="2705" spans="2:8" x14ac:dyDescent="0.25">
      <c r="B2705">
        <v>1.3855999999999999</v>
      </c>
      <c r="C2705">
        <v>145</v>
      </c>
      <c r="D2705">
        <v>67.400000000000006</v>
      </c>
      <c r="E2705">
        <v>0.18254999999999999</v>
      </c>
      <c r="F2705">
        <v>5.4779999999999998</v>
      </c>
      <c r="G2705">
        <v>685.92</v>
      </c>
      <c r="H2705">
        <v>1.3855999999999999</v>
      </c>
    </row>
    <row r="2706" spans="2:8" x14ac:dyDescent="0.25">
      <c r="B2706">
        <v>1.3902000000000001</v>
      </c>
      <c r="C2706">
        <v>150</v>
      </c>
      <c r="D2706">
        <v>67.400000000000006</v>
      </c>
      <c r="E2706">
        <v>0.18087</v>
      </c>
      <c r="F2706">
        <v>5.5288000000000004</v>
      </c>
      <c r="G2706">
        <v>688.71</v>
      </c>
      <c r="H2706">
        <v>1.3902000000000001</v>
      </c>
    </row>
    <row r="2707" spans="2:8" x14ac:dyDescent="0.25">
      <c r="B2707">
        <v>1.3947000000000001</v>
      </c>
      <c r="C2707">
        <v>155</v>
      </c>
      <c r="D2707">
        <v>67.400000000000006</v>
      </c>
      <c r="E2707">
        <v>0.17923</v>
      </c>
      <c r="F2707">
        <v>5.5796000000000001</v>
      </c>
      <c r="G2707">
        <v>691.5</v>
      </c>
      <c r="H2707">
        <v>1.3947000000000001</v>
      </c>
    </row>
    <row r="2708" spans="2:8" x14ac:dyDescent="0.25">
      <c r="B2708">
        <v>1.3992</v>
      </c>
      <c r="C2708">
        <v>160</v>
      </c>
      <c r="D2708">
        <v>67.400000000000006</v>
      </c>
      <c r="E2708">
        <v>0.17760999999999999</v>
      </c>
      <c r="F2708">
        <v>5.6302000000000003</v>
      </c>
      <c r="G2708">
        <v>694.28</v>
      </c>
      <c r="H2708">
        <v>1.3992</v>
      </c>
    </row>
    <row r="2709" spans="2:8" x14ac:dyDescent="0.25">
      <c r="B2709">
        <v>1.4036999999999999</v>
      </c>
      <c r="C2709">
        <v>165</v>
      </c>
      <c r="D2709">
        <v>67.400000000000006</v>
      </c>
      <c r="E2709">
        <v>0.17604</v>
      </c>
      <c r="F2709">
        <v>5.6806000000000001</v>
      </c>
      <c r="G2709">
        <v>697.06</v>
      </c>
      <c r="H2709">
        <v>1.4036999999999999</v>
      </c>
    </row>
    <row r="2710" spans="2:8" x14ac:dyDescent="0.25">
      <c r="B2710">
        <v>1.4080999999999999</v>
      </c>
      <c r="C2710">
        <v>170</v>
      </c>
      <c r="D2710">
        <v>67.400000000000006</v>
      </c>
      <c r="E2710">
        <v>0.17449000000000001</v>
      </c>
      <c r="F2710">
        <v>5.7309000000000001</v>
      </c>
      <c r="G2710">
        <v>699.84</v>
      </c>
      <c r="H2710">
        <v>1.4080999999999999</v>
      </c>
    </row>
    <row r="2711" spans="2:8" x14ac:dyDescent="0.25">
      <c r="B2711">
        <v>1.4125000000000001</v>
      </c>
      <c r="C2711">
        <v>175</v>
      </c>
      <c r="D2711">
        <v>67.400000000000006</v>
      </c>
      <c r="E2711">
        <v>0.17297999999999999</v>
      </c>
      <c r="F2711">
        <v>5.7811000000000003</v>
      </c>
      <c r="G2711">
        <v>702.62</v>
      </c>
      <c r="H2711">
        <v>1.4125000000000001</v>
      </c>
    </row>
    <row r="2712" spans="2:8" x14ac:dyDescent="0.25">
      <c r="B2712">
        <v>1.4169</v>
      </c>
      <c r="C2712">
        <v>180</v>
      </c>
      <c r="D2712">
        <v>67.400000000000006</v>
      </c>
      <c r="E2712">
        <v>0.17149</v>
      </c>
      <c r="F2712">
        <v>5.8311999999999999</v>
      </c>
      <c r="G2712">
        <v>705.4</v>
      </c>
      <c r="H2712">
        <v>1.4169</v>
      </c>
    </row>
    <row r="2713" spans="2:8" x14ac:dyDescent="0.25">
      <c r="B2713">
        <v>1.4212</v>
      </c>
      <c r="C2713">
        <v>185</v>
      </c>
      <c r="D2713">
        <v>67.400000000000006</v>
      </c>
      <c r="E2713">
        <v>0.17002999999999999</v>
      </c>
      <c r="F2713">
        <v>5.8811999999999998</v>
      </c>
      <c r="G2713">
        <v>708.17</v>
      </c>
      <c r="H2713">
        <v>1.4212</v>
      </c>
    </row>
    <row r="2714" spans="2:8" x14ac:dyDescent="0.25">
      <c r="B2714">
        <v>1.4255</v>
      </c>
      <c r="C2714">
        <v>190</v>
      </c>
      <c r="D2714">
        <v>67.400000000000006</v>
      </c>
      <c r="E2714">
        <v>0.1686</v>
      </c>
      <c r="F2714">
        <v>5.9310999999999998</v>
      </c>
      <c r="G2714">
        <v>710.95</v>
      </c>
      <c r="H2714">
        <v>1.4255</v>
      </c>
    </row>
    <row r="2715" spans="2:8" x14ac:dyDescent="0.25">
      <c r="B2715">
        <v>1.4297</v>
      </c>
      <c r="C2715">
        <v>195</v>
      </c>
      <c r="D2715">
        <v>67.400000000000006</v>
      </c>
      <c r="E2715">
        <v>0.16719999999999999</v>
      </c>
      <c r="F2715">
        <v>5.9808000000000003</v>
      </c>
      <c r="G2715">
        <v>713.73</v>
      </c>
      <c r="H2715">
        <v>1.4297</v>
      </c>
    </row>
    <row r="2716" spans="2:8" x14ac:dyDescent="0.25">
      <c r="B2716">
        <v>1.4339999999999999</v>
      </c>
      <c r="C2716">
        <v>200</v>
      </c>
      <c r="D2716">
        <v>67.400000000000006</v>
      </c>
      <c r="E2716">
        <v>0.16582</v>
      </c>
      <c r="F2716">
        <v>6.0305</v>
      </c>
      <c r="G2716">
        <v>716.5</v>
      </c>
      <c r="H2716">
        <v>1.4339999999999999</v>
      </c>
    </row>
    <row r="2717" spans="2:8" x14ac:dyDescent="0.25">
      <c r="B2717">
        <v>1.4381999999999999</v>
      </c>
      <c r="C2717">
        <v>205</v>
      </c>
      <c r="D2717">
        <v>67.400000000000006</v>
      </c>
      <c r="E2717">
        <v>0.16447000000000001</v>
      </c>
      <c r="F2717">
        <v>6.0800999999999998</v>
      </c>
      <c r="G2717">
        <v>719.28</v>
      </c>
      <c r="H2717">
        <v>1.4381999999999999</v>
      </c>
    </row>
    <row r="2718" spans="2:8" x14ac:dyDescent="0.25">
      <c r="B2718">
        <v>1.4422999999999999</v>
      </c>
      <c r="C2718">
        <v>210</v>
      </c>
      <c r="D2718">
        <v>67.400000000000006</v>
      </c>
      <c r="E2718">
        <v>0.16314000000000001</v>
      </c>
      <c r="F2718">
        <v>6.1295000000000002</v>
      </c>
      <c r="G2718">
        <v>722.06</v>
      </c>
      <c r="H2718">
        <v>1.4422999999999999</v>
      </c>
    </row>
    <row r="2719" spans="2:8" x14ac:dyDescent="0.25">
      <c r="B2719">
        <v>1.4464999999999999</v>
      </c>
      <c r="C2719">
        <v>215</v>
      </c>
      <c r="D2719">
        <v>67.400000000000006</v>
      </c>
      <c r="E2719">
        <v>0.16184000000000001</v>
      </c>
      <c r="F2719">
        <v>6.1790000000000003</v>
      </c>
      <c r="G2719">
        <v>724.83</v>
      </c>
      <c r="H2719">
        <v>1.4464999999999999</v>
      </c>
    </row>
    <row r="2720" spans="2:8" x14ac:dyDescent="0.25">
      <c r="B2720">
        <v>1.4505999999999999</v>
      </c>
      <c r="C2720">
        <v>220</v>
      </c>
      <c r="D2720">
        <v>67.400000000000006</v>
      </c>
      <c r="E2720">
        <v>0.16056000000000001</v>
      </c>
      <c r="F2720">
        <v>6.2282999999999999</v>
      </c>
      <c r="G2720">
        <v>727.61</v>
      </c>
      <c r="H2720">
        <v>1.4505999999999999</v>
      </c>
    </row>
    <row r="2721" spans="2:8" x14ac:dyDescent="0.25">
      <c r="B2721">
        <v>1.4545999999999999</v>
      </c>
      <c r="C2721">
        <v>225</v>
      </c>
      <c r="D2721">
        <v>67.400000000000006</v>
      </c>
      <c r="E2721">
        <v>0.1593</v>
      </c>
      <c r="F2721">
        <v>6.2774999999999999</v>
      </c>
      <c r="G2721">
        <v>730.4</v>
      </c>
      <c r="H2721">
        <v>1.4545999999999999</v>
      </c>
    </row>
    <row r="2722" spans="2:8" x14ac:dyDescent="0.25">
      <c r="B2722">
        <v>1.4587000000000001</v>
      </c>
      <c r="C2722">
        <v>230</v>
      </c>
      <c r="D2722">
        <v>67.400000000000006</v>
      </c>
      <c r="E2722">
        <v>0.15806000000000001</v>
      </c>
      <c r="F2722">
        <v>6.3266999999999998</v>
      </c>
      <c r="G2722">
        <v>733.18</v>
      </c>
      <c r="H2722">
        <v>1.4587000000000001</v>
      </c>
    </row>
    <row r="2723" spans="2:8" x14ac:dyDescent="0.25">
      <c r="B2723">
        <v>1.4626999999999999</v>
      </c>
      <c r="C2723">
        <v>235</v>
      </c>
      <c r="D2723">
        <v>67.400000000000006</v>
      </c>
      <c r="E2723">
        <v>0.15684000000000001</v>
      </c>
      <c r="F2723">
        <v>6.3757999999999999</v>
      </c>
      <c r="G2723">
        <v>735.97</v>
      </c>
      <c r="H2723">
        <v>1.4626999999999999</v>
      </c>
    </row>
    <row r="2724" spans="2:8" x14ac:dyDescent="0.25">
      <c r="B2724">
        <v>1.4666999999999999</v>
      </c>
      <c r="C2724">
        <v>240</v>
      </c>
      <c r="D2724">
        <v>67.400000000000006</v>
      </c>
      <c r="E2724">
        <v>0.15565000000000001</v>
      </c>
      <c r="F2724">
        <v>6.4248000000000003</v>
      </c>
      <c r="G2724">
        <v>738.76</v>
      </c>
      <c r="H2724">
        <v>1.4666999999999999</v>
      </c>
    </row>
    <row r="2725" spans="2:8" x14ac:dyDescent="0.25">
      <c r="B2725">
        <v>1.4706999999999999</v>
      </c>
      <c r="C2725">
        <v>245</v>
      </c>
      <c r="D2725">
        <v>67.400000000000006</v>
      </c>
      <c r="E2725">
        <v>0.15447</v>
      </c>
      <c r="F2725">
        <v>6.4737999999999998</v>
      </c>
      <c r="G2725">
        <v>741.55</v>
      </c>
      <c r="H2725">
        <v>1.4706999999999999</v>
      </c>
    </row>
    <row r="2726" spans="2:8" x14ac:dyDescent="0.25">
      <c r="B2726">
        <v>1.4745999999999999</v>
      </c>
      <c r="C2726">
        <v>250</v>
      </c>
      <c r="D2726">
        <v>67.400000000000006</v>
      </c>
      <c r="E2726">
        <v>0.15331</v>
      </c>
      <c r="F2726">
        <v>6.5227000000000004</v>
      </c>
      <c r="G2726">
        <v>744.34</v>
      </c>
      <c r="H2726">
        <v>1.4745999999999999</v>
      </c>
    </row>
    <row r="2727" spans="2:8" x14ac:dyDescent="0.25">
      <c r="B2727">
        <v>1.4785999999999999</v>
      </c>
      <c r="C2727">
        <v>255</v>
      </c>
      <c r="D2727">
        <v>67.400000000000006</v>
      </c>
      <c r="E2727">
        <v>0.15217</v>
      </c>
      <c r="F2727">
        <v>6.5716000000000001</v>
      </c>
      <c r="G2727">
        <v>747.14</v>
      </c>
      <c r="H2727">
        <v>1.4785999999999999</v>
      </c>
    </row>
    <row r="2728" spans="2:8" x14ac:dyDescent="0.25">
      <c r="B2728">
        <v>1.4824999999999999</v>
      </c>
      <c r="C2728">
        <v>260</v>
      </c>
      <c r="D2728">
        <v>67.400000000000006</v>
      </c>
      <c r="E2728">
        <v>0.15104999999999999</v>
      </c>
      <c r="F2728">
        <v>6.6204000000000001</v>
      </c>
      <c r="G2728">
        <v>749.94</v>
      </c>
      <c r="H2728">
        <v>1.4824999999999999</v>
      </c>
    </row>
    <row r="2729" spans="2:8" x14ac:dyDescent="0.25">
      <c r="B2729">
        <v>1.4863999999999999</v>
      </c>
      <c r="C2729">
        <v>265</v>
      </c>
      <c r="D2729">
        <v>67.400000000000006</v>
      </c>
      <c r="E2729">
        <v>0.14993999999999999</v>
      </c>
      <c r="F2729">
        <v>6.6691000000000003</v>
      </c>
      <c r="G2729">
        <v>752.75</v>
      </c>
      <c r="H2729">
        <v>1.4863999999999999</v>
      </c>
    </row>
    <row r="2730" spans="2:8" x14ac:dyDescent="0.25">
      <c r="B2730">
        <v>1.4902</v>
      </c>
      <c r="C2730">
        <v>270</v>
      </c>
      <c r="D2730">
        <v>67.400000000000006</v>
      </c>
      <c r="E2730">
        <v>0.14885999999999999</v>
      </c>
      <c r="F2730">
        <v>6.7178000000000004</v>
      </c>
      <c r="G2730">
        <v>755.56</v>
      </c>
      <c r="H2730">
        <v>1.4902</v>
      </c>
    </row>
    <row r="2731" spans="2:8" x14ac:dyDescent="0.25">
      <c r="B2731">
        <v>1.4941</v>
      </c>
      <c r="C2731">
        <v>275</v>
      </c>
      <c r="D2731">
        <v>67.400000000000006</v>
      </c>
      <c r="E2731">
        <v>0.14779</v>
      </c>
      <c r="F2731">
        <v>6.7664</v>
      </c>
      <c r="G2731">
        <v>758.37</v>
      </c>
      <c r="H2731">
        <v>1.4941</v>
      </c>
    </row>
    <row r="2732" spans="2:8" x14ac:dyDescent="0.25">
      <c r="B2732">
        <v>1.4979</v>
      </c>
      <c r="C2732">
        <v>280</v>
      </c>
      <c r="D2732">
        <v>67.400000000000006</v>
      </c>
      <c r="E2732">
        <v>0.14673</v>
      </c>
      <c r="F2732">
        <v>6.8150000000000004</v>
      </c>
      <c r="G2732">
        <v>761.19</v>
      </c>
      <c r="H2732">
        <v>1.4979</v>
      </c>
    </row>
    <row r="2733" spans="2:8" x14ac:dyDescent="0.25">
      <c r="B2733">
        <v>1.5017</v>
      </c>
      <c r="C2733">
        <v>285</v>
      </c>
      <c r="D2733">
        <v>67.400000000000006</v>
      </c>
      <c r="E2733">
        <v>0.1457</v>
      </c>
      <c r="F2733">
        <v>6.8635999999999999</v>
      </c>
      <c r="G2733">
        <v>764.01</v>
      </c>
      <c r="H2733">
        <v>1.5017</v>
      </c>
    </row>
    <row r="2734" spans="2:8" x14ac:dyDescent="0.25">
      <c r="B2734">
        <v>1.5055000000000001</v>
      </c>
      <c r="C2734">
        <v>290</v>
      </c>
      <c r="D2734">
        <v>67.400000000000006</v>
      </c>
      <c r="E2734">
        <v>0.14466999999999999</v>
      </c>
      <c r="F2734">
        <v>6.9120999999999997</v>
      </c>
      <c r="G2734">
        <v>766.83</v>
      </c>
      <c r="H2734">
        <v>1.5055000000000001</v>
      </c>
    </row>
    <row r="2735" spans="2:8" x14ac:dyDescent="0.25">
      <c r="B2735">
        <v>1.5092000000000001</v>
      </c>
      <c r="C2735">
        <v>295</v>
      </c>
      <c r="D2735">
        <v>67.400000000000006</v>
      </c>
      <c r="E2735">
        <v>0.14366999999999999</v>
      </c>
      <c r="F2735">
        <v>6.9604999999999997</v>
      </c>
      <c r="G2735">
        <v>769.66</v>
      </c>
      <c r="H2735">
        <v>1.5092000000000001</v>
      </c>
    </row>
    <row r="2736" spans="2:8" x14ac:dyDescent="0.25">
      <c r="B2736">
        <v>1.5129999999999999</v>
      </c>
      <c r="C2736">
        <v>300</v>
      </c>
      <c r="D2736">
        <v>67.400000000000006</v>
      </c>
      <c r="E2736">
        <v>0.14266999999999999</v>
      </c>
      <c r="F2736">
        <v>7.0088999999999997</v>
      </c>
      <c r="G2736">
        <v>772.49</v>
      </c>
      <c r="H2736">
        <v>1.5129999999999999</v>
      </c>
    </row>
    <row r="2738" spans="1:8" x14ac:dyDescent="0.25">
      <c r="A2738">
        <v>70.2</v>
      </c>
      <c r="B2738">
        <v>-2.5597000000000002E-2</v>
      </c>
      <c r="C2738">
        <v>-50</v>
      </c>
      <c r="D2738">
        <v>70.2</v>
      </c>
      <c r="E2738">
        <v>43.514000000000003</v>
      </c>
      <c r="F2738">
        <v>2.2981000000000001E-2</v>
      </c>
      <c r="G2738">
        <v>-10.358000000000001</v>
      </c>
      <c r="H2738">
        <v>-2.5597000000000002E-2</v>
      </c>
    </row>
    <row r="2739" spans="1:8" x14ac:dyDescent="0.25">
      <c r="B2739">
        <v>-1.2869E-2</v>
      </c>
      <c r="C2739">
        <v>-45</v>
      </c>
      <c r="D2739">
        <v>70.2</v>
      </c>
      <c r="E2739">
        <v>43.305999999999997</v>
      </c>
      <c r="F2739">
        <v>2.3091E-2</v>
      </c>
      <c r="G2739">
        <v>-5.1121999999999996</v>
      </c>
      <c r="H2739">
        <v>-1.2869E-2</v>
      </c>
    </row>
    <row r="2740" spans="1:8" x14ac:dyDescent="0.25">
      <c r="B2740">
        <v>-2.5106999999999999E-4</v>
      </c>
      <c r="C2740">
        <v>-40</v>
      </c>
      <c r="D2740">
        <v>70.2</v>
      </c>
      <c r="E2740">
        <v>43.097000000000001</v>
      </c>
      <c r="F2740">
        <v>2.3203999999999999E-2</v>
      </c>
      <c r="G2740">
        <v>0.15162</v>
      </c>
      <c r="H2740">
        <v>-2.5106999999999999E-4</v>
      </c>
    </row>
    <row r="2741" spans="1:8" x14ac:dyDescent="0.25">
      <c r="B2741">
        <v>1.2258E-2</v>
      </c>
      <c r="C2741">
        <v>-35</v>
      </c>
      <c r="D2741">
        <v>70.2</v>
      </c>
      <c r="E2741">
        <v>42.884999999999998</v>
      </c>
      <c r="F2741">
        <v>2.3317999999999998E-2</v>
      </c>
      <c r="G2741">
        <v>5.4326999999999996</v>
      </c>
      <c r="H2741">
        <v>1.2258E-2</v>
      </c>
    </row>
    <row r="2742" spans="1:8" x14ac:dyDescent="0.25">
      <c r="B2742">
        <v>2.4660999999999999E-2</v>
      </c>
      <c r="C2742">
        <v>-30</v>
      </c>
      <c r="D2742">
        <v>70.2</v>
      </c>
      <c r="E2742">
        <v>42.671999999999997</v>
      </c>
      <c r="F2742">
        <v>2.3434E-2</v>
      </c>
      <c r="G2742">
        <v>10.731</v>
      </c>
      <c r="H2742">
        <v>2.4660999999999999E-2</v>
      </c>
    </row>
    <row r="2743" spans="1:8" x14ac:dyDescent="0.25">
      <c r="B2743">
        <v>3.696E-2</v>
      </c>
      <c r="C2743">
        <v>-25</v>
      </c>
      <c r="D2743">
        <v>70.2</v>
      </c>
      <c r="E2743">
        <v>42.457000000000001</v>
      </c>
      <c r="F2743">
        <v>2.3553000000000001E-2</v>
      </c>
      <c r="G2743">
        <v>16.045999999999999</v>
      </c>
      <c r="H2743">
        <v>3.696E-2</v>
      </c>
    </row>
    <row r="2744" spans="1:8" x14ac:dyDescent="0.25">
      <c r="B2744">
        <v>4.9155999999999998E-2</v>
      </c>
      <c r="C2744">
        <v>-20</v>
      </c>
      <c r="D2744">
        <v>70.2</v>
      </c>
      <c r="E2744">
        <v>42.24</v>
      </c>
      <c r="F2744">
        <v>2.3674000000000001E-2</v>
      </c>
      <c r="G2744">
        <v>21.376999999999999</v>
      </c>
      <c r="H2744">
        <v>4.9155999999999998E-2</v>
      </c>
    </row>
    <row r="2745" spans="1:8" x14ac:dyDescent="0.25">
      <c r="B2745">
        <v>6.1251E-2</v>
      </c>
      <c r="C2745">
        <v>-15</v>
      </c>
      <c r="D2745">
        <v>70.2</v>
      </c>
      <c r="E2745">
        <v>42.021999999999998</v>
      </c>
      <c r="F2745">
        <v>2.3796999999999999E-2</v>
      </c>
      <c r="G2745">
        <v>26.725999999999999</v>
      </c>
      <c r="H2745">
        <v>6.1251E-2</v>
      </c>
    </row>
    <row r="2746" spans="1:8" x14ac:dyDescent="0.25">
      <c r="B2746">
        <v>7.3247999999999994E-2</v>
      </c>
      <c r="C2746">
        <v>-10</v>
      </c>
      <c r="D2746">
        <v>70.2</v>
      </c>
      <c r="E2746">
        <v>41.801000000000002</v>
      </c>
      <c r="F2746">
        <v>2.3923E-2</v>
      </c>
      <c r="G2746">
        <v>32.090000000000003</v>
      </c>
      <c r="H2746">
        <v>7.3247999999999994E-2</v>
      </c>
    </row>
    <row r="2747" spans="1:8" x14ac:dyDescent="0.25">
      <c r="B2747">
        <v>8.5148000000000001E-2</v>
      </c>
      <c r="C2747">
        <v>-5</v>
      </c>
      <c r="D2747">
        <v>70.2</v>
      </c>
      <c r="E2747">
        <v>41.578000000000003</v>
      </c>
      <c r="F2747">
        <v>2.4050999999999999E-2</v>
      </c>
      <c r="G2747">
        <v>37.470999999999997</v>
      </c>
      <c r="H2747">
        <v>8.5148000000000001E-2</v>
      </c>
    </row>
    <row r="2748" spans="1:8" x14ac:dyDescent="0.25">
      <c r="B2748">
        <v>9.6952999999999998E-2</v>
      </c>
      <c r="C2748">
        <v>0</v>
      </c>
      <c r="D2748">
        <v>70.2</v>
      </c>
      <c r="E2748">
        <v>41.353999999999999</v>
      </c>
      <c r="F2748">
        <v>2.4181999999999999E-2</v>
      </c>
      <c r="G2748">
        <v>42.868000000000002</v>
      </c>
      <c r="H2748">
        <v>9.6952999999999998E-2</v>
      </c>
    </row>
    <row r="2749" spans="1:8" x14ac:dyDescent="0.25">
      <c r="B2749">
        <v>0.10867</v>
      </c>
      <c r="C2749">
        <v>5</v>
      </c>
      <c r="D2749">
        <v>70.2</v>
      </c>
      <c r="E2749">
        <v>41.127000000000002</v>
      </c>
      <c r="F2749">
        <v>2.4315E-2</v>
      </c>
      <c r="G2749">
        <v>48.281999999999996</v>
      </c>
      <c r="H2749">
        <v>0.10867</v>
      </c>
    </row>
    <row r="2750" spans="1:8" x14ac:dyDescent="0.25">
      <c r="B2750">
        <v>0.12028999999999999</v>
      </c>
      <c r="C2750">
        <v>10</v>
      </c>
      <c r="D2750">
        <v>70.2</v>
      </c>
      <c r="E2750">
        <v>40.899000000000001</v>
      </c>
      <c r="F2750">
        <v>2.4451000000000001E-2</v>
      </c>
      <c r="G2750">
        <v>53.712000000000003</v>
      </c>
      <c r="H2750">
        <v>0.12028999999999999</v>
      </c>
    </row>
    <row r="2751" spans="1:8" x14ac:dyDescent="0.25">
      <c r="B2751">
        <v>0.13183</v>
      </c>
      <c r="C2751">
        <v>15</v>
      </c>
      <c r="D2751">
        <v>70.2</v>
      </c>
      <c r="E2751">
        <v>40.667999999999999</v>
      </c>
      <c r="F2751">
        <v>2.4589E-2</v>
      </c>
      <c r="G2751">
        <v>59.158999999999999</v>
      </c>
      <c r="H2751">
        <v>0.13183</v>
      </c>
    </row>
    <row r="2752" spans="1:8" x14ac:dyDescent="0.25">
      <c r="B2752">
        <v>0.14327999999999999</v>
      </c>
      <c r="C2752">
        <v>20</v>
      </c>
      <c r="D2752">
        <v>70.2</v>
      </c>
      <c r="E2752">
        <v>40.435000000000002</v>
      </c>
      <c r="F2752">
        <v>2.4731E-2</v>
      </c>
      <c r="G2752">
        <v>64.623000000000005</v>
      </c>
      <c r="H2752">
        <v>0.14327999999999999</v>
      </c>
    </row>
    <row r="2753" spans="2:8" x14ac:dyDescent="0.25">
      <c r="B2753">
        <v>0.15465000000000001</v>
      </c>
      <c r="C2753">
        <v>25</v>
      </c>
      <c r="D2753">
        <v>70.2</v>
      </c>
      <c r="E2753">
        <v>40.200000000000003</v>
      </c>
      <c r="F2753">
        <v>2.4875999999999999E-2</v>
      </c>
      <c r="G2753">
        <v>70.105000000000004</v>
      </c>
      <c r="H2753">
        <v>0.15465000000000001</v>
      </c>
    </row>
    <row r="2754" spans="2:8" x14ac:dyDescent="0.25">
      <c r="B2754">
        <v>0.16594</v>
      </c>
      <c r="C2754">
        <v>30</v>
      </c>
      <c r="D2754">
        <v>70.2</v>
      </c>
      <c r="E2754">
        <v>39.963000000000001</v>
      </c>
      <c r="F2754">
        <v>2.5023E-2</v>
      </c>
      <c r="G2754">
        <v>75.605000000000004</v>
      </c>
      <c r="H2754">
        <v>0.16594</v>
      </c>
    </row>
    <row r="2755" spans="2:8" x14ac:dyDescent="0.25">
      <c r="B2755">
        <v>0.17715</v>
      </c>
      <c r="C2755">
        <v>35</v>
      </c>
      <c r="D2755">
        <v>70.2</v>
      </c>
      <c r="E2755">
        <v>39.722999999999999</v>
      </c>
      <c r="F2755">
        <v>2.5173999999999998E-2</v>
      </c>
      <c r="G2755">
        <v>81.123000000000005</v>
      </c>
      <c r="H2755">
        <v>0.17715</v>
      </c>
    </row>
    <row r="2756" spans="2:8" x14ac:dyDescent="0.25">
      <c r="B2756">
        <v>1.2677</v>
      </c>
      <c r="C2756">
        <v>40</v>
      </c>
      <c r="D2756">
        <v>70.2</v>
      </c>
      <c r="E2756">
        <v>0.24035999999999999</v>
      </c>
      <c r="F2756">
        <v>4.1604000000000001</v>
      </c>
      <c r="G2756">
        <v>623.69000000000005</v>
      </c>
      <c r="H2756">
        <v>1.2677</v>
      </c>
    </row>
    <row r="2757" spans="2:8" x14ac:dyDescent="0.25">
      <c r="B2757">
        <v>1.2741</v>
      </c>
      <c r="C2757">
        <v>45</v>
      </c>
      <c r="D2757">
        <v>70.2</v>
      </c>
      <c r="E2757">
        <v>0.23713999999999999</v>
      </c>
      <c r="F2757">
        <v>4.2168999999999999</v>
      </c>
      <c r="G2757">
        <v>626.9</v>
      </c>
      <c r="H2757">
        <v>1.2741</v>
      </c>
    </row>
    <row r="2758" spans="2:8" x14ac:dyDescent="0.25">
      <c r="B2758">
        <v>1.2804</v>
      </c>
      <c r="C2758">
        <v>50</v>
      </c>
      <c r="D2758">
        <v>70.2</v>
      </c>
      <c r="E2758">
        <v>0.23405000000000001</v>
      </c>
      <c r="F2758">
        <v>4.2725999999999997</v>
      </c>
      <c r="G2758">
        <v>630.07000000000005</v>
      </c>
      <c r="H2758">
        <v>1.2804</v>
      </c>
    </row>
    <row r="2759" spans="2:8" x14ac:dyDescent="0.25">
      <c r="B2759">
        <v>1.2865</v>
      </c>
      <c r="C2759">
        <v>55</v>
      </c>
      <c r="D2759">
        <v>70.2</v>
      </c>
      <c r="E2759">
        <v>0.23107</v>
      </c>
      <c r="F2759">
        <v>4.3277000000000001</v>
      </c>
      <c r="G2759">
        <v>633.19000000000005</v>
      </c>
      <c r="H2759">
        <v>1.2865</v>
      </c>
    </row>
    <row r="2760" spans="2:8" x14ac:dyDescent="0.25">
      <c r="B2760">
        <v>1.2924</v>
      </c>
      <c r="C2760">
        <v>60</v>
      </c>
      <c r="D2760">
        <v>70.2</v>
      </c>
      <c r="E2760">
        <v>0.22819</v>
      </c>
      <c r="F2760">
        <v>4.3822000000000001</v>
      </c>
      <c r="G2760">
        <v>636.28</v>
      </c>
      <c r="H2760">
        <v>1.2924</v>
      </c>
    </row>
    <row r="2761" spans="2:8" x14ac:dyDescent="0.25">
      <c r="B2761">
        <v>1.2983</v>
      </c>
      <c r="C2761">
        <v>65</v>
      </c>
      <c r="D2761">
        <v>70.2</v>
      </c>
      <c r="E2761">
        <v>0.22542000000000001</v>
      </c>
      <c r="F2761">
        <v>4.4362000000000004</v>
      </c>
      <c r="G2761">
        <v>639.34</v>
      </c>
      <c r="H2761">
        <v>1.2983</v>
      </c>
    </row>
    <row r="2762" spans="2:8" x14ac:dyDescent="0.25">
      <c r="B2762">
        <v>1.304</v>
      </c>
      <c r="C2762">
        <v>70</v>
      </c>
      <c r="D2762">
        <v>70.2</v>
      </c>
      <c r="E2762">
        <v>0.22273000000000001</v>
      </c>
      <c r="F2762">
        <v>4.4897</v>
      </c>
      <c r="G2762">
        <v>642.36</v>
      </c>
      <c r="H2762">
        <v>1.304</v>
      </c>
    </row>
    <row r="2763" spans="2:8" x14ac:dyDescent="0.25">
      <c r="B2763">
        <v>1.3097000000000001</v>
      </c>
      <c r="C2763">
        <v>75</v>
      </c>
      <c r="D2763">
        <v>70.2</v>
      </c>
      <c r="E2763">
        <v>0.22012999999999999</v>
      </c>
      <c r="F2763">
        <v>4.5427999999999997</v>
      </c>
      <c r="G2763">
        <v>645.36</v>
      </c>
      <c r="H2763">
        <v>1.3097000000000001</v>
      </c>
    </row>
    <row r="2764" spans="2:8" x14ac:dyDescent="0.25">
      <c r="B2764">
        <v>1.3151999999999999</v>
      </c>
      <c r="C2764">
        <v>80</v>
      </c>
      <c r="D2764">
        <v>70.2</v>
      </c>
      <c r="E2764">
        <v>0.21761</v>
      </c>
      <c r="F2764">
        <v>4.5953999999999997</v>
      </c>
      <c r="G2764">
        <v>648.33000000000004</v>
      </c>
      <c r="H2764">
        <v>1.3151999999999999</v>
      </c>
    </row>
    <row r="2765" spans="2:8" x14ac:dyDescent="0.25">
      <c r="B2765">
        <v>1.3206</v>
      </c>
      <c r="C2765">
        <v>85</v>
      </c>
      <c r="D2765">
        <v>70.2</v>
      </c>
      <c r="E2765">
        <v>0.21515999999999999</v>
      </c>
      <c r="F2765">
        <v>4.6475999999999997</v>
      </c>
      <c r="G2765">
        <v>651.28</v>
      </c>
      <c r="H2765">
        <v>1.3206</v>
      </c>
    </row>
    <row r="2766" spans="2:8" x14ac:dyDescent="0.25">
      <c r="B2766">
        <v>1.3260000000000001</v>
      </c>
      <c r="C2766">
        <v>90</v>
      </c>
      <c r="D2766">
        <v>70.2</v>
      </c>
      <c r="E2766">
        <v>0.21279000000000001</v>
      </c>
      <c r="F2766">
        <v>4.6994999999999996</v>
      </c>
      <c r="G2766">
        <v>654.21</v>
      </c>
      <c r="H2766">
        <v>1.3260000000000001</v>
      </c>
    </row>
    <row r="2767" spans="2:8" x14ac:dyDescent="0.25">
      <c r="B2767">
        <v>1.3312999999999999</v>
      </c>
      <c r="C2767">
        <v>95</v>
      </c>
      <c r="D2767">
        <v>70.2</v>
      </c>
      <c r="E2767">
        <v>0.21048</v>
      </c>
      <c r="F2767">
        <v>4.7510000000000003</v>
      </c>
      <c r="G2767">
        <v>657.12</v>
      </c>
      <c r="H2767">
        <v>1.3312999999999999</v>
      </c>
    </row>
    <row r="2768" spans="2:8" x14ac:dyDescent="0.25">
      <c r="B2768">
        <v>1.3365</v>
      </c>
      <c r="C2768">
        <v>100</v>
      </c>
      <c r="D2768">
        <v>70.2</v>
      </c>
      <c r="E2768">
        <v>0.20824000000000001</v>
      </c>
      <c r="F2768">
        <v>4.8022</v>
      </c>
      <c r="G2768">
        <v>660.01</v>
      </c>
      <c r="H2768">
        <v>1.3365</v>
      </c>
    </row>
    <row r="2769" spans="2:8" x14ac:dyDescent="0.25">
      <c r="B2769">
        <v>1.3415999999999999</v>
      </c>
      <c r="C2769">
        <v>105</v>
      </c>
      <c r="D2769">
        <v>70.2</v>
      </c>
      <c r="E2769">
        <v>0.20605000000000001</v>
      </c>
      <c r="F2769">
        <v>4.8532000000000002</v>
      </c>
      <c r="G2769">
        <v>662.9</v>
      </c>
      <c r="H2769">
        <v>1.3415999999999999</v>
      </c>
    </row>
    <row r="2770" spans="2:8" x14ac:dyDescent="0.25">
      <c r="B2770">
        <v>1.3466</v>
      </c>
      <c r="C2770">
        <v>110</v>
      </c>
      <c r="D2770">
        <v>70.2</v>
      </c>
      <c r="E2770">
        <v>0.20391999999999999</v>
      </c>
      <c r="F2770">
        <v>4.9038000000000004</v>
      </c>
      <c r="G2770">
        <v>665.76</v>
      </c>
      <c r="H2770">
        <v>1.3466</v>
      </c>
    </row>
    <row r="2771" spans="2:8" x14ac:dyDescent="0.25">
      <c r="B2771">
        <v>1.3515999999999999</v>
      </c>
      <c r="C2771">
        <v>115</v>
      </c>
      <c r="D2771">
        <v>70.2</v>
      </c>
      <c r="E2771">
        <v>0.20185</v>
      </c>
      <c r="F2771">
        <v>4.9542000000000002</v>
      </c>
      <c r="G2771">
        <v>668.62</v>
      </c>
      <c r="H2771">
        <v>1.3515999999999999</v>
      </c>
    </row>
    <row r="2772" spans="2:8" x14ac:dyDescent="0.25">
      <c r="B2772">
        <v>1.3566</v>
      </c>
      <c r="C2772">
        <v>120</v>
      </c>
      <c r="D2772">
        <v>70.2</v>
      </c>
      <c r="E2772">
        <v>0.19982</v>
      </c>
      <c r="F2772">
        <v>5.0044000000000004</v>
      </c>
      <c r="G2772">
        <v>671.46</v>
      </c>
      <c r="H2772">
        <v>1.3566</v>
      </c>
    </row>
    <row r="2773" spans="2:8" x14ac:dyDescent="0.25">
      <c r="B2773">
        <v>1.3613999999999999</v>
      </c>
      <c r="C2773">
        <v>125</v>
      </c>
      <c r="D2773">
        <v>70.2</v>
      </c>
      <c r="E2773">
        <v>0.19785</v>
      </c>
      <c r="F2773">
        <v>5.0544000000000002</v>
      </c>
      <c r="G2773">
        <v>674.3</v>
      </c>
      <c r="H2773">
        <v>1.3613999999999999</v>
      </c>
    </row>
    <row r="2774" spans="2:8" x14ac:dyDescent="0.25">
      <c r="B2774">
        <v>1.3662000000000001</v>
      </c>
      <c r="C2774">
        <v>130</v>
      </c>
      <c r="D2774">
        <v>70.2</v>
      </c>
      <c r="E2774">
        <v>0.19592000000000001</v>
      </c>
      <c r="F2774">
        <v>5.1040999999999999</v>
      </c>
      <c r="G2774">
        <v>677.12</v>
      </c>
      <c r="H2774">
        <v>1.3662000000000001</v>
      </c>
    </row>
    <row r="2775" spans="2:8" x14ac:dyDescent="0.25">
      <c r="B2775">
        <v>1.371</v>
      </c>
      <c r="C2775">
        <v>135</v>
      </c>
      <c r="D2775">
        <v>70.2</v>
      </c>
      <c r="E2775">
        <v>0.19403999999999999</v>
      </c>
      <c r="F2775">
        <v>5.1536999999999997</v>
      </c>
      <c r="G2775">
        <v>679.94</v>
      </c>
      <c r="H2775">
        <v>1.371</v>
      </c>
    </row>
    <row r="2776" spans="2:8" x14ac:dyDescent="0.25">
      <c r="B2776">
        <v>1.3756999999999999</v>
      </c>
      <c r="C2776">
        <v>140</v>
      </c>
      <c r="D2776">
        <v>70.2</v>
      </c>
      <c r="E2776">
        <v>0.19219</v>
      </c>
      <c r="F2776">
        <v>5.2031000000000001</v>
      </c>
      <c r="G2776">
        <v>682.76</v>
      </c>
      <c r="H2776">
        <v>1.3756999999999999</v>
      </c>
    </row>
    <row r="2777" spans="2:8" x14ac:dyDescent="0.25">
      <c r="B2777">
        <v>1.3804000000000001</v>
      </c>
      <c r="C2777">
        <v>145</v>
      </c>
      <c r="D2777">
        <v>70.2</v>
      </c>
      <c r="E2777">
        <v>0.19039</v>
      </c>
      <c r="F2777">
        <v>5.2523</v>
      </c>
      <c r="G2777">
        <v>685.56</v>
      </c>
      <c r="H2777">
        <v>1.3804000000000001</v>
      </c>
    </row>
    <row r="2778" spans="2:8" x14ac:dyDescent="0.25">
      <c r="B2778">
        <v>1.385</v>
      </c>
      <c r="C2778">
        <v>150</v>
      </c>
      <c r="D2778">
        <v>70.2</v>
      </c>
      <c r="E2778">
        <v>0.18862999999999999</v>
      </c>
      <c r="F2778">
        <v>5.3013000000000003</v>
      </c>
      <c r="G2778">
        <v>688.36</v>
      </c>
      <c r="H2778">
        <v>1.385</v>
      </c>
    </row>
    <row r="2779" spans="2:8" x14ac:dyDescent="0.25">
      <c r="B2779">
        <v>1.3895999999999999</v>
      </c>
      <c r="C2779">
        <v>155</v>
      </c>
      <c r="D2779">
        <v>70.2</v>
      </c>
      <c r="E2779">
        <v>0.18690999999999999</v>
      </c>
      <c r="F2779">
        <v>5.3502000000000001</v>
      </c>
      <c r="G2779">
        <v>691.16</v>
      </c>
      <c r="H2779">
        <v>1.3895999999999999</v>
      </c>
    </row>
    <row r="2780" spans="2:8" x14ac:dyDescent="0.25">
      <c r="B2780">
        <v>1.3940999999999999</v>
      </c>
      <c r="C2780">
        <v>160</v>
      </c>
      <c r="D2780">
        <v>70.2</v>
      </c>
      <c r="E2780">
        <v>0.18522</v>
      </c>
      <c r="F2780">
        <v>5.3989000000000003</v>
      </c>
      <c r="G2780">
        <v>693.96</v>
      </c>
      <c r="H2780">
        <v>1.3940999999999999</v>
      </c>
    </row>
    <row r="2781" spans="2:8" x14ac:dyDescent="0.25">
      <c r="B2781">
        <v>1.3986000000000001</v>
      </c>
      <c r="C2781">
        <v>165</v>
      </c>
      <c r="D2781">
        <v>70.2</v>
      </c>
      <c r="E2781">
        <v>0.18357000000000001</v>
      </c>
      <c r="F2781">
        <v>5.4474999999999998</v>
      </c>
      <c r="G2781">
        <v>696.75</v>
      </c>
      <c r="H2781">
        <v>1.3986000000000001</v>
      </c>
    </row>
    <row r="2782" spans="2:8" x14ac:dyDescent="0.25">
      <c r="B2782">
        <v>1.403</v>
      </c>
      <c r="C2782">
        <v>170</v>
      </c>
      <c r="D2782">
        <v>70.2</v>
      </c>
      <c r="E2782">
        <v>0.18195</v>
      </c>
      <c r="F2782">
        <v>5.4960000000000004</v>
      </c>
      <c r="G2782">
        <v>699.53</v>
      </c>
      <c r="H2782">
        <v>1.403</v>
      </c>
    </row>
    <row r="2783" spans="2:8" x14ac:dyDescent="0.25">
      <c r="B2783">
        <v>1.4074</v>
      </c>
      <c r="C2783">
        <v>175</v>
      </c>
      <c r="D2783">
        <v>70.2</v>
      </c>
      <c r="E2783">
        <v>0.18035999999999999</v>
      </c>
      <c r="F2783">
        <v>5.5442999999999998</v>
      </c>
      <c r="G2783">
        <v>702.32</v>
      </c>
      <c r="H2783">
        <v>1.4074</v>
      </c>
    </row>
    <row r="2784" spans="2:8" x14ac:dyDescent="0.25">
      <c r="B2784">
        <v>1.4117999999999999</v>
      </c>
      <c r="C2784">
        <v>180</v>
      </c>
      <c r="D2784">
        <v>70.2</v>
      </c>
      <c r="E2784">
        <v>0.17881</v>
      </c>
      <c r="F2784">
        <v>5.5926</v>
      </c>
      <c r="G2784">
        <v>705.1</v>
      </c>
      <c r="H2784">
        <v>1.4117999999999999</v>
      </c>
    </row>
    <row r="2785" spans="2:8" x14ac:dyDescent="0.25">
      <c r="B2785">
        <v>1.4160999999999999</v>
      </c>
      <c r="C2785">
        <v>185</v>
      </c>
      <c r="D2785">
        <v>70.2</v>
      </c>
      <c r="E2785">
        <v>0.17727999999999999</v>
      </c>
      <c r="F2785">
        <v>5.6406999999999998</v>
      </c>
      <c r="G2785">
        <v>707.89</v>
      </c>
      <c r="H2785">
        <v>1.4160999999999999</v>
      </c>
    </row>
    <row r="2786" spans="2:8" x14ac:dyDescent="0.25">
      <c r="B2786">
        <v>1.4204000000000001</v>
      </c>
      <c r="C2786">
        <v>190</v>
      </c>
      <c r="D2786">
        <v>70.2</v>
      </c>
      <c r="E2786">
        <v>0.17579</v>
      </c>
      <c r="F2786">
        <v>5.6886999999999999</v>
      </c>
      <c r="G2786">
        <v>710.67</v>
      </c>
      <c r="H2786">
        <v>1.4204000000000001</v>
      </c>
    </row>
    <row r="2787" spans="2:8" x14ac:dyDescent="0.25">
      <c r="B2787">
        <v>1.4247000000000001</v>
      </c>
      <c r="C2787">
        <v>195</v>
      </c>
      <c r="D2787">
        <v>70.2</v>
      </c>
      <c r="E2787">
        <v>0.17432</v>
      </c>
      <c r="F2787">
        <v>5.7366000000000001</v>
      </c>
      <c r="G2787">
        <v>713.45</v>
      </c>
      <c r="H2787">
        <v>1.4247000000000001</v>
      </c>
    </row>
    <row r="2788" spans="2:8" x14ac:dyDescent="0.25">
      <c r="B2788">
        <v>1.4289000000000001</v>
      </c>
      <c r="C2788">
        <v>200</v>
      </c>
      <c r="D2788">
        <v>70.2</v>
      </c>
      <c r="E2788">
        <v>0.17288000000000001</v>
      </c>
      <c r="F2788">
        <v>5.7843999999999998</v>
      </c>
      <c r="G2788">
        <v>716.23</v>
      </c>
      <c r="H2788">
        <v>1.4289000000000001</v>
      </c>
    </row>
    <row r="2789" spans="2:8" x14ac:dyDescent="0.25">
      <c r="B2789">
        <v>1.4331</v>
      </c>
      <c r="C2789">
        <v>205</v>
      </c>
      <c r="D2789">
        <v>70.2</v>
      </c>
      <c r="E2789">
        <v>0.17146</v>
      </c>
      <c r="F2789">
        <v>5.8320999999999996</v>
      </c>
      <c r="G2789">
        <v>719.02</v>
      </c>
      <c r="H2789">
        <v>1.4331</v>
      </c>
    </row>
    <row r="2790" spans="2:8" x14ac:dyDescent="0.25">
      <c r="B2790">
        <v>1.4373</v>
      </c>
      <c r="C2790">
        <v>210</v>
      </c>
      <c r="D2790">
        <v>70.2</v>
      </c>
      <c r="E2790">
        <v>0.17008000000000001</v>
      </c>
      <c r="F2790">
        <v>5.8796999999999997</v>
      </c>
      <c r="G2790">
        <v>721.8</v>
      </c>
      <c r="H2790">
        <v>1.4373</v>
      </c>
    </row>
    <row r="2791" spans="2:8" x14ac:dyDescent="0.25">
      <c r="B2791">
        <v>1.4414</v>
      </c>
      <c r="C2791">
        <v>215</v>
      </c>
      <c r="D2791">
        <v>70.2</v>
      </c>
      <c r="E2791">
        <v>0.16871</v>
      </c>
      <c r="F2791">
        <v>5.9272999999999998</v>
      </c>
      <c r="G2791">
        <v>724.58</v>
      </c>
      <c r="H2791">
        <v>1.4414</v>
      </c>
    </row>
    <row r="2792" spans="2:8" x14ac:dyDescent="0.25">
      <c r="B2792">
        <v>1.4455</v>
      </c>
      <c r="C2792">
        <v>220</v>
      </c>
      <c r="D2792">
        <v>70.2</v>
      </c>
      <c r="E2792">
        <v>0.16736999999999999</v>
      </c>
      <c r="F2792">
        <v>5.9747000000000003</v>
      </c>
      <c r="G2792">
        <v>727.37</v>
      </c>
      <c r="H2792">
        <v>1.4455</v>
      </c>
    </row>
    <row r="2793" spans="2:8" x14ac:dyDescent="0.25">
      <c r="B2793">
        <v>1.4496</v>
      </c>
      <c r="C2793">
        <v>225</v>
      </c>
      <c r="D2793">
        <v>70.2</v>
      </c>
      <c r="E2793">
        <v>0.16605</v>
      </c>
      <c r="F2793">
        <v>6.0221</v>
      </c>
      <c r="G2793">
        <v>730.16</v>
      </c>
      <c r="H2793">
        <v>1.4496</v>
      </c>
    </row>
    <row r="2794" spans="2:8" x14ac:dyDescent="0.25">
      <c r="B2794">
        <v>1.4537</v>
      </c>
      <c r="C2794">
        <v>230</v>
      </c>
      <c r="D2794">
        <v>70.2</v>
      </c>
      <c r="E2794">
        <v>0.16475999999999999</v>
      </c>
      <c r="F2794">
        <v>6.0693999999999999</v>
      </c>
      <c r="G2794">
        <v>732.95</v>
      </c>
      <c r="H2794">
        <v>1.4537</v>
      </c>
    </row>
    <row r="2795" spans="2:8" x14ac:dyDescent="0.25">
      <c r="B2795">
        <v>1.4577</v>
      </c>
      <c r="C2795">
        <v>235</v>
      </c>
      <c r="D2795">
        <v>70.2</v>
      </c>
      <c r="E2795">
        <v>0.16349</v>
      </c>
      <c r="F2795">
        <v>6.1166999999999998</v>
      </c>
      <c r="G2795">
        <v>735.74</v>
      </c>
      <c r="H2795">
        <v>1.4577</v>
      </c>
    </row>
    <row r="2796" spans="2:8" x14ac:dyDescent="0.25">
      <c r="B2796">
        <v>1.4617</v>
      </c>
      <c r="C2796">
        <v>240</v>
      </c>
      <c r="D2796">
        <v>70.2</v>
      </c>
      <c r="E2796">
        <v>0.16224</v>
      </c>
      <c r="F2796">
        <v>6.1638999999999999</v>
      </c>
      <c r="G2796">
        <v>738.53</v>
      </c>
      <c r="H2796">
        <v>1.4617</v>
      </c>
    </row>
    <row r="2797" spans="2:8" x14ac:dyDescent="0.25">
      <c r="B2797">
        <v>1.4657</v>
      </c>
      <c r="C2797">
        <v>245</v>
      </c>
      <c r="D2797">
        <v>70.2</v>
      </c>
      <c r="E2797">
        <v>0.16100999999999999</v>
      </c>
      <c r="F2797">
        <v>6.2110000000000003</v>
      </c>
      <c r="G2797">
        <v>741.33</v>
      </c>
      <c r="H2797">
        <v>1.4657</v>
      </c>
    </row>
    <row r="2798" spans="2:8" x14ac:dyDescent="0.25">
      <c r="B2798">
        <v>1.4697</v>
      </c>
      <c r="C2798">
        <v>250</v>
      </c>
      <c r="D2798">
        <v>70.2</v>
      </c>
      <c r="E2798">
        <v>0.15978999999999999</v>
      </c>
      <c r="F2798">
        <v>6.258</v>
      </c>
      <c r="G2798">
        <v>744.13</v>
      </c>
      <c r="H2798">
        <v>1.4697</v>
      </c>
    </row>
    <row r="2799" spans="2:8" x14ac:dyDescent="0.25">
      <c r="B2799">
        <v>1.4736</v>
      </c>
      <c r="C2799">
        <v>255</v>
      </c>
      <c r="D2799">
        <v>70.2</v>
      </c>
      <c r="E2799">
        <v>0.15859999999999999</v>
      </c>
      <c r="F2799">
        <v>6.3049999999999997</v>
      </c>
      <c r="G2799">
        <v>746.93</v>
      </c>
      <c r="H2799">
        <v>1.4736</v>
      </c>
    </row>
    <row r="2800" spans="2:8" x14ac:dyDescent="0.25">
      <c r="B2800">
        <v>1.4775</v>
      </c>
      <c r="C2800">
        <v>260</v>
      </c>
      <c r="D2800">
        <v>70.2</v>
      </c>
      <c r="E2800">
        <v>0.15742999999999999</v>
      </c>
      <c r="F2800">
        <v>6.3520000000000003</v>
      </c>
      <c r="G2800">
        <v>749.74</v>
      </c>
      <c r="H2800">
        <v>1.4775</v>
      </c>
    </row>
    <row r="2801" spans="1:8" x14ac:dyDescent="0.25">
      <c r="B2801">
        <v>1.4814000000000001</v>
      </c>
      <c r="C2801">
        <v>265</v>
      </c>
      <c r="D2801">
        <v>70.2</v>
      </c>
      <c r="E2801">
        <v>0.15628</v>
      </c>
      <c r="F2801">
        <v>6.3987999999999996</v>
      </c>
      <c r="G2801">
        <v>752.55</v>
      </c>
      <c r="H2801">
        <v>1.4814000000000001</v>
      </c>
    </row>
    <row r="2802" spans="1:8" x14ac:dyDescent="0.25">
      <c r="B2802">
        <v>1.4853000000000001</v>
      </c>
      <c r="C2802">
        <v>270</v>
      </c>
      <c r="D2802">
        <v>70.2</v>
      </c>
      <c r="E2802">
        <v>0.15514</v>
      </c>
      <c r="F2802">
        <v>6.4457000000000004</v>
      </c>
      <c r="G2802">
        <v>755.36</v>
      </c>
      <c r="H2802">
        <v>1.4853000000000001</v>
      </c>
    </row>
    <row r="2803" spans="1:8" x14ac:dyDescent="0.25">
      <c r="B2803">
        <v>1.4891000000000001</v>
      </c>
      <c r="C2803">
        <v>275</v>
      </c>
      <c r="D2803">
        <v>70.2</v>
      </c>
      <c r="E2803">
        <v>0.15403</v>
      </c>
      <c r="F2803">
        <v>6.4923999999999999</v>
      </c>
      <c r="G2803">
        <v>758.17</v>
      </c>
      <c r="H2803">
        <v>1.4891000000000001</v>
      </c>
    </row>
    <row r="2804" spans="1:8" x14ac:dyDescent="0.25">
      <c r="B2804">
        <v>1.4930000000000001</v>
      </c>
      <c r="C2804">
        <v>280</v>
      </c>
      <c r="D2804">
        <v>70.2</v>
      </c>
      <c r="E2804">
        <v>0.15292</v>
      </c>
      <c r="F2804">
        <v>6.5392000000000001</v>
      </c>
      <c r="G2804">
        <v>760.99</v>
      </c>
      <c r="H2804">
        <v>1.4930000000000001</v>
      </c>
    </row>
    <row r="2805" spans="1:8" x14ac:dyDescent="0.25">
      <c r="B2805">
        <v>1.4967999999999999</v>
      </c>
      <c r="C2805">
        <v>285</v>
      </c>
      <c r="D2805">
        <v>70.2</v>
      </c>
      <c r="E2805">
        <v>0.15184</v>
      </c>
      <c r="F2805">
        <v>6.5857999999999999</v>
      </c>
      <c r="G2805">
        <v>763.82</v>
      </c>
      <c r="H2805">
        <v>1.4967999999999999</v>
      </c>
    </row>
    <row r="2806" spans="1:8" x14ac:dyDescent="0.25">
      <c r="B2806">
        <v>1.5004999999999999</v>
      </c>
      <c r="C2806">
        <v>290</v>
      </c>
      <c r="D2806">
        <v>70.2</v>
      </c>
      <c r="E2806">
        <v>0.15076999999999999</v>
      </c>
      <c r="F2806">
        <v>6.6325000000000003</v>
      </c>
      <c r="G2806">
        <v>766.65</v>
      </c>
      <c r="H2806">
        <v>1.5004999999999999</v>
      </c>
    </row>
    <row r="2807" spans="1:8" x14ac:dyDescent="0.25">
      <c r="B2807">
        <v>1.5043</v>
      </c>
      <c r="C2807">
        <v>295</v>
      </c>
      <c r="D2807">
        <v>70.2</v>
      </c>
      <c r="E2807">
        <v>0.14971999999999999</v>
      </c>
      <c r="F2807">
        <v>6.6791</v>
      </c>
      <c r="G2807">
        <v>769.48</v>
      </c>
      <c r="H2807">
        <v>1.5043</v>
      </c>
    </row>
    <row r="2808" spans="1:8" x14ac:dyDescent="0.25">
      <c r="B2808">
        <v>1.5081</v>
      </c>
      <c r="C2808">
        <v>300</v>
      </c>
      <c r="D2808">
        <v>70.2</v>
      </c>
      <c r="E2808">
        <v>0.14868999999999999</v>
      </c>
      <c r="F2808">
        <v>6.7256</v>
      </c>
      <c r="G2808">
        <v>772.31</v>
      </c>
      <c r="H2808">
        <v>1.5081</v>
      </c>
    </row>
    <row r="2810" spans="1:8" x14ac:dyDescent="0.25">
      <c r="A2810">
        <v>73.099999999999994</v>
      </c>
      <c r="B2810">
        <v>-2.5609E-2</v>
      </c>
      <c r="C2810">
        <v>-50</v>
      </c>
      <c r="D2810">
        <v>73.099999999999994</v>
      </c>
      <c r="E2810">
        <v>43.514000000000003</v>
      </c>
      <c r="F2810">
        <v>2.2981000000000001E-2</v>
      </c>
      <c r="G2810">
        <v>-10.351000000000001</v>
      </c>
      <c r="H2810">
        <v>-2.5609E-2</v>
      </c>
    </row>
    <row r="2811" spans="1:8" x14ac:dyDescent="0.25">
      <c r="B2811">
        <v>-1.2881E-2</v>
      </c>
      <c r="C2811">
        <v>-45</v>
      </c>
      <c r="D2811">
        <v>73.099999999999994</v>
      </c>
      <c r="E2811">
        <v>43.307000000000002</v>
      </c>
      <c r="F2811">
        <v>2.3091E-2</v>
      </c>
      <c r="G2811">
        <v>-5.1047000000000002</v>
      </c>
      <c r="H2811">
        <v>-1.2881E-2</v>
      </c>
    </row>
    <row r="2812" spans="1:8" x14ac:dyDescent="0.25">
      <c r="B2812">
        <v>-2.6323999999999998E-4</v>
      </c>
      <c r="C2812">
        <v>-40</v>
      </c>
      <c r="D2812">
        <v>73.099999999999994</v>
      </c>
      <c r="E2812">
        <v>43.097000000000001</v>
      </c>
      <c r="F2812">
        <v>2.3203000000000001E-2</v>
      </c>
      <c r="G2812">
        <v>0.15897</v>
      </c>
      <c r="H2812">
        <v>-2.6323999999999998E-4</v>
      </c>
    </row>
    <row r="2813" spans="1:8" x14ac:dyDescent="0.25">
      <c r="B2813">
        <v>1.2246E-2</v>
      </c>
      <c r="C2813">
        <v>-35</v>
      </c>
      <c r="D2813">
        <v>73.099999999999994</v>
      </c>
      <c r="E2813">
        <v>42.886000000000003</v>
      </c>
      <c r="F2813">
        <v>2.3317999999999998E-2</v>
      </c>
      <c r="G2813">
        <v>5.44</v>
      </c>
      <c r="H2813">
        <v>1.2246E-2</v>
      </c>
    </row>
    <row r="2814" spans="1:8" x14ac:dyDescent="0.25">
      <c r="B2814">
        <v>2.4649000000000001E-2</v>
      </c>
      <c r="C2814">
        <v>-30</v>
      </c>
      <c r="D2814">
        <v>73.099999999999994</v>
      </c>
      <c r="E2814">
        <v>42.673000000000002</v>
      </c>
      <c r="F2814">
        <v>2.3434E-2</v>
      </c>
      <c r="G2814">
        <v>10.738</v>
      </c>
      <c r="H2814">
        <v>2.4649000000000001E-2</v>
      </c>
    </row>
    <row r="2815" spans="1:8" x14ac:dyDescent="0.25">
      <c r="B2815">
        <v>3.6947000000000001E-2</v>
      </c>
      <c r="C2815">
        <v>-25</v>
      </c>
      <c r="D2815">
        <v>73.099999999999994</v>
      </c>
      <c r="E2815">
        <v>42.457999999999998</v>
      </c>
      <c r="F2815">
        <v>2.3553000000000001E-2</v>
      </c>
      <c r="G2815">
        <v>16.053000000000001</v>
      </c>
      <c r="H2815">
        <v>3.6947000000000001E-2</v>
      </c>
    </row>
    <row r="2816" spans="1:8" x14ac:dyDescent="0.25">
      <c r="B2816">
        <v>4.9142999999999999E-2</v>
      </c>
      <c r="C2816">
        <v>-20</v>
      </c>
      <c r="D2816">
        <v>73.099999999999994</v>
      </c>
      <c r="E2816">
        <v>42.241</v>
      </c>
      <c r="F2816">
        <v>2.3674000000000001E-2</v>
      </c>
      <c r="G2816">
        <v>21.384</v>
      </c>
      <c r="H2816">
        <v>4.9142999999999999E-2</v>
      </c>
    </row>
    <row r="2817" spans="2:8" x14ac:dyDescent="0.25">
      <c r="B2817">
        <v>6.1238000000000001E-2</v>
      </c>
      <c r="C2817">
        <v>-15</v>
      </c>
      <c r="D2817">
        <v>73.099999999999994</v>
      </c>
      <c r="E2817">
        <v>42.021999999999998</v>
      </c>
      <c r="F2817">
        <v>2.3796999999999999E-2</v>
      </c>
      <c r="G2817">
        <v>26.731999999999999</v>
      </c>
      <c r="H2817">
        <v>6.1238000000000001E-2</v>
      </c>
    </row>
    <row r="2818" spans="2:8" x14ac:dyDescent="0.25">
      <c r="B2818">
        <v>7.3233999999999994E-2</v>
      </c>
      <c r="C2818">
        <v>-10</v>
      </c>
      <c r="D2818">
        <v>73.099999999999994</v>
      </c>
      <c r="E2818">
        <v>41.802</v>
      </c>
      <c r="F2818">
        <v>2.3923E-2</v>
      </c>
      <c r="G2818">
        <v>32.097000000000001</v>
      </c>
      <c r="H2818">
        <v>7.3233999999999994E-2</v>
      </c>
    </row>
    <row r="2819" spans="2:8" x14ac:dyDescent="0.25">
      <c r="B2819">
        <v>8.5134000000000001E-2</v>
      </c>
      <c r="C2819">
        <v>-5</v>
      </c>
      <c r="D2819">
        <v>73.099999999999994</v>
      </c>
      <c r="E2819">
        <v>41.579000000000001</v>
      </c>
      <c r="F2819">
        <v>2.4050999999999999E-2</v>
      </c>
      <c r="G2819">
        <v>37.476999999999997</v>
      </c>
      <c r="H2819">
        <v>8.5134000000000001E-2</v>
      </c>
    </row>
    <row r="2820" spans="2:8" x14ac:dyDescent="0.25">
      <c r="B2820">
        <v>9.6938999999999997E-2</v>
      </c>
      <c r="C2820">
        <v>0</v>
      </c>
      <c r="D2820">
        <v>73.099999999999994</v>
      </c>
      <c r="E2820">
        <v>41.353999999999999</v>
      </c>
      <c r="F2820">
        <v>2.4181000000000001E-2</v>
      </c>
      <c r="G2820">
        <v>42.875</v>
      </c>
      <c r="H2820">
        <v>9.6938999999999997E-2</v>
      </c>
    </row>
    <row r="2821" spans="2:8" x14ac:dyDescent="0.25">
      <c r="B2821">
        <v>0.10865</v>
      </c>
      <c r="C2821">
        <v>5</v>
      </c>
      <c r="D2821">
        <v>73.099999999999994</v>
      </c>
      <c r="E2821">
        <v>41.128</v>
      </c>
      <c r="F2821">
        <v>2.4313999999999999E-2</v>
      </c>
      <c r="G2821">
        <v>48.287999999999997</v>
      </c>
      <c r="H2821">
        <v>0.10865</v>
      </c>
    </row>
    <row r="2822" spans="2:8" x14ac:dyDescent="0.25">
      <c r="B2822">
        <v>0.12028</v>
      </c>
      <c r="C2822">
        <v>10</v>
      </c>
      <c r="D2822">
        <v>73.099999999999994</v>
      </c>
      <c r="E2822">
        <v>40.899000000000001</v>
      </c>
      <c r="F2822">
        <v>2.445E-2</v>
      </c>
      <c r="G2822">
        <v>53.718000000000004</v>
      </c>
      <c r="H2822">
        <v>0.12028</v>
      </c>
    </row>
    <row r="2823" spans="2:8" x14ac:dyDescent="0.25">
      <c r="B2823">
        <v>0.13181000000000001</v>
      </c>
      <c r="C2823">
        <v>15</v>
      </c>
      <c r="D2823">
        <v>73.099999999999994</v>
      </c>
      <c r="E2823">
        <v>40.668999999999997</v>
      </c>
      <c r="F2823">
        <v>2.4589E-2</v>
      </c>
      <c r="G2823">
        <v>59.164999999999999</v>
      </c>
      <c r="H2823">
        <v>0.13181000000000001</v>
      </c>
    </row>
    <row r="2824" spans="2:8" x14ac:dyDescent="0.25">
      <c r="B2824">
        <v>0.14326</v>
      </c>
      <c r="C2824">
        <v>20</v>
      </c>
      <c r="D2824">
        <v>73.099999999999994</v>
      </c>
      <c r="E2824">
        <v>40.436</v>
      </c>
      <c r="F2824">
        <v>2.4729999999999999E-2</v>
      </c>
      <c r="G2824">
        <v>64.629000000000005</v>
      </c>
      <c r="H2824">
        <v>0.14326</v>
      </c>
    </row>
    <row r="2825" spans="2:8" x14ac:dyDescent="0.25">
      <c r="B2825">
        <v>0.15462999999999999</v>
      </c>
      <c r="C2825">
        <v>25</v>
      </c>
      <c r="D2825">
        <v>73.099999999999994</v>
      </c>
      <c r="E2825">
        <v>40.201000000000001</v>
      </c>
      <c r="F2825">
        <v>2.4875000000000001E-2</v>
      </c>
      <c r="G2825">
        <v>70.111000000000004</v>
      </c>
      <c r="H2825">
        <v>0.15462999999999999</v>
      </c>
    </row>
    <row r="2826" spans="2:8" x14ac:dyDescent="0.25">
      <c r="B2826">
        <v>0.16592000000000001</v>
      </c>
      <c r="C2826">
        <v>30</v>
      </c>
      <c r="D2826">
        <v>73.099999999999994</v>
      </c>
      <c r="E2826">
        <v>39.963999999999999</v>
      </c>
      <c r="F2826">
        <v>2.5023E-2</v>
      </c>
      <c r="G2826">
        <v>75.611000000000004</v>
      </c>
      <c r="H2826">
        <v>0.16592000000000001</v>
      </c>
    </row>
    <row r="2827" spans="2:8" x14ac:dyDescent="0.25">
      <c r="B2827">
        <v>0.17713000000000001</v>
      </c>
      <c r="C2827">
        <v>35</v>
      </c>
      <c r="D2827">
        <v>73.099999999999994</v>
      </c>
      <c r="E2827">
        <v>39.723999999999997</v>
      </c>
      <c r="F2827">
        <v>2.5173999999999998E-2</v>
      </c>
      <c r="G2827">
        <v>81.129000000000005</v>
      </c>
      <c r="H2827">
        <v>0.17713000000000001</v>
      </c>
    </row>
    <row r="2828" spans="2:8" x14ac:dyDescent="0.25">
      <c r="B2828">
        <v>1.2617</v>
      </c>
      <c r="C2828">
        <v>40</v>
      </c>
      <c r="D2828">
        <v>73.099999999999994</v>
      </c>
      <c r="E2828">
        <v>0.25119000000000002</v>
      </c>
      <c r="F2828">
        <v>3.9811000000000001</v>
      </c>
      <c r="G2828">
        <v>622.87</v>
      </c>
      <c r="H2828">
        <v>1.2617</v>
      </c>
    </row>
    <row r="2829" spans="2:8" x14ac:dyDescent="0.25">
      <c r="B2829">
        <v>1.2682</v>
      </c>
      <c r="C2829">
        <v>45</v>
      </c>
      <c r="D2829">
        <v>73.099999999999994</v>
      </c>
      <c r="E2829">
        <v>0.24776999999999999</v>
      </c>
      <c r="F2829">
        <v>4.0358999999999998</v>
      </c>
      <c r="G2829">
        <v>626.12</v>
      </c>
      <c r="H2829">
        <v>1.2682</v>
      </c>
    </row>
    <row r="2830" spans="2:8" x14ac:dyDescent="0.25">
      <c r="B2830">
        <v>1.2745</v>
      </c>
      <c r="C2830">
        <v>50</v>
      </c>
      <c r="D2830">
        <v>73.099999999999994</v>
      </c>
      <c r="E2830">
        <v>0.2445</v>
      </c>
      <c r="F2830">
        <v>4.09</v>
      </c>
      <c r="G2830">
        <v>629.33000000000004</v>
      </c>
      <c r="H2830">
        <v>1.2745</v>
      </c>
    </row>
    <row r="2831" spans="2:8" x14ac:dyDescent="0.25">
      <c r="B2831">
        <v>1.2806999999999999</v>
      </c>
      <c r="C2831">
        <v>55</v>
      </c>
      <c r="D2831">
        <v>73.099999999999994</v>
      </c>
      <c r="E2831">
        <v>0.24134</v>
      </c>
      <c r="F2831">
        <v>4.1435000000000004</v>
      </c>
      <c r="G2831">
        <v>632.49</v>
      </c>
      <c r="H2831">
        <v>1.2806999999999999</v>
      </c>
    </row>
    <row r="2832" spans="2:8" x14ac:dyDescent="0.25">
      <c r="B2832">
        <v>1.2867</v>
      </c>
      <c r="C2832">
        <v>60</v>
      </c>
      <c r="D2832">
        <v>73.099999999999994</v>
      </c>
      <c r="E2832">
        <v>0.23830000000000001</v>
      </c>
      <c r="F2832">
        <v>4.1962999999999999</v>
      </c>
      <c r="G2832">
        <v>635.6</v>
      </c>
      <c r="H2832">
        <v>1.2867</v>
      </c>
    </row>
    <row r="2833" spans="2:8" x14ac:dyDescent="0.25">
      <c r="B2833">
        <v>1.2926</v>
      </c>
      <c r="C2833">
        <v>65</v>
      </c>
      <c r="D2833">
        <v>73.099999999999994</v>
      </c>
      <c r="E2833">
        <v>0.23537</v>
      </c>
      <c r="F2833">
        <v>4.2485999999999997</v>
      </c>
      <c r="G2833">
        <v>638.69000000000005</v>
      </c>
      <c r="H2833">
        <v>1.2926</v>
      </c>
    </row>
    <row r="2834" spans="2:8" x14ac:dyDescent="0.25">
      <c r="B2834">
        <v>1.2984</v>
      </c>
      <c r="C2834">
        <v>70</v>
      </c>
      <c r="D2834">
        <v>73.099999999999994</v>
      </c>
      <c r="E2834">
        <v>0.23254</v>
      </c>
      <c r="F2834">
        <v>4.3003999999999998</v>
      </c>
      <c r="G2834">
        <v>641.74</v>
      </c>
      <c r="H2834">
        <v>1.2984</v>
      </c>
    </row>
    <row r="2835" spans="2:8" x14ac:dyDescent="0.25">
      <c r="B2835">
        <v>1.3041</v>
      </c>
      <c r="C2835">
        <v>75</v>
      </c>
      <c r="D2835">
        <v>73.099999999999994</v>
      </c>
      <c r="E2835">
        <v>0.2298</v>
      </c>
      <c r="F2835">
        <v>4.3517000000000001</v>
      </c>
      <c r="G2835">
        <v>644.76</v>
      </c>
      <c r="H2835">
        <v>1.3041</v>
      </c>
    </row>
    <row r="2836" spans="2:8" x14ac:dyDescent="0.25">
      <c r="B2836">
        <v>1.3097000000000001</v>
      </c>
      <c r="C2836">
        <v>80</v>
      </c>
      <c r="D2836">
        <v>73.099999999999994</v>
      </c>
      <c r="E2836">
        <v>0.22714000000000001</v>
      </c>
      <c r="F2836">
        <v>4.4025999999999996</v>
      </c>
      <c r="G2836">
        <v>647.76</v>
      </c>
      <c r="H2836">
        <v>1.3097000000000001</v>
      </c>
    </row>
    <row r="2837" spans="2:8" x14ac:dyDescent="0.25">
      <c r="B2837">
        <v>1.3150999999999999</v>
      </c>
      <c r="C2837">
        <v>85</v>
      </c>
      <c r="D2837">
        <v>73.099999999999994</v>
      </c>
      <c r="E2837">
        <v>0.22456000000000001</v>
      </c>
      <c r="F2837">
        <v>4.4531000000000001</v>
      </c>
      <c r="G2837">
        <v>650.73</v>
      </c>
      <c r="H2837">
        <v>1.3150999999999999</v>
      </c>
    </row>
    <row r="2838" spans="2:8" x14ac:dyDescent="0.25">
      <c r="B2838">
        <v>1.3205</v>
      </c>
      <c r="C2838">
        <v>90</v>
      </c>
      <c r="D2838">
        <v>73.099999999999994</v>
      </c>
      <c r="E2838">
        <v>0.22206000000000001</v>
      </c>
      <c r="F2838">
        <v>4.5031999999999996</v>
      </c>
      <c r="G2838">
        <v>653.67999999999995</v>
      </c>
      <c r="H2838">
        <v>1.3205</v>
      </c>
    </row>
    <row r="2839" spans="2:8" x14ac:dyDescent="0.25">
      <c r="B2839">
        <v>1.3258000000000001</v>
      </c>
      <c r="C2839">
        <v>95</v>
      </c>
      <c r="D2839">
        <v>73.099999999999994</v>
      </c>
      <c r="E2839">
        <v>0.21962999999999999</v>
      </c>
      <c r="F2839">
        <v>4.5529999999999999</v>
      </c>
      <c r="G2839">
        <v>656.61</v>
      </c>
      <c r="H2839">
        <v>1.3258000000000001</v>
      </c>
    </row>
    <row r="2840" spans="2:8" x14ac:dyDescent="0.25">
      <c r="B2840">
        <v>1.3310999999999999</v>
      </c>
      <c r="C2840">
        <v>100</v>
      </c>
      <c r="D2840">
        <v>73.099999999999994</v>
      </c>
      <c r="E2840">
        <v>0.21726999999999999</v>
      </c>
      <c r="F2840">
        <v>4.6025</v>
      </c>
      <c r="G2840">
        <v>659.52</v>
      </c>
      <c r="H2840">
        <v>1.3310999999999999</v>
      </c>
    </row>
    <row r="2841" spans="2:8" x14ac:dyDescent="0.25">
      <c r="B2841">
        <v>1.3362000000000001</v>
      </c>
      <c r="C2841">
        <v>105</v>
      </c>
      <c r="D2841">
        <v>73.099999999999994</v>
      </c>
      <c r="E2841">
        <v>0.21498</v>
      </c>
      <c r="F2841">
        <v>4.6516999999999999</v>
      </c>
      <c r="G2841">
        <v>662.42</v>
      </c>
      <c r="H2841">
        <v>1.3362000000000001</v>
      </c>
    </row>
    <row r="2842" spans="2:8" x14ac:dyDescent="0.25">
      <c r="B2842">
        <v>1.3412999999999999</v>
      </c>
      <c r="C2842">
        <v>110</v>
      </c>
      <c r="D2842">
        <v>73.099999999999994</v>
      </c>
      <c r="E2842">
        <v>0.21274000000000001</v>
      </c>
      <c r="F2842">
        <v>4.7005999999999997</v>
      </c>
      <c r="G2842">
        <v>665.3</v>
      </c>
      <c r="H2842">
        <v>1.3412999999999999</v>
      </c>
    </row>
    <row r="2843" spans="2:8" x14ac:dyDescent="0.25">
      <c r="B2843">
        <v>1.3463000000000001</v>
      </c>
      <c r="C2843">
        <v>115</v>
      </c>
      <c r="D2843">
        <v>73.099999999999994</v>
      </c>
      <c r="E2843">
        <v>0.21056</v>
      </c>
      <c r="F2843">
        <v>4.7492999999999999</v>
      </c>
      <c r="G2843">
        <v>668.17</v>
      </c>
      <c r="H2843">
        <v>1.3463000000000001</v>
      </c>
    </row>
    <row r="2844" spans="2:8" x14ac:dyDescent="0.25">
      <c r="B2844">
        <v>1.3512999999999999</v>
      </c>
      <c r="C2844">
        <v>120</v>
      </c>
      <c r="D2844">
        <v>73.099999999999994</v>
      </c>
      <c r="E2844">
        <v>0.20843</v>
      </c>
      <c r="F2844">
        <v>4.7976999999999999</v>
      </c>
      <c r="G2844">
        <v>671.03</v>
      </c>
      <c r="H2844">
        <v>1.3512999999999999</v>
      </c>
    </row>
    <row r="2845" spans="2:8" x14ac:dyDescent="0.25">
      <c r="B2845">
        <v>1.3562000000000001</v>
      </c>
      <c r="C2845">
        <v>125</v>
      </c>
      <c r="D2845">
        <v>73.099999999999994</v>
      </c>
      <c r="E2845">
        <v>0.20635999999999999</v>
      </c>
      <c r="F2845">
        <v>4.8459000000000003</v>
      </c>
      <c r="G2845">
        <v>673.88</v>
      </c>
      <c r="H2845">
        <v>1.3562000000000001</v>
      </c>
    </row>
    <row r="2846" spans="2:8" x14ac:dyDescent="0.25">
      <c r="B2846">
        <v>1.361</v>
      </c>
      <c r="C2846">
        <v>130</v>
      </c>
      <c r="D2846">
        <v>73.099999999999994</v>
      </c>
      <c r="E2846">
        <v>0.20433999999999999</v>
      </c>
      <c r="F2846">
        <v>4.8939000000000004</v>
      </c>
      <c r="G2846">
        <v>676.72</v>
      </c>
      <c r="H2846">
        <v>1.361</v>
      </c>
    </row>
    <row r="2847" spans="2:8" x14ac:dyDescent="0.25">
      <c r="B2847">
        <v>1.3657999999999999</v>
      </c>
      <c r="C2847">
        <v>135</v>
      </c>
      <c r="D2847">
        <v>73.099999999999994</v>
      </c>
      <c r="E2847">
        <v>0.20236000000000001</v>
      </c>
      <c r="F2847">
        <v>4.9417</v>
      </c>
      <c r="G2847">
        <v>679.55</v>
      </c>
      <c r="H2847">
        <v>1.3657999999999999</v>
      </c>
    </row>
    <row r="2848" spans="2:8" x14ac:dyDescent="0.25">
      <c r="B2848">
        <v>1.3705000000000001</v>
      </c>
      <c r="C2848">
        <v>140</v>
      </c>
      <c r="D2848">
        <v>73.099999999999994</v>
      </c>
      <c r="E2848">
        <v>0.20043</v>
      </c>
      <c r="F2848">
        <v>4.9893000000000001</v>
      </c>
      <c r="G2848">
        <v>682.38</v>
      </c>
      <c r="H2848">
        <v>1.3705000000000001</v>
      </c>
    </row>
    <row r="2849" spans="2:8" x14ac:dyDescent="0.25">
      <c r="B2849">
        <v>1.3752</v>
      </c>
      <c r="C2849">
        <v>145</v>
      </c>
      <c r="D2849">
        <v>73.099999999999994</v>
      </c>
      <c r="E2849">
        <v>0.19853999999999999</v>
      </c>
      <c r="F2849">
        <v>5.0366999999999997</v>
      </c>
      <c r="G2849">
        <v>685.19</v>
      </c>
      <c r="H2849">
        <v>1.3752</v>
      </c>
    </row>
    <row r="2850" spans="2:8" x14ac:dyDescent="0.25">
      <c r="B2850">
        <v>1.3797999999999999</v>
      </c>
      <c r="C2850">
        <v>150</v>
      </c>
      <c r="D2850">
        <v>73.099999999999994</v>
      </c>
      <c r="E2850">
        <v>0.19670000000000001</v>
      </c>
      <c r="F2850">
        <v>5.0839999999999996</v>
      </c>
      <c r="G2850">
        <v>688.01</v>
      </c>
      <c r="H2850">
        <v>1.3797999999999999</v>
      </c>
    </row>
    <row r="2851" spans="2:8" x14ac:dyDescent="0.25">
      <c r="B2851">
        <v>1.3844000000000001</v>
      </c>
      <c r="C2851">
        <v>155</v>
      </c>
      <c r="D2851">
        <v>73.099999999999994</v>
      </c>
      <c r="E2851">
        <v>0.19489000000000001</v>
      </c>
      <c r="F2851">
        <v>5.1311</v>
      </c>
      <c r="G2851">
        <v>690.81</v>
      </c>
      <c r="H2851">
        <v>1.3844000000000001</v>
      </c>
    </row>
    <row r="2852" spans="2:8" x14ac:dyDescent="0.25">
      <c r="B2852">
        <v>1.3889</v>
      </c>
      <c r="C2852">
        <v>160</v>
      </c>
      <c r="D2852">
        <v>73.099999999999994</v>
      </c>
      <c r="E2852">
        <v>0.19312000000000001</v>
      </c>
      <c r="F2852">
        <v>5.1780999999999997</v>
      </c>
      <c r="G2852">
        <v>693.62</v>
      </c>
      <c r="H2852">
        <v>1.3889</v>
      </c>
    </row>
    <row r="2853" spans="2:8" x14ac:dyDescent="0.25">
      <c r="B2853">
        <v>1.3934</v>
      </c>
      <c r="C2853">
        <v>165</v>
      </c>
      <c r="D2853">
        <v>73.099999999999994</v>
      </c>
      <c r="E2853">
        <v>0.19139</v>
      </c>
      <c r="F2853">
        <v>5.2248999999999999</v>
      </c>
      <c r="G2853">
        <v>696.41</v>
      </c>
      <c r="H2853">
        <v>1.3934</v>
      </c>
    </row>
    <row r="2854" spans="2:8" x14ac:dyDescent="0.25">
      <c r="B2854">
        <v>1.3978999999999999</v>
      </c>
      <c r="C2854">
        <v>170</v>
      </c>
      <c r="D2854">
        <v>73.099999999999994</v>
      </c>
      <c r="E2854">
        <v>0.18970000000000001</v>
      </c>
      <c r="F2854">
        <v>5.2716000000000003</v>
      </c>
      <c r="G2854">
        <v>699.21</v>
      </c>
      <c r="H2854">
        <v>1.3978999999999999</v>
      </c>
    </row>
    <row r="2855" spans="2:8" x14ac:dyDescent="0.25">
      <c r="B2855">
        <v>1.4023000000000001</v>
      </c>
      <c r="C2855">
        <v>175</v>
      </c>
      <c r="D2855">
        <v>73.099999999999994</v>
      </c>
      <c r="E2855">
        <v>0.18803</v>
      </c>
      <c r="F2855">
        <v>5.3182</v>
      </c>
      <c r="G2855">
        <v>702.01</v>
      </c>
      <c r="H2855">
        <v>1.4023000000000001</v>
      </c>
    </row>
    <row r="2856" spans="2:8" x14ac:dyDescent="0.25">
      <c r="B2856">
        <v>1.4067000000000001</v>
      </c>
      <c r="C2856">
        <v>180</v>
      </c>
      <c r="D2856">
        <v>73.099999999999994</v>
      </c>
      <c r="E2856">
        <v>0.18640999999999999</v>
      </c>
      <c r="F2856">
        <v>5.3646000000000003</v>
      </c>
      <c r="G2856">
        <v>704.8</v>
      </c>
      <c r="H2856">
        <v>1.4067000000000001</v>
      </c>
    </row>
    <row r="2857" spans="2:8" x14ac:dyDescent="0.25">
      <c r="B2857">
        <v>1.4111</v>
      </c>
      <c r="C2857">
        <v>185</v>
      </c>
      <c r="D2857">
        <v>73.099999999999994</v>
      </c>
      <c r="E2857">
        <v>0.18481</v>
      </c>
      <c r="F2857">
        <v>5.4109999999999996</v>
      </c>
      <c r="G2857">
        <v>707.59</v>
      </c>
      <c r="H2857">
        <v>1.4111</v>
      </c>
    </row>
    <row r="2858" spans="2:8" x14ac:dyDescent="0.25">
      <c r="B2858">
        <v>1.4154</v>
      </c>
      <c r="C2858">
        <v>190</v>
      </c>
      <c r="D2858">
        <v>73.099999999999994</v>
      </c>
      <c r="E2858">
        <v>0.18323999999999999</v>
      </c>
      <c r="F2858">
        <v>5.4572000000000003</v>
      </c>
      <c r="G2858">
        <v>710.38</v>
      </c>
      <c r="H2858">
        <v>1.4154</v>
      </c>
    </row>
    <row r="2859" spans="2:8" x14ac:dyDescent="0.25">
      <c r="B2859">
        <v>1.4196</v>
      </c>
      <c r="C2859">
        <v>195</v>
      </c>
      <c r="D2859">
        <v>73.099999999999994</v>
      </c>
      <c r="E2859">
        <v>0.18171000000000001</v>
      </c>
      <c r="F2859">
        <v>5.5033000000000003</v>
      </c>
      <c r="G2859">
        <v>713.17</v>
      </c>
      <c r="H2859">
        <v>1.4196</v>
      </c>
    </row>
    <row r="2860" spans="2:8" x14ac:dyDescent="0.25">
      <c r="B2860">
        <v>1.4238999999999999</v>
      </c>
      <c r="C2860">
        <v>200</v>
      </c>
      <c r="D2860">
        <v>73.099999999999994</v>
      </c>
      <c r="E2860">
        <v>0.1802</v>
      </c>
      <c r="F2860">
        <v>5.5494000000000003</v>
      </c>
      <c r="G2860">
        <v>715.96</v>
      </c>
      <c r="H2860">
        <v>1.4238999999999999</v>
      </c>
    </row>
    <row r="2861" spans="2:8" x14ac:dyDescent="0.25">
      <c r="B2861">
        <v>1.4280999999999999</v>
      </c>
      <c r="C2861">
        <v>205</v>
      </c>
      <c r="D2861">
        <v>73.099999999999994</v>
      </c>
      <c r="E2861">
        <v>0.17871999999999999</v>
      </c>
      <c r="F2861">
        <v>5.5952999999999999</v>
      </c>
      <c r="G2861">
        <v>718.75</v>
      </c>
      <c r="H2861">
        <v>1.4280999999999999</v>
      </c>
    </row>
    <row r="2862" spans="2:8" x14ac:dyDescent="0.25">
      <c r="B2862">
        <v>1.4322999999999999</v>
      </c>
      <c r="C2862">
        <v>210</v>
      </c>
      <c r="D2862">
        <v>73.099999999999994</v>
      </c>
      <c r="E2862">
        <v>0.17727000000000001</v>
      </c>
      <c r="F2862">
        <v>5.6412000000000004</v>
      </c>
      <c r="G2862">
        <v>721.53</v>
      </c>
      <c r="H2862">
        <v>1.4322999999999999</v>
      </c>
    </row>
    <row r="2863" spans="2:8" x14ac:dyDescent="0.25">
      <c r="B2863">
        <v>1.4363999999999999</v>
      </c>
      <c r="C2863">
        <v>215</v>
      </c>
      <c r="D2863">
        <v>73.099999999999994</v>
      </c>
      <c r="E2863">
        <v>0.17584</v>
      </c>
      <c r="F2863">
        <v>5.6868999999999996</v>
      </c>
      <c r="G2863">
        <v>724.33</v>
      </c>
      <c r="H2863">
        <v>1.4363999999999999</v>
      </c>
    </row>
    <row r="2864" spans="2:8" x14ac:dyDescent="0.25">
      <c r="B2864">
        <v>1.4406000000000001</v>
      </c>
      <c r="C2864">
        <v>220</v>
      </c>
      <c r="D2864">
        <v>73.099999999999994</v>
      </c>
      <c r="E2864">
        <v>0.17444000000000001</v>
      </c>
      <c r="F2864">
        <v>5.7325999999999997</v>
      </c>
      <c r="G2864">
        <v>727.12</v>
      </c>
      <c r="H2864">
        <v>1.4406000000000001</v>
      </c>
    </row>
    <row r="2865" spans="2:8" x14ac:dyDescent="0.25">
      <c r="B2865">
        <v>1.4446000000000001</v>
      </c>
      <c r="C2865">
        <v>225</v>
      </c>
      <c r="D2865">
        <v>73.099999999999994</v>
      </c>
      <c r="E2865">
        <v>0.17305999999999999</v>
      </c>
      <c r="F2865">
        <v>5.7782</v>
      </c>
      <c r="G2865">
        <v>729.91</v>
      </c>
      <c r="H2865">
        <v>1.4446000000000001</v>
      </c>
    </row>
    <row r="2866" spans="2:8" x14ac:dyDescent="0.25">
      <c r="B2866">
        <v>1.4487000000000001</v>
      </c>
      <c r="C2866">
        <v>230</v>
      </c>
      <c r="D2866">
        <v>73.099999999999994</v>
      </c>
      <c r="E2866">
        <v>0.17171</v>
      </c>
      <c r="F2866">
        <v>5.8238000000000003</v>
      </c>
      <c r="G2866">
        <v>732.7</v>
      </c>
      <c r="H2866">
        <v>1.4487000000000001</v>
      </c>
    </row>
    <row r="2867" spans="2:8" x14ac:dyDescent="0.25">
      <c r="B2867">
        <v>1.4528000000000001</v>
      </c>
      <c r="C2867">
        <v>235</v>
      </c>
      <c r="D2867">
        <v>73.099999999999994</v>
      </c>
      <c r="E2867">
        <v>0.17038</v>
      </c>
      <c r="F2867">
        <v>5.8692000000000002</v>
      </c>
      <c r="G2867">
        <v>735.5</v>
      </c>
      <c r="H2867">
        <v>1.4528000000000001</v>
      </c>
    </row>
    <row r="2868" spans="2:8" x14ac:dyDescent="0.25">
      <c r="B2868">
        <v>1.4568000000000001</v>
      </c>
      <c r="C2868">
        <v>240</v>
      </c>
      <c r="D2868">
        <v>73.099999999999994</v>
      </c>
      <c r="E2868">
        <v>0.16907</v>
      </c>
      <c r="F2868">
        <v>5.9146000000000001</v>
      </c>
      <c r="G2868">
        <v>738.3</v>
      </c>
      <c r="H2868">
        <v>1.4568000000000001</v>
      </c>
    </row>
    <row r="2869" spans="2:8" x14ac:dyDescent="0.25">
      <c r="B2869">
        <v>1.4608000000000001</v>
      </c>
      <c r="C2869">
        <v>245</v>
      </c>
      <c r="D2869">
        <v>73.099999999999994</v>
      </c>
      <c r="E2869">
        <v>0.16778999999999999</v>
      </c>
      <c r="F2869">
        <v>5.96</v>
      </c>
      <c r="G2869">
        <v>741.1</v>
      </c>
      <c r="H2869">
        <v>1.4608000000000001</v>
      </c>
    </row>
    <row r="2870" spans="2:8" x14ac:dyDescent="0.25">
      <c r="B2870">
        <v>1.4646999999999999</v>
      </c>
      <c r="C2870">
        <v>250</v>
      </c>
      <c r="D2870">
        <v>73.099999999999994</v>
      </c>
      <c r="E2870">
        <v>0.16652</v>
      </c>
      <c r="F2870">
        <v>6.0052000000000003</v>
      </c>
      <c r="G2870">
        <v>743.91</v>
      </c>
      <c r="H2870">
        <v>1.4646999999999999</v>
      </c>
    </row>
    <row r="2871" spans="2:8" x14ac:dyDescent="0.25">
      <c r="B2871">
        <v>1.4686999999999999</v>
      </c>
      <c r="C2871">
        <v>255</v>
      </c>
      <c r="D2871">
        <v>73.099999999999994</v>
      </c>
      <c r="E2871">
        <v>0.16528000000000001</v>
      </c>
      <c r="F2871">
        <v>6.0505000000000004</v>
      </c>
      <c r="G2871">
        <v>746.71</v>
      </c>
      <c r="H2871">
        <v>1.4686999999999999</v>
      </c>
    </row>
    <row r="2872" spans="2:8" x14ac:dyDescent="0.25">
      <c r="B2872">
        <v>1.4725999999999999</v>
      </c>
      <c r="C2872">
        <v>260</v>
      </c>
      <c r="D2872">
        <v>73.099999999999994</v>
      </c>
      <c r="E2872">
        <v>0.16405</v>
      </c>
      <c r="F2872">
        <v>6.0956000000000001</v>
      </c>
      <c r="G2872">
        <v>749.52</v>
      </c>
      <c r="H2872">
        <v>1.4725999999999999</v>
      </c>
    </row>
    <row r="2873" spans="2:8" x14ac:dyDescent="0.25">
      <c r="B2873">
        <v>1.4764999999999999</v>
      </c>
      <c r="C2873">
        <v>265</v>
      </c>
      <c r="D2873">
        <v>73.099999999999994</v>
      </c>
      <c r="E2873">
        <v>0.16284999999999999</v>
      </c>
      <c r="F2873">
        <v>6.1406999999999998</v>
      </c>
      <c r="G2873">
        <v>752.33</v>
      </c>
      <c r="H2873">
        <v>1.4764999999999999</v>
      </c>
    </row>
    <row r="2874" spans="2:8" x14ac:dyDescent="0.25">
      <c r="B2874">
        <v>1.4803999999999999</v>
      </c>
      <c r="C2874">
        <v>270</v>
      </c>
      <c r="D2874">
        <v>73.099999999999994</v>
      </c>
      <c r="E2874">
        <v>0.16166</v>
      </c>
      <c r="F2874">
        <v>6.1858000000000004</v>
      </c>
      <c r="G2874">
        <v>755.15</v>
      </c>
      <c r="H2874">
        <v>1.4803999999999999</v>
      </c>
    </row>
    <row r="2875" spans="2:8" x14ac:dyDescent="0.25">
      <c r="B2875">
        <v>1.4842</v>
      </c>
      <c r="C2875">
        <v>275</v>
      </c>
      <c r="D2875">
        <v>73.099999999999994</v>
      </c>
      <c r="E2875">
        <v>0.16048999999999999</v>
      </c>
      <c r="F2875">
        <v>6.2308000000000003</v>
      </c>
      <c r="G2875">
        <v>757.97</v>
      </c>
      <c r="H2875">
        <v>1.4842</v>
      </c>
    </row>
    <row r="2876" spans="2:8" x14ac:dyDescent="0.25">
      <c r="B2876">
        <v>1.488</v>
      </c>
      <c r="C2876">
        <v>280</v>
      </c>
      <c r="D2876">
        <v>73.099999999999994</v>
      </c>
      <c r="E2876">
        <v>0.15934000000000001</v>
      </c>
      <c r="F2876">
        <v>6.2756999999999996</v>
      </c>
      <c r="G2876">
        <v>760.79</v>
      </c>
      <c r="H2876">
        <v>1.488</v>
      </c>
    </row>
    <row r="2877" spans="2:8" x14ac:dyDescent="0.25">
      <c r="B2877">
        <v>1.4918</v>
      </c>
      <c r="C2877">
        <v>285</v>
      </c>
      <c r="D2877">
        <v>73.099999999999994</v>
      </c>
      <c r="E2877">
        <v>0.15820999999999999</v>
      </c>
      <c r="F2877">
        <v>6.3205999999999998</v>
      </c>
      <c r="G2877">
        <v>763.62</v>
      </c>
      <c r="H2877">
        <v>1.4918</v>
      </c>
    </row>
    <row r="2878" spans="2:8" x14ac:dyDescent="0.25">
      <c r="B2878">
        <v>1.4956</v>
      </c>
      <c r="C2878">
        <v>290</v>
      </c>
      <c r="D2878">
        <v>73.099999999999994</v>
      </c>
      <c r="E2878">
        <v>0.15709999999999999</v>
      </c>
      <c r="F2878">
        <v>6.3654999999999999</v>
      </c>
      <c r="G2878">
        <v>766.45</v>
      </c>
      <c r="H2878">
        <v>1.4956</v>
      </c>
    </row>
    <row r="2879" spans="2:8" x14ac:dyDescent="0.25">
      <c r="B2879">
        <v>1.4994000000000001</v>
      </c>
      <c r="C2879">
        <v>295</v>
      </c>
      <c r="D2879">
        <v>73.099999999999994</v>
      </c>
      <c r="E2879">
        <v>0.156</v>
      </c>
      <c r="F2879">
        <v>6.4103000000000003</v>
      </c>
      <c r="G2879">
        <v>769.29</v>
      </c>
      <c r="H2879">
        <v>1.4994000000000001</v>
      </c>
    </row>
    <row r="2880" spans="2:8" x14ac:dyDescent="0.25">
      <c r="B2880">
        <v>1.5032000000000001</v>
      </c>
      <c r="C2880">
        <v>300</v>
      </c>
      <c r="D2880">
        <v>73.099999999999994</v>
      </c>
      <c r="E2880">
        <v>0.15492</v>
      </c>
      <c r="F2880">
        <v>6.4550999999999998</v>
      </c>
      <c r="G2880">
        <v>772.13</v>
      </c>
      <c r="H2880">
        <v>1.5032000000000001</v>
      </c>
    </row>
    <row r="2882" spans="1:8" x14ac:dyDescent="0.25">
      <c r="A2882">
        <v>81.7</v>
      </c>
      <c r="B2882">
        <v>-2.5644E-2</v>
      </c>
      <c r="C2882">
        <v>-50</v>
      </c>
      <c r="D2882">
        <v>81.7</v>
      </c>
      <c r="E2882">
        <v>43.515999999999998</v>
      </c>
      <c r="F2882">
        <v>2.298E-2</v>
      </c>
      <c r="G2882">
        <v>-10.327999999999999</v>
      </c>
      <c r="H2882">
        <v>-2.5644E-2</v>
      </c>
    </row>
    <row r="2883" spans="1:8" x14ac:dyDescent="0.25">
      <c r="B2883">
        <v>-1.2916E-2</v>
      </c>
      <c r="C2883">
        <v>-45</v>
      </c>
      <c r="D2883">
        <v>81.7</v>
      </c>
      <c r="E2883">
        <v>43.308</v>
      </c>
      <c r="F2883">
        <v>2.3089999999999999E-2</v>
      </c>
      <c r="G2883">
        <v>-5.0826000000000002</v>
      </c>
      <c r="H2883">
        <v>-1.2916E-2</v>
      </c>
    </row>
    <row r="2884" spans="1:8" x14ac:dyDescent="0.25">
      <c r="B2884">
        <v>-2.9930000000000001E-4</v>
      </c>
      <c r="C2884">
        <v>-40</v>
      </c>
      <c r="D2884">
        <v>81.7</v>
      </c>
      <c r="E2884">
        <v>43.098999999999997</v>
      </c>
      <c r="F2884">
        <v>2.3202E-2</v>
      </c>
      <c r="G2884">
        <v>0.18079000000000001</v>
      </c>
      <c r="H2884">
        <v>-2.9930000000000001E-4</v>
      </c>
    </row>
    <row r="2885" spans="1:8" x14ac:dyDescent="0.25">
      <c r="B2885">
        <v>1.2208999999999999E-2</v>
      </c>
      <c r="C2885">
        <v>-35</v>
      </c>
      <c r="D2885">
        <v>81.7</v>
      </c>
      <c r="E2885">
        <v>42.887999999999998</v>
      </c>
      <c r="F2885">
        <v>2.3317000000000001E-2</v>
      </c>
      <c r="G2885">
        <v>5.4615</v>
      </c>
      <c r="H2885">
        <v>1.2208999999999999E-2</v>
      </c>
    </row>
    <row r="2886" spans="1:8" x14ac:dyDescent="0.25">
      <c r="B2886">
        <v>2.4611000000000001E-2</v>
      </c>
      <c r="C2886">
        <v>-30</v>
      </c>
      <c r="D2886">
        <v>81.7</v>
      </c>
      <c r="E2886">
        <v>42.674999999999997</v>
      </c>
      <c r="F2886">
        <v>2.3432999999999999E-2</v>
      </c>
      <c r="G2886">
        <v>10.759</v>
      </c>
      <c r="H2886">
        <v>2.4611000000000001E-2</v>
      </c>
    </row>
    <row r="2887" spans="1:8" x14ac:dyDescent="0.25">
      <c r="B2887">
        <v>3.6908999999999997E-2</v>
      </c>
      <c r="C2887">
        <v>-25</v>
      </c>
      <c r="D2887">
        <v>81.7</v>
      </c>
      <c r="E2887">
        <v>42.46</v>
      </c>
      <c r="F2887">
        <v>2.3552E-2</v>
      </c>
      <c r="G2887">
        <v>16.074000000000002</v>
      </c>
      <c r="H2887">
        <v>3.6908999999999997E-2</v>
      </c>
    </row>
    <row r="2888" spans="1:8" x14ac:dyDescent="0.25">
      <c r="B2888">
        <v>4.9104000000000002E-2</v>
      </c>
      <c r="C2888">
        <v>-20</v>
      </c>
      <c r="D2888">
        <v>81.7</v>
      </c>
      <c r="E2888">
        <v>42.243000000000002</v>
      </c>
      <c r="F2888">
        <v>2.3673E-2</v>
      </c>
      <c r="G2888">
        <v>21.405000000000001</v>
      </c>
      <c r="H2888">
        <v>4.9104000000000002E-2</v>
      </c>
    </row>
    <row r="2889" spans="1:8" x14ac:dyDescent="0.25">
      <c r="B2889">
        <v>6.1198000000000002E-2</v>
      </c>
      <c r="C2889">
        <v>-15</v>
      </c>
      <c r="D2889">
        <v>81.7</v>
      </c>
      <c r="E2889">
        <v>42.024000000000001</v>
      </c>
      <c r="F2889">
        <v>2.3796000000000001E-2</v>
      </c>
      <c r="G2889">
        <v>26.753</v>
      </c>
      <c r="H2889">
        <v>6.1198000000000002E-2</v>
      </c>
    </row>
    <row r="2890" spans="1:8" x14ac:dyDescent="0.25">
      <c r="B2890">
        <v>7.3193999999999995E-2</v>
      </c>
      <c r="C2890">
        <v>-10</v>
      </c>
      <c r="D2890">
        <v>81.7</v>
      </c>
      <c r="E2890">
        <v>41.804000000000002</v>
      </c>
      <c r="F2890">
        <v>2.3921000000000001E-2</v>
      </c>
      <c r="G2890">
        <v>32.116999999999997</v>
      </c>
      <c r="H2890">
        <v>7.3193999999999995E-2</v>
      </c>
    </row>
    <row r="2891" spans="1:8" x14ac:dyDescent="0.25">
      <c r="B2891">
        <v>8.5093000000000002E-2</v>
      </c>
      <c r="C2891">
        <v>-5</v>
      </c>
      <c r="D2891">
        <v>81.7</v>
      </c>
      <c r="E2891">
        <v>41.581000000000003</v>
      </c>
      <c r="F2891">
        <v>2.4049000000000001E-2</v>
      </c>
      <c r="G2891">
        <v>37.497</v>
      </c>
      <c r="H2891">
        <v>8.5093000000000002E-2</v>
      </c>
    </row>
    <row r="2892" spans="1:8" x14ac:dyDescent="0.25">
      <c r="B2892">
        <v>9.6896999999999997E-2</v>
      </c>
      <c r="C2892">
        <v>0</v>
      </c>
      <c r="D2892">
        <v>81.7</v>
      </c>
      <c r="E2892">
        <v>41.356999999999999</v>
      </c>
      <c r="F2892">
        <v>2.418E-2</v>
      </c>
      <c r="G2892">
        <v>42.893999999999998</v>
      </c>
      <c r="H2892">
        <v>9.6896999999999997E-2</v>
      </c>
    </row>
    <row r="2893" spans="1:8" x14ac:dyDescent="0.25">
      <c r="B2893">
        <v>0.10861</v>
      </c>
      <c r="C2893">
        <v>5</v>
      </c>
      <c r="D2893">
        <v>81.7</v>
      </c>
      <c r="E2893">
        <v>41.13</v>
      </c>
      <c r="F2893">
        <v>2.4313000000000001E-2</v>
      </c>
      <c r="G2893">
        <v>48.307000000000002</v>
      </c>
      <c r="H2893">
        <v>0.10861</v>
      </c>
    </row>
    <row r="2894" spans="1:8" x14ac:dyDescent="0.25">
      <c r="B2894">
        <v>0.12023</v>
      </c>
      <c r="C2894">
        <v>10</v>
      </c>
      <c r="D2894">
        <v>81.7</v>
      </c>
      <c r="E2894">
        <v>40.902000000000001</v>
      </c>
      <c r="F2894">
        <v>2.4448999999999999E-2</v>
      </c>
      <c r="G2894">
        <v>53.737000000000002</v>
      </c>
      <c r="H2894">
        <v>0.12023</v>
      </c>
    </row>
    <row r="2895" spans="1:8" x14ac:dyDescent="0.25">
      <c r="B2895">
        <v>0.13177</v>
      </c>
      <c r="C2895">
        <v>15</v>
      </c>
      <c r="D2895">
        <v>81.7</v>
      </c>
      <c r="E2895">
        <v>40.670999999999999</v>
      </c>
      <c r="F2895">
        <v>2.4587999999999999E-2</v>
      </c>
      <c r="G2895">
        <v>59.183</v>
      </c>
      <c r="H2895">
        <v>0.13177</v>
      </c>
    </row>
    <row r="2896" spans="1:8" x14ac:dyDescent="0.25">
      <c r="B2896">
        <v>0.14321999999999999</v>
      </c>
      <c r="C2896">
        <v>20</v>
      </c>
      <c r="D2896">
        <v>81.7</v>
      </c>
      <c r="E2896">
        <v>40.438000000000002</v>
      </c>
      <c r="F2896">
        <v>2.4729000000000001E-2</v>
      </c>
      <c r="G2896">
        <v>64.647000000000006</v>
      </c>
      <c r="H2896">
        <v>0.14321999999999999</v>
      </c>
    </row>
    <row r="2897" spans="2:8" x14ac:dyDescent="0.25">
      <c r="B2897">
        <v>0.15459000000000001</v>
      </c>
      <c r="C2897">
        <v>25</v>
      </c>
      <c r="D2897">
        <v>81.7</v>
      </c>
      <c r="E2897">
        <v>40.203000000000003</v>
      </c>
      <c r="F2897">
        <v>2.4874E-2</v>
      </c>
      <c r="G2897">
        <v>70.128</v>
      </c>
      <c r="H2897">
        <v>0.15459000000000001</v>
      </c>
    </row>
    <row r="2898" spans="2:8" x14ac:dyDescent="0.25">
      <c r="B2898">
        <v>0.16586999999999999</v>
      </c>
      <c r="C2898">
        <v>30</v>
      </c>
      <c r="D2898">
        <v>81.7</v>
      </c>
      <c r="E2898">
        <v>39.966000000000001</v>
      </c>
      <c r="F2898">
        <v>2.5021000000000002E-2</v>
      </c>
      <c r="G2898">
        <v>75.626999999999995</v>
      </c>
      <c r="H2898">
        <v>0.16586999999999999</v>
      </c>
    </row>
    <row r="2899" spans="2:8" x14ac:dyDescent="0.25">
      <c r="B2899">
        <v>0.17707999999999999</v>
      </c>
      <c r="C2899">
        <v>35</v>
      </c>
      <c r="D2899">
        <v>81.7</v>
      </c>
      <c r="E2899">
        <v>39.726999999999997</v>
      </c>
      <c r="F2899">
        <v>2.5172E-2</v>
      </c>
      <c r="G2899">
        <v>81.144999999999996</v>
      </c>
      <c r="H2899">
        <v>0.17707999999999999</v>
      </c>
    </row>
    <row r="2900" spans="2:8" x14ac:dyDescent="0.25">
      <c r="B2900">
        <v>0.18822</v>
      </c>
      <c r="C2900">
        <v>40</v>
      </c>
      <c r="D2900">
        <v>81.7</v>
      </c>
      <c r="E2900">
        <v>39.484000000000002</v>
      </c>
      <c r="F2900">
        <v>2.5326000000000001E-2</v>
      </c>
      <c r="G2900">
        <v>86.680999999999997</v>
      </c>
      <c r="H2900">
        <v>0.18822</v>
      </c>
    </row>
    <row r="2901" spans="2:8" x14ac:dyDescent="0.25">
      <c r="B2901">
        <v>0.19928999999999999</v>
      </c>
      <c r="C2901">
        <v>45</v>
      </c>
      <c r="D2901">
        <v>81.7</v>
      </c>
      <c r="E2901">
        <v>39.24</v>
      </c>
      <c r="F2901">
        <v>2.5484E-2</v>
      </c>
      <c r="G2901">
        <v>92.238</v>
      </c>
      <c r="H2901">
        <v>0.19928999999999999</v>
      </c>
    </row>
    <row r="2902" spans="2:8" x14ac:dyDescent="0.25">
      <c r="B2902">
        <v>1.2581</v>
      </c>
      <c r="C2902">
        <v>50</v>
      </c>
      <c r="D2902">
        <v>81.7</v>
      </c>
      <c r="E2902">
        <v>0.27592</v>
      </c>
      <c r="F2902">
        <v>3.6242999999999999</v>
      </c>
      <c r="G2902">
        <v>627.08000000000004</v>
      </c>
      <c r="H2902">
        <v>1.2581</v>
      </c>
    </row>
    <row r="2903" spans="2:8" x14ac:dyDescent="0.25">
      <c r="B2903">
        <v>1.2645</v>
      </c>
      <c r="C2903">
        <v>55</v>
      </c>
      <c r="D2903">
        <v>81.7</v>
      </c>
      <c r="E2903">
        <v>0.27222000000000002</v>
      </c>
      <c r="F2903">
        <v>3.6735000000000002</v>
      </c>
      <c r="G2903">
        <v>630.35</v>
      </c>
      <c r="H2903">
        <v>1.2645</v>
      </c>
    </row>
    <row r="2904" spans="2:8" x14ac:dyDescent="0.25">
      <c r="B2904">
        <v>1.2706999999999999</v>
      </c>
      <c r="C2904">
        <v>60</v>
      </c>
      <c r="D2904">
        <v>81.7</v>
      </c>
      <c r="E2904">
        <v>0.26866000000000001</v>
      </c>
      <c r="F2904">
        <v>3.7221000000000002</v>
      </c>
      <c r="G2904">
        <v>633.55999999999995</v>
      </c>
      <c r="H2904">
        <v>1.2706999999999999</v>
      </c>
    </row>
    <row r="2905" spans="2:8" x14ac:dyDescent="0.25">
      <c r="B2905">
        <v>1.2767999999999999</v>
      </c>
      <c r="C2905">
        <v>65</v>
      </c>
      <c r="D2905">
        <v>81.7</v>
      </c>
      <c r="E2905">
        <v>0.26523999999999998</v>
      </c>
      <c r="F2905">
        <v>3.7700999999999998</v>
      </c>
      <c r="G2905">
        <v>636.74</v>
      </c>
      <c r="H2905">
        <v>1.2767999999999999</v>
      </c>
    </row>
    <row r="2906" spans="2:8" x14ac:dyDescent="0.25">
      <c r="B2906">
        <v>1.2827</v>
      </c>
      <c r="C2906">
        <v>70</v>
      </c>
      <c r="D2906">
        <v>81.7</v>
      </c>
      <c r="E2906">
        <v>0.26195000000000002</v>
      </c>
      <c r="F2906">
        <v>3.8176000000000001</v>
      </c>
      <c r="G2906">
        <v>639.87</v>
      </c>
      <c r="H2906">
        <v>1.2827</v>
      </c>
    </row>
    <row r="2907" spans="2:8" x14ac:dyDescent="0.25">
      <c r="B2907">
        <v>1.2885</v>
      </c>
      <c r="C2907">
        <v>75</v>
      </c>
      <c r="D2907">
        <v>81.7</v>
      </c>
      <c r="E2907">
        <v>0.25875999999999999</v>
      </c>
      <c r="F2907">
        <v>3.8645999999999998</v>
      </c>
      <c r="G2907">
        <v>642.97</v>
      </c>
      <c r="H2907">
        <v>1.2885</v>
      </c>
    </row>
    <row r="2908" spans="2:8" x14ac:dyDescent="0.25">
      <c r="B2908">
        <v>1.2942</v>
      </c>
      <c r="C2908">
        <v>80</v>
      </c>
      <c r="D2908">
        <v>81.7</v>
      </c>
      <c r="E2908">
        <v>0.25568000000000002</v>
      </c>
      <c r="F2908">
        <v>3.9110999999999998</v>
      </c>
      <c r="G2908">
        <v>646.04</v>
      </c>
      <c r="H2908">
        <v>1.2942</v>
      </c>
    </row>
    <row r="2909" spans="2:8" x14ac:dyDescent="0.25">
      <c r="B2909">
        <v>1.2998000000000001</v>
      </c>
      <c r="C2909">
        <v>85</v>
      </c>
      <c r="D2909">
        <v>81.7</v>
      </c>
      <c r="E2909">
        <v>0.25269999999999998</v>
      </c>
      <c r="F2909">
        <v>3.9571999999999998</v>
      </c>
      <c r="G2909">
        <v>649.08000000000004</v>
      </c>
      <c r="H2909">
        <v>1.2998000000000001</v>
      </c>
    </row>
    <row r="2910" spans="2:8" x14ac:dyDescent="0.25">
      <c r="B2910">
        <v>1.3052999999999999</v>
      </c>
      <c r="C2910">
        <v>90</v>
      </c>
      <c r="D2910">
        <v>81.7</v>
      </c>
      <c r="E2910">
        <v>0.24981999999999999</v>
      </c>
      <c r="F2910">
        <v>4.0030000000000001</v>
      </c>
      <c r="G2910">
        <v>652.09</v>
      </c>
      <c r="H2910">
        <v>1.3052999999999999</v>
      </c>
    </row>
    <row r="2911" spans="2:8" x14ac:dyDescent="0.25">
      <c r="B2911">
        <v>1.3108</v>
      </c>
      <c r="C2911">
        <v>95</v>
      </c>
      <c r="D2911">
        <v>81.7</v>
      </c>
      <c r="E2911">
        <v>0.24701000000000001</v>
      </c>
      <c r="F2911">
        <v>4.0483000000000002</v>
      </c>
      <c r="G2911">
        <v>655.08000000000004</v>
      </c>
      <c r="H2911">
        <v>1.3108</v>
      </c>
    </row>
    <row r="2912" spans="2:8" x14ac:dyDescent="0.25">
      <c r="B2912">
        <v>1.3161</v>
      </c>
      <c r="C2912">
        <v>100</v>
      </c>
      <c r="D2912">
        <v>81.7</v>
      </c>
      <c r="E2912">
        <v>0.24429999999999999</v>
      </c>
      <c r="F2912">
        <v>4.0933999999999999</v>
      </c>
      <c r="G2912">
        <v>658.05</v>
      </c>
      <c r="H2912">
        <v>1.3161</v>
      </c>
    </row>
    <row r="2913" spans="2:8" x14ac:dyDescent="0.25">
      <c r="B2913">
        <v>1.3212999999999999</v>
      </c>
      <c r="C2913">
        <v>105</v>
      </c>
      <c r="D2913">
        <v>81.7</v>
      </c>
      <c r="E2913">
        <v>0.24165</v>
      </c>
      <c r="F2913">
        <v>4.1382000000000003</v>
      </c>
      <c r="G2913">
        <v>661</v>
      </c>
      <c r="H2913">
        <v>1.3212999999999999</v>
      </c>
    </row>
    <row r="2914" spans="2:8" x14ac:dyDescent="0.25">
      <c r="B2914">
        <v>1.3265</v>
      </c>
      <c r="C2914">
        <v>110</v>
      </c>
      <c r="D2914">
        <v>81.7</v>
      </c>
      <c r="E2914">
        <v>0.23907999999999999</v>
      </c>
      <c r="F2914">
        <v>4.1825999999999999</v>
      </c>
      <c r="G2914">
        <v>663.93</v>
      </c>
      <c r="H2914">
        <v>1.3265</v>
      </c>
    </row>
    <row r="2915" spans="2:8" x14ac:dyDescent="0.25">
      <c r="B2915">
        <v>1.3315999999999999</v>
      </c>
      <c r="C2915">
        <v>115</v>
      </c>
      <c r="D2915">
        <v>81.7</v>
      </c>
      <c r="E2915">
        <v>0.23658000000000001</v>
      </c>
      <c r="F2915">
        <v>4.2267999999999999</v>
      </c>
      <c r="G2915">
        <v>666.84</v>
      </c>
      <c r="H2915">
        <v>1.3315999999999999</v>
      </c>
    </row>
    <row r="2916" spans="2:8" x14ac:dyDescent="0.25">
      <c r="B2916">
        <v>1.3366</v>
      </c>
      <c r="C2916">
        <v>120</v>
      </c>
      <c r="D2916">
        <v>81.7</v>
      </c>
      <c r="E2916">
        <v>0.23415</v>
      </c>
      <c r="F2916">
        <v>4.2708000000000004</v>
      </c>
      <c r="G2916">
        <v>669.75</v>
      </c>
      <c r="H2916">
        <v>1.3366</v>
      </c>
    </row>
    <row r="2917" spans="2:8" x14ac:dyDescent="0.25">
      <c r="B2917">
        <v>1.3415999999999999</v>
      </c>
      <c r="C2917">
        <v>125</v>
      </c>
      <c r="D2917">
        <v>81.7</v>
      </c>
      <c r="E2917">
        <v>0.23178000000000001</v>
      </c>
      <c r="F2917">
        <v>4.3144999999999998</v>
      </c>
      <c r="G2917">
        <v>672.64</v>
      </c>
      <c r="H2917">
        <v>1.3415999999999999</v>
      </c>
    </row>
    <row r="2918" spans="2:8" x14ac:dyDescent="0.25">
      <c r="B2918">
        <v>1.3465</v>
      </c>
      <c r="C2918">
        <v>130</v>
      </c>
      <c r="D2918">
        <v>81.7</v>
      </c>
      <c r="E2918">
        <v>0.22946</v>
      </c>
      <c r="F2918">
        <v>4.3579999999999997</v>
      </c>
      <c r="G2918">
        <v>675.51</v>
      </c>
      <c r="H2918">
        <v>1.3465</v>
      </c>
    </row>
    <row r="2919" spans="2:8" x14ac:dyDescent="0.25">
      <c r="B2919">
        <v>1.3512999999999999</v>
      </c>
      <c r="C2919">
        <v>135</v>
      </c>
      <c r="D2919">
        <v>81.7</v>
      </c>
      <c r="E2919">
        <v>0.22720000000000001</v>
      </c>
      <c r="F2919">
        <v>4.4013999999999998</v>
      </c>
      <c r="G2919">
        <v>678.38</v>
      </c>
      <c r="H2919">
        <v>1.3512999999999999</v>
      </c>
    </row>
    <row r="2920" spans="2:8" x14ac:dyDescent="0.25">
      <c r="B2920">
        <v>1.3561000000000001</v>
      </c>
      <c r="C2920">
        <v>140</v>
      </c>
      <c r="D2920">
        <v>81.7</v>
      </c>
      <c r="E2920">
        <v>0.22500000000000001</v>
      </c>
      <c r="F2920">
        <v>4.4444999999999997</v>
      </c>
      <c r="G2920">
        <v>681.24</v>
      </c>
      <c r="H2920">
        <v>1.3561000000000001</v>
      </c>
    </row>
    <row r="2921" spans="2:8" x14ac:dyDescent="0.25">
      <c r="B2921">
        <v>1.3608</v>
      </c>
      <c r="C2921">
        <v>145</v>
      </c>
      <c r="D2921">
        <v>81.7</v>
      </c>
      <c r="E2921">
        <v>0.22284000000000001</v>
      </c>
      <c r="F2921">
        <v>4.4874000000000001</v>
      </c>
      <c r="G2921">
        <v>684.09</v>
      </c>
      <c r="H2921">
        <v>1.3608</v>
      </c>
    </row>
    <row r="2922" spans="2:8" x14ac:dyDescent="0.25">
      <c r="B2922">
        <v>1.3654999999999999</v>
      </c>
      <c r="C2922">
        <v>150</v>
      </c>
      <c r="D2922">
        <v>81.7</v>
      </c>
      <c r="E2922">
        <v>0.22073999999999999</v>
      </c>
      <c r="F2922">
        <v>4.5301999999999998</v>
      </c>
      <c r="G2922">
        <v>686.93</v>
      </c>
      <c r="H2922">
        <v>1.3654999999999999</v>
      </c>
    </row>
    <row r="2923" spans="2:8" x14ac:dyDescent="0.25">
      <c r="B2923">
        <v>1.3702000000000001</v>
      </c>
      <c r="C2923">
        <v>155</v>
      </c>
      <c r="D2923">
        <v>81.7</v>
      </c>
      <c r="E2923">
        <v>0.21868000000000001</v>
      </c>
      <c r="F2923">
        <v>4.5728</v>
      </c>
      <c r="G2923">
        <v>689.77</v>
      </c>
      <c r="H2923">
        <v>1.3702000000000001</v>
      </c>
    </row>
    <row r="2924" spans="2:8" x14ac:dyDescent="0.25">
      <c r="B2924">
        <v>1.3748</v>
      </c>
      <c r="C2924">
        <v>160</v>
      </c>
      <c r="D2924">
        <v>81.7</v>
      </c>
      <c r="E2924">
        <v>0.21667</v>
      </c>
      <c r="F2924">
        <v>4.6153000000000004</v>
      </c>
      <c r="G2924">
        <v>692.6</v>
      </c>
      <c r="H2924">
        <v>1.3748</v>
      </c>
    </row>
    <row r="2925" spans="2:8" x14ac:dyDescent="0.25">
      <c r="B2925">
        <v>1.3793</v>
      </c>
      <c r="C2925">
        <v>165</v>
      </c>
      <c r="D2925">
        <v>81.7</v>
      </c>
      <c r="E2925">
        <v>0.2147</v>
      </c>
      <c r="F2925">
        <v>4.6576000000000004</v>
      </c>
      <c r="G2925">
        <v>695.43</v>
      </c>
      <c r="H2925">
        <v>1.3793</v>
      </c>
    </row>
    <row r="2926" spans="2:8" x14ac:dyDescent="0.25">
      <c r="B2926">
        <v>1.3837999999999999</v>
      </c>
      <c r="C2926">
        <v>170</v>
      </c>
      <c r="D2926">
        <v>81.7</v>
      </c>
      <c r="E2926">
        <v>0.21278</v>
      </c>
      <c r="F2926">
        <v>4.6997999999999998</v>
      </c>
      <c r="G2926">
        <v>698.25</v>
      </c>
      <c r="H2926">
        <v>1.3837999999999999</v>
      </c>
    </row>
    <row r="2927" spans="2:8" x14ac:dyDescent="0.25">
      <c r="B2927">
        <v>1.3883000000000001</v>
      </c>
      <c r="C2927">
        <v>175</v>
      </c>
      <c r="D2927">
        <v>81.7</v>
      </c>
      <c r="E2927">
        <v>0.21088999999999999</v>
      </c>
      <c r="F2927">
        <v>4.7419000000000002</v>
      </c>
      <c r="G2927">
        <v>701.07</v>
      </c>
      <c r="H2927">
        <v>1.3883000000000001</v>
      </c>
    </row>
    <row r="2928" spans="2:8" x14ac:dyDescent="0.25">
      <c r="B2928">
        <v>1.3927</v>
      </c>
      <c r="C2928">
        <v>180</v>
      </c>
      <c r="D2928">
        <v>81.7</v>
      </c>
      <c r="E2928">
        <v>0.20904</v>
      </c>
      <c r="F2928">
        <v>4.7838000000000003</v>
      </c>
      <c r="G2928">
        <v>703.89</v>
      </c>
      <c r="H2928">
        <v>1.3927</v>
      </c>
    </row>
    <row r="2929" spans="2:8" x14ac:dyDescent="0.25">
      <c r="B2929">
        <v>1.3971</v>
      </c>
      <c r="C2929">
        <v>185</v>
      </c>
      <c r="D2929">
        <v>81.7</v>
      </c>
      <c r="E2929">
        <v>0.20723</v>
      </c>
      <c r="F2929">
        <v>4.8255999999999997</v>
      </c>
      <c r="G2929">
        <v>706.7</v>
      </c>
      <c r="H2929">
        <v>1.3971</v>
      </c>
    </row>
    <row r="2930" spans="2:8" x14ac:dyDescent="0.25">
      <c r="B2930">
        <v>1.4014</v>
      </c>
      <c r="C2930">
        <v>190</v>
      </c>
      <c r="D2930">
        <v>81.7</v>
      </c>
      <c r="E2930">
        <v>0.20544999999999999</v>
      </c>
      <c r="F2930">
        <v>4.8673000000000002</v>
      </c>
      <c r="G2930">
        <v>709.51</v>
      </c>
      <c r="H2930">
        <v>1.4014</v>
      </c>
    </row>
    <row r="2931" spans="2:8" x14ac:dyDescent="0.25">
      <c r="B2931">
        <v>1.4056999999999999</v>
      </c>
      <c r="C2931">
        <v>195</v>
      </c>
      <c r="D2931">
        <v>81.7</v>
      </c>
      <c r="E2931">
        <v>0.20371</v>
      </c>
      <c r="F2931">
        <v>4.9089999999999998</v>
      </c>
      <c r="G2931">
        <v>712.32</v>
      </c>
      <c r="H2931">
        <v>1.4056999999999999</v>
      </c>
    </row>
    <row r="2932" spans="2:8" x14ac:dyDescent="0.25">
      <c r="B2932">
        <v>1.41</v>
      </c>
      <c r="C2932">
        <v>200</v>
      </c>
      <c r="D2932">
        <v>81.7</v>
      </c>
      <c r="E2932">
        <v>0.20200000000000001</v>
      </c>
      <c r="F2932">
        <v>4.9504999999999999</v>
      </c>
      <c r="G2932">
        <v>715.13</v>
      </c>
      <c r="H2932">
        <v>1.41</v>
      </c>
    </row>
    <row r="2933" spans="2:8" x14ac:dyDescent="0.25">
      <c r="B2933">
        <v>1.4141999999999999</v>
      </c>
      <c r="C2933">
        <v>205</v>
      </c>
      <c r="D2933">
        <v>81.7</v>
      </c>
      <c r="E2933">
        <v>0.20032</v>
      </c>
      <c r="F2933">
        <v>4.9919000000000002</v>
      </c>
      <c r="G2933">
        <v>717.94</v>
      </c>
      <c r="H2933">
        <v>1.4141999999999999</v>
      </c>
    </row>
    <row r="2934" spans="2:8" x14ac:dyDescent="0.25">
      <c r="B2934">
        <v>1.4184000000000001</v>
      </c>
      <c r="C2934">
        <v>210</v>
      </c>
      <c r="D2934">
        <v>81.7</v>
      </c>
      <c r="E2934">
        <v>0.19868</v>
      </c>
      <c r="F2934">
        <v>5.0331999999999999</v>
      </c>
      <c r="G2934">
        <v>720.75</v>
      </c>
      <c r="H2934">
        <v>1.4184000000000001</v>
      </c>
    </row>
    <row r="2935" spans="2:8" x14ac:dyDescent="0.25">
      <c r="B2935">
        <v>1.4226000000000001</v>
      </c>
      <c r="C2935">
        <v>215</v>
      </c>
      <c r="D2935">
        <v>81.7</v>
      </c>
      <c r="E2935">
        <v>0.19706000000000001</v>
      </c>
      <c r="F2935">
        <v>5.0744999999999996</v>
      </c>
      <c r="G2935">
        <v>723.55</v>
      </c>
      <c r="H2935">
        <v>1.4226000000000001</v>
      </c>
    </row>
    <row r="2936" spans="2:8" x14ac:dyDescent="0.25">
      <c r="B2936">
        <v>1.4268000000000001</v>
      </c>
      <c r="C2936">
        <v>220</v>
      </c>
      <c r="D2936">
        <v>81.7</v>
      </c>
      <c r="E2936">
        <v>0.19547999999999999</v>
      </c>
      <c r="F2936">
        <v>5.1155999999999997</v>
      </c>
      <c r="G2936">
        <v>726.36</v>
      </c>
      <c r="H2936">
        <v>1.4268000000000001</v>
      </c>
    </row>
    <row r="2937" spans="2:8" x14ac:dyDescent="0.25">
      <c r="B2937">
        <v>1.4309000000000001</v>
      </c>
      <c r="C2937">
        <v>225</v>
      </c>
      <c r="D2937">
        <v>81.7</v>
      </c>
      <c r="E2937">
        <v>0.19392000000000001</v>
      </c>
      <c r="F2937">
        <v>5.1566999999999998</v>
      </c>
      <c r="G2937">
        <v>729.17</v>
      </c>
      <c r="H2937">
        <v>1.4309000000000001</v>
      </c>
    </row>
    <row r="2938" spans="2:8" x14ac:dyDescent="0.25">
      <c r="B2938">
        <v>1.4350000000000001</v>
      </c>
      <c r="C2938">
        <v>230</v>
      </c>
      <c r="D2938">
        <v>81.7</v>
      </c>
      <c r="E2938">
        <v>0.19239000000000001</v>
      </c>
      <c r="F2938">
        <v>5.1978</v>
      </c>
      <c r="G2938">
        <v>731.98</v>
      </c>
      <c r="H2938">
        <v>1.4350000000000001</v>
      </c>
    </row>
    <row r="2939" spans="2:8" x14ac:dyDescent="0.25">
      <c r="B2939">
        <v>1.4390000000000001</v>
      </c>
      <c r="C2939">
        <v>235</v>
      </c>
      <c r="D2939">
        <v>81.7</v>
      </c>
      <c r="E2939">
        <v>0.19089</v>
      </c>
      <c r="F2939">
        <v>5.2386999999999997</v>
      </c>
      <c r="G2939">
        <v>734.79</v>
      </c>
      <c r="H2939">
        <v>1.4390000000000001</v>
      </c>
    </row>
    <row r="2940" spans="2:8" x14ac:dyDescent="0.25">
      <c r="B2940">
        <v>1.4431</v>
      </c>
      <c r="C2940">
        <v>240</v>
      </c>
      <c r="D2940">
        <v>81.7</v>
      </c>
      <c r="E2940">
        <v>0.18941</v>
      </c>
      <c r="F2940">
        <v>5.2796000000000003</v>
      </c>
      <c r="G2940">
        <v>737.61</v>
      </c>
      <c r="H2940">
        <v>1.4431</v>
      </c>
    </row>
    <row r="2941" spans="2:8" x14ac:dyDescent="0.25">
      <c r="B2941">
        <v>1.4471000000000001</v>
      </c>
      <c r="C2941">
        <v>245</v>
      </c>
      <c r="D2941">
        <v>81.7</v>
      </c>
      <c r="E2941">
        <v>0.18795999999999999</v>
      </c>
      <c r="F2941">
        <v>5.3204000000000002</v>
      </c>
      <c r="G2941">
        <v>740.42</v>
      </c>
      <c r="H2941">
        <v>1.4471000000000001</v>
      </c>
    </row>
    <row r="2942" spans="2:8" x14ac:dyDescent="0.25">
      <c r="B2942">
        <v>1.4511000000000001</v>
      </c>
      <c r="C2942">
        <v>250</v>
      </c>
      <c r="D2942">
        <v>81.7</v>
      </c>
      <c r="E2942">
        <v>0.18653</v>
      </c>
      <c r="F2942">
        <v>5.3611000000000004</v>
      </c>
      <c r="G2942">
        <v>743.24</v>
      </c>
      <c r="H2942">
        <v>1.4511000000000001</v>
      </c>
    </row>
    <row r="2943" spans="2:8" x14ac:dyDescent="0.25">
      <c r="B2943">
        <v>1.4550000000000001</v>
      </c>
      <c r="C2943">
        <v>255</v>
      </c>
      <c r="D2943">
        <v>81.7</v>
      </c>
      <c r="E2943">
        <v>0.18512000000000001</v>
      </c>
      <c r="F2943">
        <v>5.4017999999999997</v>
      </c>
      <c r="G2943">
        <v>746.06</v>
      </c>
      <c r="H2943">
        <v>1.4550000000000001</v>
      </c>
    </row>
    <row r="2944" spans="2:8" x14ac:dyDescent="0.25">
      <c r="B2944">
        <v>1.4590000000000001</v>
      </c>
      <c r="C2944">
        <v>260</v>
      </c>
      <c r="D2944">
        <v>81.7</v>
      </c>
      <c r="E2944">
        <v>0.18373999999999999</v>
      </c>
      <c r="F2944">
        <v>5.4424000000000001</v>
      </c>
      <c r="G2944">
        <v>748.88</v>
      </c>
      <c r="H2944">
        <v>1.4590000000000001</v>
      </c>
    </row>
    <row r="2945" spans="1:8" x14ac:dyDescent="0.25">
      <c r="B2945">
        <v>1.4629000000000001</v>
      </c>
      <c r="C2945">
        <v>265</v>
      </c>
      <c r="D2945">
        <v>81.7</v>
      </c>
      <c r="E2945">
        <v>0.18237999999999999</v>
      </c>
      <c r="F2945">
        <v>5.4829999999999997</v>
      </c>
      <c r="G2945">
        <v>751.71</v>
      </c>
      <c r="H2945">
        <v>1.4629000000000001</v>
      </c>
    </row>
    <row r="2946" spans="1:8" x14ac:dyDescent="0.25">
      <c r="B2946">
        <v>1.4668000000000001</v>
      </c>
      <c r="C2946">
        <v>270</v>
      </c>
      <c r="D2946">
        <v>81.7</v>
      </c>
      <c r="E2946">
        <v>0.18104000000000001</v>
      </c>
      <c r="F2946">
        <v>5.5235000000000003</v>
      </c>
      <c r="G2946">
        <v>754.54</v>
      </c>
      <c r="H2946">
        <v>1.4668000000000001</v>
      </c>
    </row>
    <row r="2947" spans="1:8" x14ac:dyDescent="0.25">
      <c r="B2947">
        <v>1.4705999999999999</v>
      </c>
      <c r="C2947">
        <v>275</v>
      </c>
      <c r="D2947">
        <v>81.7</v>
      </c>
      <c r="E2947">
        <v>0.17973</v>
      </c>
      <c r="F2947">
        <v>5.5640000000000001</v>
      </c>
      <c r="G2947">
        <v>757.37</v>
      </c>
      <c r="H2947">
        <v>1.4705999999999999</v>
      </c>
    </row>
    <row r="2948" spans="1:8" x14ac:dyDescent="0.25">
      <c r="B2948">
        <v>1.4744999999999999</v>
      </c>
      <c r="C2948">
        <v>280</v>
      </c>
      <c r="D2948">
        <v>81.7</v>
      </c>
      <c r="E2948">
        <v>0.17843000000000001</v>
      </c>
      <c r="F2948">
        <v>5.6044</v>
      </c>
      <c r="G2948">
        <v>760.2</v>
      </c>
      <c r="H2948">
        <v>1.4744999999999999</v>
      </c>
    </row>
    <row r="2949" spans="1:8" x14ac:dyDescent="0.25">
      <c r="B2949">
        <v>1.4782999999999999</v>
      </c>
      <c r="C2949">
        <v>285</v>
      </c>
      <c r="D2949">
        <v>81.7</v>
      </c>
      <c r="E2949">
        <v>0.17715</v>
      </c>
      <c r="F2949">
        <v>5.6448</v>
      </c>
      <c r="G2949">
        <v>763.04</v>
      </c>
      <c r="H2949">
        <v>1.4782999999999999</v>
      </c>
    </row>
    <row r="2950" spans="1:8" x14ac:dyDescent="0.25">
      <c r="B2950">
        <v>1.4821</v>
      </c>
      <c r="C2950">
        <v>290</v>
      </c>
      <c r="D2950">
        <v>81.7</v>
      </c>
      <c r="E2950">
        <v>0.1759</v>
      </c>
      <c r="F2950">
        <v>5.6851000000000003</v>
      </c>
      <c r="G2950">
        <v>765.89</v>
      </c>
      <c r="H2950">
        <v>1.4821</v>
      </c>
    </row>
    <row r="2951" spans="1:8" x14ac:dyDescent="0.25">
      <c r="B2951">
        <v>1.4859</v>
      </c>
      <c r="C2951">
        <v>295</v>
      </c>
      <c r="D2951">
        <v>81.7</v>
      </c>
      <c r="E2951">
        <v>0.17466000000000001</v>
      </c>
      <c r="F2951">
        <v>5.7253999999999996</v>
      </c>
      <c r="G2951">
        <v>768.73</v>
      </c>
      <c r="H2951">
        <v>1.4859</v>
      </c>
    </row>
    <row r="2952" spans="1:8" x14ac:dyDescent="0.25">
      <c r="B2952">
        <v>1.4896</v>
      </c>
      <c r="C2952">
        <v>300</v>
      </c>
      <c r="D2952">
        <v>81.7</v>
      </c>
      <c r="E2952">
        <v>0.17344000000000001</v>
      </c>
      <c r="F2952">
        <v>5.7656000000000001</v>
      </c>
      <c r="G2952">
        <v>771.58</v>
      </c>
      <c r="H2952">
        <v>1.4896</v>
      </c>
    </row>
    <row r="2954" spans="1:8" x14ac:dyDescent="0.25">
      <c r="A2954">
        <v>89</v>
      </c>
      <c r="B2954">
        <v>-2.5673000000000001E-2</v>
      </c>
      <c r="C2954">
        <v>-50</v>
      </c>
      <c r="D2954">
        <v>89</v>
      </c>
      <c r="E2954">
        <v>43.517000000000003</v>
      </c>
      <c r="F2954">
        <v>2.2978999999999999E-2</v>
      </c>
      <c r="G2954">
        <v>-10.308999999999999</v>
      </c>
      <c r="H2954">
        <v>-2.5673000000000001E-2</v>
      </c>
    </row>
    <row r="2955" spans="1:8" x14ac:dyDescent="0.25">
      <c r="B2955">
        <v>-1.2945999999999999E-2</v>
      </c>
      <c r="C2955">
        <v>-45</v>
      </c>
      <c r="D2955">
        <v>89</v>
      </c>
      <c r="E2955">
        <v>43.31</v>
      </c>
      <c r="F2955">
        <v>2.3088999999999998E-2</v>
      </c>
      <c r="G2955">
        <v>-5.0639000000000003</v>
      </c>
      <c r="H2955">
        <v>-1.2945999999999999E-2</v>
      </c>
    </row>
    <row r="2956" spans="1:8" x14ac:dyDescent="0.25">
      <c r="B2956">
        <v>-3.299E-4</v>
      </c>
      <c r="C2956">
        <v>-40</v>
      </c>
      <c r="D2956">
        <v>89</v>
      </c>
      <c r="E2956">
        <v>43.1</v>
      </c>
      <c r="F2956">
        <v>2.3202E-2</v>
      </c>
      <c r="G2956">
        <v>0.19930999999999999</v>
      </c>
      <c r="H2956">
        <v>-3.299E-4</v>
      </c>
    </row>
    <row r="2957" spans="1:8" x14ac:dyDescent="0.25">
      <c r="B2957">
        <v>1.2178E-2</v>
      </c>
      <c r="C2957">
        <v>-35</v>
      </c>
      <c r="D2957">
        <v>89</v>
      </c>
      <c r="E2957">
        <v>42.889000000000003</v>
      </c>
      <c r="F2957">
        <v>2.3316E-2</v>
      </c>
      <c r="G2957">
        <v>5.4798</v>
      </c>
      <c r="H2957">
        <v>1.2178E-2</v>
      </c>
    </row>
    <row r="2958" spans="1:8" x14ac:dyDescent="0.25">
      <c r="B2958">
        <v>2.4580000000000001E-2</v>
      </c>
      <c r="C2958">
        <v>-30</v>
      </c>
      <c r="D2958">
        <v>89</v>
      </c>
      <c r="E2958">
        <v>42.676000000000002</v>
      </c>
      <c r="F2958">
        <v>2.3432000000000001E-2</v>
      </c>
      <c r="G2958">
        <v>10.776999999999999</v>
      </c>
      <c r="H2958">
        <v>2.4580000000000001E-2</v>
      </c>
    </row>
    <row r="2959" spans="1:8" x14ac:dyDescent="0.25">
      <c r="B2959">
        <v>3.6877E-2</v>
      </c>
      <c r="C2959">
        <v>-25</v>
      </c>
      <c r="D2959">
        <v>89</v>
      </c>
      <c r="E2959">
        <v>42.460999999999999</v>
      </c>
      <c r="F2959">
        <v>2.3550999999999999E-2</v>
      </c>
      <c r="G2959">
        <v>16.091999999999999</v>
      </c>
      <c r="H2959">
        <v>3.6877E-2</v>
      </c>
    </row>
    <row r="2960" spans="1:8" x14ac:dyDescent="0.25">
      <c r="B2960">
        <v>4.9070999999999997E-2</v>
      </c>
      <c r="C2960">
        <v>-20</v>
      </c>
      <c r="D2960">
        <v>89</v>
      </c>
      <c r="E2960">
        <v>42.244999999999997</v>
      </c>
      <c r="F2960">
        <v>2.3671999999999999E-2</v>
      </c>
      <c r="G2960">
        <v>21.422000000000001</v>
      </c>
      <c r="H2960">
        <v>4.9070999999999997E-2</v>
      </c>
    </row>
    <row r="2961" spans="2:8" x14ac:dyDescent="0.25">
      <c r="B2961">
        <v>6.1164000000000003E-2</v>
      </c>
      <c r="C2961">
        <v>-15</v>
      </c>
      <c r="D2961">
        <v>89</v>
      </c>
      <c r="E2961">
        <v>42.026000000000003</v>
      </c>
      <c r="F2961">
        <v>2.3795E-2</v>
      </c>
      <c r="G2961">
        <v>26.77</v>
      </c>
      <c r="H2961">
        <v>6.1164000000000003E-2</v>
      </c>
    </row>
    <row r="2962" spans="2:8" x14ac:dyDescent="0.25">
      <c r="B2962">
        <v>7.3159000000000002E-2</v>
      </c>
      <c r="C2962">
        <v>-10</v>
      </c>
      <c r="D2962">
        <v>89</v>
      </c>
      <c r="E2962">
        <v>41.805</v>
      </c>
      <c r="F2962">
        <v>2.392E-2</v>
      </c>
      <c r="G2962">
        <v>32.134</v>
      </c>
      <c r="H2962">
        <v>7.3159000000000002E-2</v>
      </c>
    </row>
    <row r="2963" spans="2:8" x14ac:dyDescent="0.25">
      <c r="B2963">
        <v>8.5057999999999995E-2</v>
      </c>
      <c r="C2963">
        <v>-5</v>
      </c>
      <c r="D2963">
        <v>89</v>
      </c>
      <c r="E2963">
        <v>41.582999999999998</v>
      </c>
      <c r="F2963">
        <v>2.4048E-2</v>
      </c>
      <c r="G2963">
        <v>37.514000000000003</v>
      </c>
      <c r="H2963">
        <v>8.5057999999999995E-2</v>
      </c>
    </row>
    <row r="2964" spans="2:8" x14ac:dyDescent="0.25">
      <c r="B2964">
        <v>9.6862000000000004E-2</v>
      </c>
      <c r="C2964">
        <v>0</v>
      </c>
      <c r="D2964">
        <v>89</v>
      </c>
      <c r="E2964">
        <v>41.357999999999997</v>
      </c>
      <c r="F2964">
        <v>2.4178999999999999E-2</v>
      </c>
      <c r="G2964">
        <v>42.91</v>
      </c>
      <c r="H2964">
        <v>9.6862000000000004E-2</v>
      </c>
    </row>
    <row r="2965" spans="2:8" x14ac:dyDescent="0.25">
      <c r="B2965">
        <v>0.10857</v>
      </c>
      <c r="C2965">
        <v>5</v>
      </c>
      <c r="D2965">
        <v>89</v>
      </c>
      <c r="E2965">
        <v>41.131999999999998</v>
      </c>
      <c r="F2965">
        <v>2.4312E-2</v>
      </c>
      <c r="G2965">
        <v>48.323</v>
      </c>
      <c r="H2965">
        <v>0.10857</v>
      </c>
    </row>
    <row r="2966" spans="2:8" x14ac:dyDescent="0.25">
      <c r="B2966">
        <v>0.1202</v>
      </c>
      <c r="C2966">
        <v>10</v>
      </c>
      <c r="D2966">
        <v>89</v>
      </c>
      <c r="E2966">
        <v>40.904000000000003</v>
      </c>
      <c r="F2966">
        <v>2.4448000000000001E-2</v>
      </c>
      <c r="G2966">
        <v>53.752000000000002</v>
      </c>
      <c r="H2966">
        <v>0.1202</v>
      </c>
    </row>
    <row r="2967" spans="2:8" x14ac:dyDescent="0.25">
      <c r="B2967">
        <v>0.13173000000000001</v>
      </c>
      <c r="C2967">
        <v>15</v>
      </c>
      <c r="D2967">
        <v>89</v>
      </c>
      <c r="E2967">
        <v>40.673000000000002</v>
      </c>
      <c r="F2967">
        <v>2.4586E-2</v>
      </c>
      <c r="G2967">
        <v>59.198</v>
      </c>
      <c r="H2967">
        <v>0.13173000000000001</v>
      </c>
    </row>
    <row r="2968" spans="2:8" x14ac:dyDescent="0.25">
      <c r="B2968">
        <v>0.14318</v>
      </c>
      <c r="C2968">
        <v>20</v>
      </c>
      <c r="D2968">
        <v>89</v>
      </c>
      <c r="E2968">
        <v>40.44</v>
      </c>
      <c r="F2968">
        <v>2.4728E-2</v>
      </c>
      <c r="G2968">
        <v>64.662000000000006</v>
      </c>
      <c r="H2968">
        <v>0.14318</v>
      </c>
    </row>
    <row r="2969" spans="2:8" x14ac:dyDescent="0.25">
      <c r="B2969">
        <v>0.15454999999999999</v>
      </c>
      <c r="C2969">
        <v>25</v>
      </c>
      <c r="D2969">
        <v>89</v>
      </c>
      <c r="E2969">
        <v>40.206000000000003</v>
      </c>
      <c r="F2969">
        <v>2.4871999999999998E-2</v>
      </c>
      <c r="G2969">
        <v>70.141999999999996</v>
      </c>
      <c r="H2969">
        <v>0.15454999999999999</v>
      </c>
    </row>
    <row r="2970" spans="2:8" x14ac:dyDescent="0.25">
      <c r="B2970">
        <v>0.16583000000000001</v>
      </c>
      <c r="C2970">
        <v>30</v>
      </c>
      <c r="D2970">
        <v>89</v>
      </c>
      <c r="E2970">
        <v>39.968000000000004</v>
      </c>
      <c r="F2970">
        <v>2.5020000000000001E-2</v>
      </c>
      <c r="G2970">
        <v>75.641000000000005</v>
      </c>
      <c r="H2970">
        <v>0.16583000000000001</v>
      </c>
    </row>
    <row r="2971" spans="2:8" x14ac:dyDescent="0.25">
      <c r="B2971">
        <v>0.17704</v>
      </c>
      <c r="C2971">
        <v>35</v>
      </c>
      <c r="D2971">
        <v>89</v>
      </c>
      <c r="E2971">
        <v>39.728999999999999</v>
      </c>
      <c r="F2971">
        <v>2.5170999999999999E-2</v>
      </c>
      <c r="G2971">
        <v>81.158000000000001</v>
      </c>
      <c r="H2971">
        <v>0.17704</v>
      </c>
    </row>
    <row r="2972" spans="2:8" x14ac:dyDescent="0.25">
      <c r="B2972">
        <v>0.18817999999999999</v>
      </c>
      <c r="C2972">
        <v>40</v>
      </c>
      <c r="D2972">
        <v>89</v>
      </c>
      <c r="E2972">
        <v>39.487000000000002</v>
      </c>
      <c r="F2972">
        <v>2.5325E-2</v>
      </c>
      <c r="G2972">
        <v>86.694999999999993</v>
      </c>
      <c r="H2972">
        <v>0.18817999999999999</v>
      </c>
    </row>
    <row r="2973" spans="2:8" x14ac:dyDescent="0.25">
      <c r="B2973">
        <v>0.19924</v>
      </c>
      <c r="C2973">
        <v>45</v>
      </c>
      <c r="D2973">
        <v>89</v>
      </c>
      <c r="E2973">
        <v>39.241999999999997</v>
      </c>
      <c r="F2973">
        <v>2.5482999999999999E-2</v>
      </c>
      <c r="G2973">
        <v>92.251000000000005</v>
      </c>
      <c r="H2973">
        <v>0.19924</v>
      </c>
    </row>
    <row r="2974" spans="2:8" x14ac:dyDescent="0.25">
      <c r="B2974">
        <v>1.2451000000000001</v>
      </c>
      <c r="C2974">
        <v>50</v>
      </c>
      <c r="D2974">
        <v>89</v>
      </c>
      <c r="E2974">
        <v>0.30312</v>
      </c>
      <c r="F2974">
        <v>3.2989999999999999</v>
      </c>
      <c r="G2974">
        <v>625.13</v>
      </c>
      <c r="H2974">
        <v>1.2451000000000001</v>
      </c>
    </row>
    <row r="2975" spans="2:8" x14ac:dyDescent="0.25">
      <c r="B2975">
        <v>1.2516</v>
      </c>
      <c r="C2975">
        <v>55</v>
      </c>
      <c r="D2975">
        <v>89</v>
      </c>
      <c r="E2975">
        <v>0.29892000000000002</v>
      </c>
      <c r="F2975">
        <v>3.3452999999999999</v>
      </c>
      <c r="G2975">
        <v>628.49</v>
      </c>
      <c r="H2975">
        <v>1.2516</v>
      </c>
    </row>
    <row r="2976" spans="2:8" x14ac:dyDescent="0.25">
      <c r="B2976">
        <v>1.258</v>
      </c>
      <c r="C2976">
        <v>60</v>
      </c>
      <c r="D2976">
        <v>89</v>
      </c>
      <c r="E2976">
        <v>0.2949</v>
      </c>
      <c r="F2976">
        <v>3.391</v>
      </c>
      <c r="G2976">
        <v>631.79</v>
      </c>
      <c r="H2976">
        <v>1.258</v>
      </c>
    </row>
    <row r="2977" spans="2:8" x14ac:dyDescent="0.25">
      <c r="B2977">
        <v>1.2643</v>
      </c>
      <c r="C2977">
        <v>65</v>
      </c>
      <c r="D2977">
        <v>89</v>
      </c>
      <c r="E2977">
        <v>0.29103000000000001</v>
      </c>
      <c r="F2977">
        <v>3.4361000000000002</v>
      </c>
      <c r="G2977">
        <v>635.04999999999995</v>
      </c>
      <c r="H2977">
        <v>1.2643</v>
      </c>
    </row>
    <row r="2978" spans="2:8" x14ac:dyDescent="0.25">
      <c r="B2978">
        <v>1.2703</v>
      </c>
      <c r="C2978">
        <v>70</v>
      </c>
      <c r="D2978">
        <v>89</v>
      </c>
      <c r="E2978">
        <v>0.28731000000000001</v>
      </c>
      <c r="F2978">
        <v>3.4805999999999999</v>
      </c>
      <c r="G2978">
        <v>638.26</v>
      </c>
      <c r="H2978">
        <v>1.2703</v>
      </c>
    </row>
    <row r="2979" spans="2:8" x14ac:dyDescent="0.25">
      <c r="B2979">
        <v>1.2763</v>
      </c>
      <c r="C2979">
        <v>75</v>
      </c>
      <c r="D2979">
        <v>89</v>
      </c>
      <c r="E2979">
        <v>0.28372000000000003</v>
      </c>
      <c r="F2979">
        <v>3.5246</v>
      </c>
      <c r="G2979">
        <v>641.41999999999996</v>
      </c>
      <c r="H2979">
        <v>1.2763</v>
      </c>
    </row>
    <row r="2980" spans="2:8" x14ac:dyDescent="0.25">
      <c r="B2980">
        <v>1.2821</v>
      </c>
      <c r="C2980">
        <v>80</v>
      </c>
      <c r="D2980">
        <v>89</v>
      </c>
      <c r="E2980">
        <v>0.28026000000000001</v>
      </c>
      <c r="F2980">
        <v>3.5680999999999998</v>
      </c>
      <c r="G2980">
        <v>644.55999999999995</v>
      </c>
      <c r="H2980">
        <v>1.2821</v>
      </c>
    </row>
    <row r="2981" spans="2:8" x14ac:dyDescent="0.25">
      <c r="B2981">
        <v>1.2878000000000001</v>
      </c>
      <c r="C2981">
        <v>85</v>
      </c>
      <c r="D2981">
        <v>89</v>
      </c>
      <c r="E2981">
        <v>0.27692</v>
      </c>
      <c r="F2981">
        <v>3.6112000000000002</v>
      </c>
      <c r="G2981">
        <v>647.65</v>
      </c>
      <c r="H2981">
        <v>1.2878000000000001</v>
      </c>
    </row>
    <row r="2982" spans="2:8" x14ac:dyDescent="0.25">
      <c r="B2982">
        <v>1.2934000000000001</v>
      </c>
      <c r="C2982">
        <v>90</v>
      </c>
      <c r="D2982">
        <v>89</v>
      </c>
      <c r="E2982">
        <v>0.27367999999999998</v>
      </c>
      <c r="F2982">
        <v>3.6539000000000001</v>
      </c>
      <c r="G2982">
        <v>650.72</v>
      </c>
      <c r="H2982">
        <v>1.2934000000000001</v>
      </c>
    </row>
    <row r="2983" spans="2:8" x14ac:dyDescent="0.25">
      <c r="B2983">
        <v>1.2989999999999999</v>
      </c>
      <c r="C2983">
        <v>95</v>
      </c>
      <c r="D2983">
        <v>89</v>
      </c>
      <c r="E2983">
        <v>0.27054</v>
      </c>
      <c r="F2983">
        <v>3.6962000000000002</v>
      </c>
      <c r="G2983">
        <v>653.76</v>
      </c>
      <c r="H2983">
        <v>1.2989999999999999</v>
      </c>
    </row>
    <row r="2984" spans="2:8" x14ac:dyDescent="0.25">
      <c r="B2984">
        <v>1.3044</v>
      </c>
      <c r="C2984">
        <v>100</v>
      </c>
      <c r="D2984">
        <v>89</v>
      </c>
      <c r="E2984">
        <v>0.26751000000000003</v>
      </c>
      <c r="F2984">
        <v>3.7382</v>
      </c>
      <c r="G2984">
        <v>656.78</v>
      </c>
      <c r="H2984">
        <v>1.3044</v>
      </c>
    </row>
    <row r="2985" spans="2:8" x14ac:dyDescent="0.25">
      <c r="B2985">
        <v>1.3097000000000001</v>
      </c>
      <c r="C2985">
        <v>105</v>
      </c>
      <c r="D2985">
        <v>89</v>
      </c>
      <c r="E2985">
        <v>0.26456000000000002</v>
      </c>
      <c r="F2985">
        <v>3.7799</v>
      </c>
      <c r="G2985">
        <v>659.77</v>
      </c>
      <c r="H2985">
        <v>1.3097000000000001</v>
      </c>
    </row>
    <row r="2986" spans="2:8" x14ac:dyDescent="0.25">
      <c r="B2986">
        <v>1.3149</v>
      </c>
      <c r="C2986">
        <v>110</v>
      </c>
      <c r="D2986">
        <v>89</v>
      </c>
      <c r="E2986">
        <v>0.26168999999999998</v>
      </c>
      <c r="F2986">
        <v>3.8212999999999999</v>
      </c>
      <c r="G2986">
        <v>662.75</v>
      </c>
      <c r="H2986">
        <v>1.3149</v>
      </c>
    </row>
    <row r="2987" spans="2:8" x14ac:dyDescent="0.25">
      <c r="B2987">
        <v>1.3201000000000001</v>
      </c>
      <c r="C2987">
        <v>115</v>
      </c>
      <c r="D2987">
        <v>89</v>
      </c>
      <c r="E2987">
        <v>0.25890000000000002</v>
      </c>
      <c r="F2987">
        <v>3.8624000000000001</v>
      </c>
      <c r="G2987">
        <v>665.7</v>
      </c>
      <c r="H2987">
        <v>1.3201000000000001</v>
      </c>
    </row>
    <row r="2988" spans="2:8" x14ac:dyDescent="0.25">
      <c r="B2988">
        <v>1.3251999999999999</v>
      </c>
      <c r="C2988">
        <v>120</v>
      </c>
      <c r="D2988">
        <v>89</v>
      </c>
      <c r="E2988">
        <v>0.25618999999999997</v>
      </c>
      <c r="F2988">
        <v>3.9033000000000002</v>
      </c>
      <c r="G2988">
        <v>668.64</v>
      </c>
      <c r="H2988">
        <v>1.3251999999999999</v>
      </c>
    </row>
    <row r="2989" spans="2:8" x14ac:dyDescent="0.25">
      <c r="B2989">
        <v>1.3302</v>
      </c>
      <c r="C2989">
        <v>125</v>
      </c>
      <c r="D2989">
        <v>89</v>
      </c>
      <c r="E2989">
        <v>0.25355</v>
      </c>
      <c r="F2989">
        <v>3.9439000000000002</v>
      </c>
      <c r="G2989">
        <v>671.57</v>
      </c>
      <c r="H2989">
        <v>1.3302</v>
      </c>
    </row>
    <row r="2990" spans="2:8" x14ac:dyDescent="0.25">
      <c r="B2990">
        <v>1.3351999999999999</v>
      </c>
      <c r="C2990">
        <v>130</v>
      </c>
      <c r="D2990">
        <v>89</v>
      </c>
      <c r="E2990">
        <v>0.25097999999999998</v>
      </c>
      <c r="F2990">
        <v>3.9843000000000002</v>
      </c>
      <c r="G2990">
        <v>674.48</v>
      </c>
      <c r="H2990">
        <v>1.3351999999999999</v>
      </c>
    </row>
    <row r="2991" spans="2:8" x14ac:dyDescent="0.25">
      <c r="B2991">
        <v>1.3401000000000001</v>
      </c>
      <c r="C2991">
        <v>135</v>
      </c>
      <c r="D2991">
        <v>89</v>
      </c>
      <c r="E2991">
        <v>0.24848000000000001</v>
      </c>
      <c r="F2991">
        <v>4.0244999999999997</v>
      </c>
      <c r="G2991">
        <v>677.38</v>
      </c>
      <c r="H2991">
        <v>1.3401000000000001</v>
      </c>
    </row>
    <row r="2992" spans="2:8" x14ac:dyDescent="0.25">
      <c r="B2992">
        <v>1.3449</v>
      </c>
      <c r="C2992">
        <v>140</v>
      </c>
      <c r="D2992">
        <v>89</v>
      </c>
      <c r="E2992">
        <v>0.24603</v>
      </c>
      <c r="F2992">
        <v>4.0644999999999998</v>
      </c>
      <c r="G2992">
        <v>680.27</v>
      </c>
      <c r="H2992">
        <v>1.3449</v>
      </c>
    </row>
    <row r="2993" spans="2:8" x14ac:dyDescent="0.25">
      <c r="B2993">
        <v>1.3496999999999999</v>
      </c>
      <c r="C2993">
        <v>145</v>
      </c>
      <c r="D2993">
        <v>89</v>
      </c>
      <c r="E2993">
        <v>0.24364</v>
      </c>
      <c r="F2993">
        <v>4.1044</v>
      </c>
      <c r="G2993">
        <v>683.15</v>
      </c>
      <c r="H2993">
        <v>1.3496999999999999</v>
      </c>
    </row>
    <row r="2994" spans="2:8" x14ac:dyDescent="0.25">
      <c r="B2994">
        <v>1.3544</v>
      </c>
      <c r="C2994">
        <v>150</v>
      </c>
      <c r="D2994">
        <v>89</v>
      </c>
      <c r="E2994">
        <v>0.24131</v>
      </c>
      <c r="F2994">
        <v>4.1440000000000001</v>
      </c>
      <c r="G2994">
        <v>686.02</v>
      </c>
      <c r="H2994">
        <v>1.3544</v>
      </c>
    </row>
    <row r="2995" spans="2:8" x14ac:dyDescent="0.25">
      <c r="B2995">
        <v>1.3591</v>
      </c>
      <c r="C2995">
        <v>155</v>
      </c>
      <c r="D2995">
        <v>89</v>
      </c>
      <c r="E2995">
        <v>0.23902999999999999</v>
      </c>
      <c r="F2995">
        <v>4.1835000000000004</v>
      </c>
      <c r="G2995">
        <v>688.88</v>
      </c>
      <c r="H2995">
        <v>1.3591</v>
      </c>
    </row>
    <row r="2996" spans="2:8" x14ac:dyDescent="0.25">
      <c r="B2996">
        <v>1.3636999999999999</v>
      </c>
      <c r="C2996">
        <v>160</v>
      </c>
      <c r="D2996">
        <v>89</v>
      </c>
      <c r="E2996">
        <v>0.23680999999999999</v>
      </c>
      <c r="F2996">
        <v>4.2228000000000003</v>
      </c>
      <c r="G2996">
        <v>691.74</v>
      </c>
      <c r="H2996">
        <v>1.3636999999999999</v>
      </c>
    </row>
    <row r="2997" spans="2:8" x14ac:dyDescent="0.25">
      <c r="B2997">
        <v>1.3683000000000001</v>
      </c>
      <c r="C2997">
        <v>165</v>
      </c>
      <c r="D2997">
        <v>89</v>
      </c>
      <c r="E2997">
        <v>0.23463000000000001</v>
      </c>
      <c r="F2997">
        <v>4.2619999999999996</v>
      </c>
      <c r="G2997">
        <v>694.59</v>
      </c>
      <c r="H2997">
        <v>1.3683000000000001</v>
      </c>
    </row>
    <row r="2998" spans="2:8" x14ac:dyDescent="0.25">
      <c r="B2998">
        <v>1.3728</v>
      </c>
      <c r="C2998">
        <v>170</v>
      </c>
      <c r="D2998">
        <v>89</v>
      </c>
      <c r="E2998">
        <v>0.23250000000000001</v>
      </c>
      <c r="F2998">
        <v>4.3010999999999999</v>
      </c>
      <c r="G2998">
        <v>697.43</v>
      </c>
      <c r="H2998">
        <v>1.3728</v>
      </c>
    </row>
    <row r="2999" spans="2:8" x14ac:dyDescent="0.25">
      <c r="B2999">
        <v>1.3773</v>
      </c>
      <c r="C2999">
        <v>175</v>
      </c>
      <c r="D2999">
        <v>89</v>
      </c>
      <c r="E2999">
        <v>0.23042000000000001</v>
      </c>
      <c r="F2999">
        <v>4.34</v>
      </c>
      <c r="G2999">
        <v>700.27</v>
      </c>
      <c r="H2999">
        <v>1.3773</v>
      </c>
    </row>
    <row r="3000" spans="2:8" x14ac:dyDescent="0.25">
      <c r="B3000">
        <v>1.3817999999999999</v>
      </c>
      <c r="C3000">
        <v>180</v>
      </c>
      <c r="D3000">
        <v>89</v>
      </c>
      <c r="E3000">
        <v>0.22836999999999999</v>
      </c>
      <c r="F3000">
        <v>4.3788</v>
      </c>
      <c r="G3000">
        <v>703.11</v>
      </c>
      <c r="H3000">
        <v>1.3817999999999999</v>
      </c>
    </row>
    <row r="3001" spans="2:8" x14ac:dyDescent="0.25">
      <c r="B3001">
        <v>1.3862000000000001</v>
      </c>
      <c r="C3001">
        <v>185</v>
      </c>
      <c r="D3001">
        <v>89</v>
      </c>
      <c r="E3001">
        <v>0.22636999999999999</v>
      </c>
      <c r="F3001">
        <v>4.4175000000000004</v>
      </c>
      <c r="G3001">
        <v>705.94</v>
      </c>
      <c r="H3001">
        <v>1.3862000000000001</v>
      </c>
    </row>
    <row r="3002" spans="2:8" x14ac:dyDescent="0.25">
      <c r="B3002">
        <v>1.3906000000000001</v>
      </c>
      <c r="C3002">
        <v>190</v>
      </c>
      <c r="D3002">
        <v>89</v>
      </c>
      <c r="E3002">
        <v>0.22441</v>
      </c>
      <c r="F3002">
        <v>4.4561000000000002</v>
      </c>
      <c r="G3002">
        <v>708.77</v>
      </c>
      <c r="H3002">
        <v>1.3906000000000001</v>
      </c>
    </row>
    <row r="3003" spans="2:8" x14ac:dyDescent="0.25">
      <c r="B3003">
        <v>1.3949</v>
      </c>
      <c r="C3003">
        <v>195</v>
      </c>
      <c r="D3003">
        <v>89</v>
      </c>
      <c r="E3003">
        <v>0.22248999999999999</v>
      </c>
      <c r="F3003">
        <v>4.4945000000000004</v>
      </c>
      <c r="G3003">
        <v>711.6</v>
      </c>
      <c r="H3003">
        <v>1.3949</v>
      </c>
    </row>
    <row r="3004" spans="2:8" x14ac:dyDescent="0.25">
      <c r="B3004">
        <v>1.3992</v>
      </c>
      <c r="C3004">
        <v>200</v>
      </c>
      <c r="D3004">
        <v>89</v>
      </c>
      <c r="E3004">
        <v>0.22061</v>
      </c>
      <c r="F3004">
        <v>4.5328999999999997</v>
      </c>
      <c r="G3004">
        <v>714.42</v>
      </c>
      <c r="H3004">
        <v>1.3992</v>
      </c>
    </row>
    <row r="3005" spans="2:8" x14ac:dyDescent="0.25">
      <c r="B3005">
        <v>1.4035</v>
      </c>
      <c r="C3005">
        <v>205</v>
      </c>
      <c r="D3005">
        <v>89</v>
      </c>
      <c r="E3005">
        <v>0.21876000000000001</v>
      </c>
      <c r="F3005">
        <v>4.5712000000000002</v>
      </c>
      <c r="G3005">
        <v>717.25</v>
      </c>
      <c r="H3005">
        <v>1.4035</v>
      </c>
    </row>
    <row r="3006" spans="2:8" x14ac:dyDescent="0.25">
      <c r="B3006">
        <v>1.4077</v>
      </c>
      <c r="C3006">
        <v>210</v>
      </c>
      <c r="D3006">
        <v>89</v>
      </c>
      <c r="E3006">
        <v>0.21695</v>
      </c>
      <c r="F3006">
        <v>4.6093000000000002</v>
      </c>
      <c r="G3006">
        <v>720.07</v>
      </c>
      <c r="H3006">
        <v>1.4077</v>
      </c>
    </row>
    <row r="3007" spans="2:8" x14ac:dyDescent="0.25">
      <c r="B3007">
        <v>1.4118999999999999</v>
      </c>
      <c r="C3007">
        <v>215</v>
      </c>
      <c r="D3007">
        <v>89</v>
      </c>
      <c r="E3007">
        <v>0.21517</v>
      </c>
      <c r="F3007">
        <v>4.6474000000000002</v>
      </c>
      <c r="G3007">
        <v>722.9</v>
      </c>
      <c r="H3007">
        <v>1.4118999999999999</v>
      </c>
    </row>
    <row r="3008" spans="2:8" x14ac:dyDescent="0.25">
      <c r="B3008">
        <v>1.4160999999999999</v>
      </c>
      <c r="C3008">
        <v>220</v>
      </c>
      <c r="D3008">
        <v>89</v>
      </c>
      <c r="E3008">
        <v>0.21343000000000001</v>
      </c>
      <c r="F3008">
        <v>4.6855000000000002</v>
      </c>
      <c r="G3008">
        <v>725.72</v>
      </c>
      <c r="H3008">
        <v>1.4160999999999999</v>
      </c>
    </row>
    <row r="3009" spans="2:8" x14ac:dyDescent="0.25">
      <c r="B3009">
        <v>1.4201999999999999</v>
      </c>
      <c r="C3009">
        <v>225</v>
      </c>
      <c r="D3009">
        <v>89</v>
      </c>
      <c r="E3009">
        <v>0.21171000000000001</v>
      </c>
      <c r="F3009">
        <v>4.7233999999999998</v>
      </c>
      <c r="G3009">
        <v>728.54</v>
      </c>
      <c r="H3009">
        <v>1.4201999999999999</v>
      </c>
    </row>
    <row r="3010" spans="2:8" x14ac:dyDescent="0.25">
      <c r="B3010">
        <v>1.4242999999999999</v>
      </c>
      <c r="C3010">
        <v>230</v>
      </c>
      <c r="D3010">
        <v>89</v>
      </c>
      <c r="E3010">
        <v>0.21002999999999999</v>
      </c>
      <c r="F3010">
        <v>4.7613000000000003</v>
      </c>
      <c r="G3010">
        <v>731.37</v>
      </c>
      <c r="H3010">
        <v>1.4242999999999999</v>
      </c>
    </row>
    <row r="3011" spans="2:8" x14ac:dyDescent="0.25">
      <c r="B3011">
        <v>1.4283999999999999</v>
      </c>
      <c r="C3011">
        <v>235</v>
      </c>
      <c r="D3011">
        <v>89</v>
      </c>
      <c r="E3011">
        <v>0.20837</v>
      </c>
      <c r="F3011">
        <v>4.7990000000000004</v>
      </c>
      <c r="G3011">
        <v>734.19</v>
      </c>
      <c r="H3011">
        <v>1.4283999999999999</v>
      </c>
    </row>
    <row r="3012" spans="2:8" x14ac:dyDescent="0.25">
      <c r="B3012">
        <v>1.4325000000000001</v>
      </c>
      <c r="C3012">
        <v>240</v>
      </c>
      <c r="D3012">
        <v>89</v>
      </c>
      <c r="E3012">
        <v>0.20674999999999999</v>
      </c>
      <c r="F3012">
        <v>4.8368000000000002</v>
      </c>
      <c r="G3012">
        <v>737.02</v>
      </c>
      <c r="H3012">
        <v>1.4325000000000001</v>
      </c>
    </row>
    <row r="3013" spans="2:8" x14ac:dyDescent="0.25">
      <c r="B3013">
        <v>1.4365000000000001</v>
      </c>
      <c r="C3013">
        <v>245</v>
      </c>
      <c r="D3013">
        <v>89</v>
      </c>
      <c r="E3013">
        <v>0.20515</v>
      </c>
      <c r="F3013">
        <v>4.8743999999999996</v>
      </c>
      <c r="G3013">
        <v>739.85</v>
      </c>
      <c r="H3013">
        <v>1.4365000000000001</v>
      </c>
    </row>
    <row r="3014" spans="2:8" x14ac:dyDescent="0.25">
      <c r="B3014">
        <v>1.4404999999999999</v>
      </c>
      <c r="C3014">
        <v>250</v>
      </c>
      <c r="D3014">
        <v>89</v>
      </c>
      <c r="E3014">
        <v>0.20358000000000001</v>
      </c>
      <c r="F3014">
        <v>4.9119999999999999</v>
      </c>
      <c r="G3014">
        <v>742.68</v>
      </c>
      <c r="H3014">
        <v>1.4404999999999999</v>
      </c>
    </row>
    <row r="3015" spans="2:8" x14ac:dyDescent="0.25">
      <c r="B3015">
        <v>1.4444999999999999</v>
      </c>
      <c r="C3015">
        <v>255</v>
      </c>
      <c r="D3015">
        <v>89</v>
      </c>
      <c r="E3015">
        <v>0.20204</v>
      </c>
      <c r="F3015">
        <v>4.9494999999999996</v>
      </c>
      <c r="G3015">
        <v>745.51</v>
      </c>
      <c r="H3015">
        <v>1.4444999999999999</v>
      </c>
    </row>
    <row r="3016" spans="2:8" x14ac:dyDescent="0.25">
      <c r="B3016">
        <v>1.4483999999999999</v>
      </c>
      <c r="C3016">
        <v>260</v>
      </c>
      <c r="D3016">
        <v>89</v>
      </c>
      <c r="E3016">
        <v>0.20052</v>
      </c>
      <c r="F3016">
        <v>4.9870000000000001</v>
      </c>
      <c r="G3016">
        <v>748.34</v>
      </c>
      <c r="H3016">
        <v>1.4483999999999999</v>
      </c>
    </row>
    <row r="3017" spans="2:8" x14ac:dyDescent="0.25">
      <c r="B3017">
        <v>1.4522999999999999</v>
      </c>
      <c r="C3017">
        <v>265</v>
      </c>
      <c r="D3017">
        <v>89</v>
      </c>
      <c r="E3017">
        <v>0.19903000000000001</v>
      </c>
      <c r="F3017">
        <v>5.0244</v>
      </c>
      <c r="G3017">
        <v>751.18</v>
      </c>
      <c r="H3017">
        <v>1.4522999999999999</v>
      </c>
    </row>
    <row r="3018" spans="2:8" x14ac:dyDescent="0.25">
      <c r="B3018">
        <v>1.4562999999999999</v>
      </c>
      <c r="C3018">
        <v>270</v>
      </c>
      <c r="D3018">
        <v>89</v>
      </c>
      <c r="E3018">
        <v>0.19756000000000001</v>
      </c>
      <c r="F3018">
        <v>5.0617999999999999</v>
      </c>
      <c r="G3018">
        <v>754.02</v>
      </c>
      <c r="H3018">
        <v>1.4562999999999999</v>
      </c>
    </row>
    <row r="3019" spans="2:8" x14ac:dyDescent="0.25">
      <c r="B3019">
        <v>1.4601</v>
      </c>
      <c r="C3019">
        <v>275</v>
      </c>
      <c r="D3019">
        <v>89</v>
      </c>
      <c r="E3019">
        <v>0.19611000000000001</v>
      </c>
      <c r="F3019">
        <v>5.0991</v>
      </c>
      <c r="G3019">
        <v>756.86</v>
      </c>
      <c r="H3019">
        <v>1.4601</v>
      </c>
    </row>
    <row r="3020" spans="2:8" x14ac:dyDescent="0.25">
      <c r="B3020">
        <v>1.464</v>
      </c>
      <c r="C3020">
        <v>280</v>
      </c>
      <c r="D3020">
        <v>89</v>
      </c>
      <c r="E3020">
        <v>0.19469</v>
      </c>
      <c r="F3020">
        <v>5.1364000000000001</v>
      </c>
      <c r="G3020">
        <v>759.7</v>
      </c>
      <c r="H3020">
        <v>1.464</v>
      </c>
    </row>
    <row r="3021" spans="2:8" x14ac:dyDescent="0.25">
      <c r="B3021">
        <v>1.4678</v>
      </c>
      <c r="C3021">
        <v>285</v>
      </c>
      <c r="D3021">
        <v>89</v>
      </c>
      <c r="E3021">
        <v>0.19328999999999999</v>
      </c>
      <c r="F3021">
        <v>5.1736000000000004</v>
      </c>
      <c r="G3021">
        <v>762.55</v>
      </c>
      <c r="H3021">
        <v>1.4678</v>
      </c>
    </row>
    <row r="3022" spans="2:8" x14ac:dyDescent="0.25">
      <c r="B3022">
        <v>1.4716</v>
      </c>
      <c r="C3022">
        <v>290</v>
      </c>
      <c r="D3022">
        <v>89</v>
      </c>
      <c r="E3022">
        <v>0.19191</v>
      </c>
      <c r="F3022">
        <v>5.2107000000000001</v>
      </c>
      <c r="G3022">
        <v>765.4</v>
      </c>
      <c r="H3022">
        <v>1.4716</v>
      </c>
    </row>
    <row r="3023" spans="2:8" x14ac:dyDescent="0.25">
      <c r="B3023">
        <v>1.4754</v>
      </c>
      <c r="C3023">
        <v>295</v>
      </c>
      <c r="D3023">
        <v>89</v>
      </c>
      <c r="E3023">
        <v>0.19055</v>
      </c>
      <c r="F3023">
        <v>5.2478999999999996</v>
      </c>
      <c r="G3023">
        <v>768.26</v>
      </c>
      <c r="H3023">
        <v>1.4754</v>
      </c>
    </row>
    <row r="3024" spans="2:8" x14ac:dyDescent="0.25">
      <c r="B3024">
        <v>1.4792000000000001</v>
      </c>
      <c r="C3024">
        <v>300</v>
      </c>
      <c r="D3024">
        <v>89</v>
      </c>
      <c r="E3024">
        <v>0.18922</v>
      </c>
      <c r="F3024">
        <v>5.2849000000000004</v>
      </c>
      <c r="G3024">
        <v>771.11</v>
      </c>
      <c r="H3024">
        <v>1.4792000000000001</v>
      </c>
    </row>
    <row r="3026" spans="1:8" x14ac:dyDescent="0.25">
      <c r="A3026">
        <v>97.8</v>
      </c>
      <c r="B3026">
        <v>-2.5708999999999999E-2</v>
      </c>
      <c r="C3026">
        <v>-50</v>
      </c>
      <c r="D3026">
        <v>97.8</v>
      </c>
      <c r="E3026">
        <v>43.518999999999998</v>
      </c>
      <c r="F3026">
        <v>2.2978999999999999E-2</v>
      </c>
      <c r="G3026">
        <v>-10.287000000000001</v>
      </c>
      <c r="H3026">
        <v>-2.5708999999999999E-2</v>
      </c>
    </row>
    <row r="3027" spans="1:8" x14ac:dyDescent="0.25">
      <c r="B3027">
        <v>-1.2983E-2</v>
      </c>
      <c r="C3027">
        <v>-45</v>
      </c>
      <c r="D3027">
        <v>97.8</v>
      </c>
      <c r="E3027">
        <v>43.311</v>
      </c>
      <c r="F3027">
        <v>2.3088999999999998E-2</v>
      </c>
      <c r="G3027">
        <v>-5.0411999999999999</v>
      </c>
      <c r="H3027">
        <v>-1.2983E-2</v>
      </c>
    </row>
    <row r="3028" spans="1:8" x14ac:dyDescent="0.25">
      <c r="B3028">
        <v>-3.6676999999999999E-4</v>
      </c>
      <c r="C3028">
        <v>-40</v>
      </c>
      <c r="D3028">
        <v>97.8</v>
      </c>
      <c r="E3028">
        <v>43.101999999999997</v>
      </c>
      <c r="F3028">
        <v>2.3200999999999999E-2</v>
      </c>
      <c r="G3028">
        <v>0.22164</v>
      </c>
      <c r="H3028">
        <v>-3.6676999999999999E-4</v>
      </c>
    </row>
    <row r="3029" spans="1:8" x14ac:dyDescent="0.25">
      <c r="B3029">
        <v>1.2141000000000001E-2</v>
      </c>
      <c r="C3029">
        <v>-35</v>
      </c>
      <c r="D3029">
        <v>97.8</v>
      </c>
      <c r="E3029">
        <v>42.890999999999998</v>
      </c>
      <c r="F3029">
        <v>2.3314999999999999E-2</v>
      </c>
      <c r="G3029">
        <v>5.5018000000000002</v>
      </c>
      <c r="H3029">
        <v>1.2141000000000001E-2</v>
      </c>
    </row>
    <row r="3030" spans="1:8" x14ac:dyDescent="0.25">
      <c r="B3030">
        <v>2.4541E-2</v>
      </c>
      <c r="C3030">
        <v>-30</v>
      </c>
      <c r="D3030">
        <v>97.8</v>
      </c>
      <c r="E3030">
        <v>42.677999999999997</v>
      </c>
      <c r="F3030">
        <v>2.3431E-2</v>
      </c>
      <c r="G3030">
        <v>10.798999999999999</v>
      </c>
      <c r="H3030">
        <v>2.4541E-2</v>
      </c>
    </row>
    <row r="3031" spans="1:8" x14ac:dyDescent="0.25">
      <c r="B3031">
        <v>3.6838000000000003E-2</v>
      </c>
      <c r="C3031">
        <v>-25</v>
      </c>
      <c r="D3031">
        <v>97.8</v>
      </c>
      <c r="E3031">
        <v>42.463000000000001</v>
      </c>
      <c r="F3031">
        <v>2.3550000000000001E-2</v>
      </c>
      <c r="G3031">
        <v>16.113</v>
      </c>
      <c r="H3031">
        <v>3.6838000000000003E-2</v>
      </c>
    </row>
    <row r="3032" spans="1:8" x14ac:dyDescent="0.25">
      <c r="B3032">
        <v>4.9030999999999998E-2</v>
      </c>
      <c r="C3032">
        <v>-20</v>
      </c>
      <c r="D3032">
        <v>97.8</v>
      </c>
      <c r="E3032">
        <v>42.246000000000002</v>
      </c>
      <c r="F3032">
        <v>2.3671000000000001E-2</v>
      </c>
      <c r="G3032">
        <v>21.443999999999999</v>
      </c>
      <c r="H3032">
        <v>4.9030999999999998E-2</v>
      </c>
    </row>
    <row r="3033" spans="1:8" x14ac:dyDescent="0.25">
      <c r="B3033">
        <v>6.1123999999999998E-2</v>
      </c>
      <c r="C3033">
        <v>-15</v>
      </c>
      <c r="D3033">
        <v>97.8</v>
      </c>
      <c r="E3033">
        <v>42.027999999999999</v>
      </c>
      <c r="F3033">
        <v>2.3793999999999999E-2</v>
      </c>
      <c r="G3033">
        <v>26.791</v>
      </c>
      <c r="H3033">
        <v>6.1123999999999998E-2</v>
      </c>
    </row>
    <row r="3034" spans="1:8" x14ac:dyDescent="0.25">
      <c r="B3034">
        <v>7.3118000000000002E-2</v>
      </c>
      <c r="C3034">
        <v>-10</v>
      </c>
      <c r="D3034">
        <v>97.8</v>
      </c>
      <c r="E3034">
        <v>41.807000000000002</v>
      </c>
      <c r="F3034">
        <v>2.3918999999999999E-2</v>
      </c>
      <c r="G3034">
        <v>32.154000000000003</v>
      </c>
      <c r="H3034">
        <v>7.3118000000000002E-2</v>
      </c>
    </row>
    <row r="3035" spans="1:8" x14ac:dyDescent="0.25">
      <c r="B3035">
        <v>8.5015999999999994E-2</v>
      </c>
      <c r="C3035">
        <v>-5</v>
      </c>
      <c r="D3035">
        <v>97.8</v>
      </c>
      <c r="E3035">
        <v>41.585000000000001</v>
      </c>
      <c r="F3035">
        <v>2.4046999999999999E-2</v>
      </c>
      <c r="G3035">
        <v>37.533999999999999</v>
      </c>
      <c r="H3035">
        <v>8.5015999999999994E-2</v>
      </c>
    </row>
    <row r="3036" spans="1:8" x14ac:dyDescent="0.25">
      <c r="B3036">
        <v>9.6819000000000002E-2</v>
      </c>
      <c r="C3036">
        <v>0</v>
      </c>
      <c r="D3036">
        <v>97.8</v>
      </c>
      <c r="E3036">
        <v>41.360999999999997</v>
      </c>
      <c r="F3036">
        <v>2.4178000000000002E-2</v>
      </c>
      <c r="G3036">
        <v>42.93</v>
      </c>
      <c r="H3036">
        <v>9.6819000000000002E-2</v>
      </c>
    </row>
    <row r="3037" spans="1:8" x14ac:dyDescent="0.25">
      <c r="B3037">
        <v>0.10853</v>
      </c>
      <c r="C3037">
        <v>5</v>
      </c>
      <c r="D3037">
        <v>97.8</v>
      </c>
      <c r="E3037">
        <v>41.134</v>
      </c>
      <c r="F3037">
        <v>2.4310999999999999E-2</v>
      </c>
      <c r="G3037">
        <v>48.341999999999999</v>
      </c>
      <c r="H3037">
        <v>0.10853</v>
      </c>
    </row>
    <row r="3038" spans="1:8" x14ac:dyDescent="0.25">
      <c r="B3038">
        <v>0.12015000000000001</v>
      </c>
      <c r="C3038">
        <v>10</v>
      </c>
      <c r="D3038">
        <v>97.8</v>
      </c>
      <c r="E3038">
        <v>40.905999999999999</v>
      </c>
      <c r="F3038">
        <v>2.4445999999999999E-2</v>
      </c>
      <c r="G3038">
        <v>53.771000000000001</v>
      </c>
      <c r="H3038">
        <v>0.12015000000000001</v>
      </c>
    </row>
    <row r="3039" spans="1:8" x14ac:dyDescent="0.25">
      <c r="B3039">
        <v>0.13167999999999999</v>
      </c>
      <c r="C3039">
        <v>15</v>
      </c>
      <c r="D3039">
        <v>97.8</v>
      </c>
      <c r="E3039">
        <v>40.674999999999997</v>
      </c>
      <c r="F3039">
        <v>2.4584999999999999E-2</v>
      </c>
      <c r="G3039">
        <v>59.216999999999999</v>
      </c>
      <c r="H3039">
        <v>0.13167999999999999</v>
      </c>
    </row>
    <row r="3040" spans="1:8" x14ac:dyDescent="0.25">
      <c r="B3040">
        <v>0.14313000000000001</v>
      </c>
      <c r="C3040">
        <v>20</v>
      </c>
      <c r="D3040">
        <v>97.8</v>
      </c>
      <c r="E3040">
        <v>40.442999999999998</v>
      </c>
      <c r="F3040">
        <v>2.4726000000000001E-2</v>
      </c>
      <c r="G3040">
        <v>64.680000000000007</v>
      </c>
      <c r="H3040">
        <v>0.14313000000000001</v>
      </c>
    </row>
    <row r="3041" spans="2:8" x14ac:dyDescent="0.25">
      <c r="B3041">
        <v>0.1545</v>
      </c>
      <c r="C3041">
        <v>25</v>
      </c>
      <c r="D3041">
        <v>97.8</v>
      </c>
      <c r="E3041">
        <v>40.207999999999998</v>
      </c>
      <c r="F3041">
        <v>2.4871000000000001E-2</v>
      </c>
      <c r="G3041">
        <v>70.16</v>
      </c>
      <c r="H3041">
        <v>0.1545</v>
      </c>
    </row>
    <row r="3042" spans="2:8" x14ac:dyDescent="0.25">
      <c r="B3042">
        <v>0.16578000000000001</v>
      </c>
      <c r="C3042">
        <v>30</v>
      </c>
      <c r="D3042">
        <v>97.8</v>
      </c>
      <c r="E3042">
        <v>39.970999999999997</v>
      </c>
      <c r="F3042">
        <v>2.5017999999999999E-2</v>
      </c>
      <c r="G3042">
        <v>75.658000000000001</v>
      </c>
      <c r="H3042">
        <v>0.16578000000000001</v>
      </c>
    </row>
    <row r="3043" spans="2:8" x14ac:dyDescent="0.25">
      <c r="B3043">
        <v>0.17699000000000001</v>
      </c>
      <c r="C3043">
        <v>35</v>
      </c>
      <c r="D3043">
        <v>97.8</v>
      </c>
      <c r="E3043">
        <v>39.731999999999999</v>
      </c>
      <c r="F3043">
        <v>2.5169E-2</v>
      </c>
      <c r="G3043">
        <v>81.174999999999997</v>
      </c>
      <c r="H3043">
        <v>0.17699000000000001</v>
      </c>
    </row>
    <row r="3044" spans="2:8" x14ac:dyDescent="0.25">
      <c r="B3044">
        <v>0.18812999999999999</v>
      </c>
      <c r="C3044">
        <v>40</v>
      </c>
      <c r="D3044">
        <v>97.8</v>
      </c>
      <c r="E3044">
        <v>39.49</v>
      </c>
      <c r="F3044">
        <v>2.5322999999999998E-2</v>
      </c>
      <c r="G3044">
        <v>86.710999999999999</v>
      </c>
      <c r="H3044">
        <v>0.18812999999999999</v>
      </c>
    </row>
    <row r="3045" spans="2:8" x14ac:dyDescent="0.25">
      <c r="B3045">
        <v>0.19919000000000001</v>
      </c>
      <c r="C3045">
        <v>45</v>
      </c>
      <c r="D3045">
        <v>97.8</v>
      </c>
      <c r="E3045">
        <v>39.244999999999997</v>
      </c>
      <c r="F3045">
        <v>2.5481E-2</v>
      </c>
      <c r="G3045">
        <v>92.266000000000005</v>
      </c>
      <c r="H3045">
        <v>0.19919000000000001</v>
      </c>
    </row>
    <row r="3046" spans="2:8" x14ac:dyDescent="0.25">
      <c r="B3046">
        <v>0.21018999999999999</v>
      </c>
      <c r="C3046">
        <v>50</v>
      </c>
      <c r="D3046">
        <v>97.8</v>
      </c>
      <c r="E3046">
        <v>38.997999999999998</v>
      </c>
      <c r="F3046">
        <v>2.5642000000000002E-2</v>
      </c>
      <c r="G3046">
        <v>97.841999999999999</v>
      </c>
      <c r="H3046">
        <v>0.21018999999999999</v>
      </c>
    </row>
    <row r="3047" spans="2:8" x14ac:dyDescent="0.25">
      <c r="B3047">
        <v>1.2371000000000001</v>
      </c>
      <c r="C3047">
        <v>55</v>
      </c>
      <c r="D3047">
        <v>97.8</v>
      </c>
      <c r="E3047">
        <v>0.33176</v>
      </c>
      <c r="F3047">
        <v>3.0142000000000002</v>
      </c>
      <c r="G3047">
        <v>626.19000000000005</v>
      </c>
      <c r="H3047">
        <v>1.2371000000000001</v>
      </c>
    </row>
    <row r="3048" spans="2:8" x14ac:dyDescent="0.25">
      <c r="B3048">
        <v>1.2437</v>
      </c>
      <c r="C3048">
        <v>60</v>
      </c>
      <c r="D3048">
        <v>97.8</v>
      </c>
      <c r="E3048">
        <v>0.32711000000000001</v>
      </c>
      <c r="F3048">
        <v>3.0569999999999999</v>
      </c>
      <c r="G3048">
        <v>629.61</v>
      </c>
      <c r="H3048">
        <v>1.2437</v>
      </c>
    </row>
    <row r="3049" spans="2:8" x14ac:dyDescent="0.25">
      <c r="B3049">
        <v>1.2502</v>
      </c>
      <c r="C3049">
        <v>65</v>
      </c>
      <c r="D3049">
        <v>97.8</v>
      </c>
      <c r="E3049">
        <v>0.32266</v>
      </c>
      <c r="F3049">
        <v>3.0992000000000002</v>
      </c>
      <c r="G3049">
        <v>632.97</v>
      </c>
      <c r="H3049">
        <v>1.2502</v>
      </c>
    </row>
    <row r="3050" spans="2:8" x14ac:dyDescent="0.25">
      <c r="B3050">
        <v>1.2564</v>
      </c>
      <c r="C3050">
        <v>70</v>
      </c>
      <c r="D3050">
        <v>97.8</v>
      </c>
      <c r="E3050">
        <v>0.31839000000000001</v>
      </c>
      <c r="F3050">
        <v>3.1408</v>
      </c>
      <c r="G3050">
        <v>636.27</v>
      </c>
      <c r="H3050">
        <v>1.2564</v>
      </c>
    </row>
    <row r="3051" spans="2:8" x14ac:dyDescent="0.25">
      <c r="B3051">
        <v>1.2625</v>
      </c>
      <c r="C3051">
        <v>75</v>
      </c>
      <c r="D3051">
        <v>97.8</v>
      </c>
      <c r="E3051">
        <v>0.31429000000000001</v>
      </c>
      <c r="F3051">
        <v>3.1818</v>
      </c>
      <c r="G3051">
        <v>639.52</v>
      </c>
      <c r="H3051">
        <v>1.2625</v>
      </c>
    </row>
    <row r="3052" spans="2:8" x14ac:dyDescent="0.25">
      <c r="B3052">
        <v>1.2685</v>
      </c>
      <c r="C3052">
        <v>80</v>
      </c>
      <c r="D3052">
        <v>97.8</v>
      </c>
      <c r="E3052">
        <v>0.31032999999999999</v>
      </c>
      <c r="F3052">
        <v>3.2223999999999999</v>
      </c>
      <c r="G3052">
        <v>642.74</v>
      </c>
      <c r="H3052">
        <v>1.2685</v>
      </c>
    </row>
    <row r="3053" spans="2:8" x14ac:dyDescent="0.25">
      <c r="B3053">
        <v>1.2744</v>
      </c>
      <c r="C3053">
        <v>85</v>
      </c>
      <c r="D3053">
        <v>97.8</v>
      </c>
      <c r="E3053">
        <v>0.30652000000000001</v>
      </c>
      <c r="F3053">
        <v>3.2624</v>
      </c>
      <c r="G3053">
        <v>645.91</v>
      </c>
      <c r="H3053">
        <v>1.2744</v>
      </c>
    </row>
    <row r="3054" spans="2:8" x14ac:dyDescent="0.25">
      <c r="B3054">
        <v>1.2801</v>
      </c>
      <c r="C3054">
        <v>90</v>
      </c>
      <c r="D3054">
        <v>97.8</v>
      </c>
      <c r="E3054">
        <v>0.30284</v>
      </c>
      <c r="F3054">
        <v>3.3020999999999998</v>
      </c>
      <c r="G3054">
        <v>649.04999999999995</v>
      </c>
      <c r="H3054">
        <v>1.2801</v>
      </c>
    </row>
    <row r="3055" spans="2:8" x14ac:dyDescent="0.25">
      <c r="B3055">
        <v>1.2857000000000001</v>
      </c>
      <c r="C3055">
        <v>95</v>
      </c>
      <c r="D3055">
        <v>97.8</v>
      </c>
      <c r="E3055">
        <v>0.29927999999999999</v>
      </c>
      <c r="F3055">
        <v>3.3414000000000001</v>
      </c>
      <c r="G3055">
        <v>652.15</v>
      </c>
      <c r="H3055">
        <v>1.2857000000000001</v>
      </c>
    </row>
    <row r="3056" spans="2:8" x14ac:dyDescent="0.25">
      <c r="B3056">
        <v>1.2912999999999999</v>
      </c>
      <c r="C3056">
        <v>100</v>
      </c>
      <c r="D3056">
        <v>97.8</v>
      </c>
      <c r="E3056">
        <v>0.29582999999999998</v>
      </c>
      <c r="F3056">
        <v>3.3803000000000001</v>
      </c>
      <c r="G3056">
        <v>655.23</v>
      </c>
      <c r="H3056">
        <v>1.2912999999999999</v>
      </c>
    </row>
    <row r="3057" spans="2:8" x14ac:dyDescent="0.25">
      <c r="B3057">
        <v>1.2967</v>
      </c>
      <c r="C3057">
        <v>105</v>
      </c>
      <c r="D3057">
        <v>97.8</v>
      </c>
      <c r="E3057">
        <v>0.29249000000000003</v>
      </c>
      <c r="F3057">
        <v>3.4188999999999998</v>
      </c>
      <c r="G3057">
        <v>658.28</v>
      </c>
      <c r="H3057">
        <v>1.2967</v>
      </c>
    </row>
    <row r="3058" spans="2:8" x14ac:dyDescent="0.25">
      <c r="B3058">
        <v>1.302</v>
      </c>
      <c r="C3058">
        <v>110</v>
      </c>
      <c r="D3058">
        <v>97.8</v>
      </c>
      <c r="E3058">
        <v>0.28925000000000001</v>
      </c>
      <c r="F3058">
        <v>3.4571999999999998</v>
      </c>
      <c r="G3058">
        <v>661.31</v>
      </c>
      <c r="H3058">
        <v>1.302</v>
      </c>
    </row>
    <row r="3059" spans="2:8" x14ac:dyDescent="0.25">
      <c r="B3059">
        <v>1.3072999999999999</v>
      </c>
      <c r="C3059">
        <v>115</v>
      </c>
      <c r="D3059">
        <v>97.8</v>
      </c>
      <c r="E3059">
        <v>0.28610000000000002</v>
      </c>
      <c r="F3059">
        <v>3.4952999999999999</v>
      </c>
      <c r="G3059">
        <v>664.31</v>
      </c>
      <c r="H3059">
        <v>1.3072999999999999</v>
      </c>
    </row>
    <row r="3060" spans="2:8" x14ac:dyDescent="0.25">
      <c r="B3060">
        <v>1.3124</v>
      </c>
      <c r="C3060">
        <v>120</v>
      </c>
      <c r="D3060">
        <v>97.8</v>
      </c>
      <c r="E3060">
        <v>0.28304000000000001</v>
      </c>
      <c r="F3060">
        <v>3.5329999999999999</v>
      </c>
      <c r="G3060">
        <v>667.3</v>
      </c>
      <c r="H3060">
        <v>1.3124</v>
      </c>
    </row>
    <row r="3061" spans="2:8" x14ac:dyDescent="0.25">
      <c r="B3061">
        <v>1.3174999999999999</v>
      </c>
      <c r="C3061">
        <v>125</v>
      </c>
      <c r="D3061">
        <v>97.8</v>
      </c>
      <c r="E3061">
        <v>0.28006999999999999</v>
      </c>
      <c r="F3061">
        <v>3.5705</v>
      </c>
      <c r="G3061">
        <v>670.27</v>
      </c>
      <c r="H3061">
        <v>1.3174999999999999</v>
      </c>
    </row>
    <row r="3062" spans="2:8" x14ac:dyDescent="0.25">
      <c r="B3062">
        <v>1.3226</v>
      </c>
      <c r="C3062">
        <v>130</v>
      </c>
      <c r="D3062">
        <v>97.8</v>
      </c>
      <c r="E3062">
        <v>0.27717000000000003</v>
      </c>
      <c r="F3062">
        <v>3.6078000000000001</v>
      </c>
      <c r="G3062">
        <v>673.22</v>
      </c>
      <c r="H3062">
        <v>1.3226</v>
      </c>
    </row>
    <row r="3063" spans="2:8" x14ac:dyDescent="0.25">
      <c r="B3063">
        <v>1.3274999999999999</v>
      </c>
      <c r="C3063">
        <v>135</v>
      </c>
      <c r="D3063">
        <v>97.8</v>
      </c>
      <c r="E3063">
        <v>0.27435999999999999</v>
      </c>
      <c r="F3063">
        <v>3.6448999999999998</v>
      </c>
      <c r="G3063">
        <v>676.16</v>
      </c>
      <c r="H3063">
        <v>1.3274999999999999</v>
      </c>
    </row>
    <row r="3064" spans="2:8" x14ac:dyDescent="0.25">
      <c r="B3064">
        <v>1.3324</v>
      </c>
      <c r="C3064">
        <v>140</v>
      </c>
      <c r="D3064">
        <v>97.8</v>
      </c>
      <c r="E3064">
        <v>0.27161000000000002</v>
      </c>
      <c r="F3064">
        <v>3.6818</v>
      </c>
      <c r="G3064">
        <v>679.08</v>
      </c>
      <c r="H3064">
        <v>1.3324</v>
      </c>
    </row>
    <row r="3065" spans="2:8" x14ac:dyDescent="0.25">
      <c r="B3065">
        <v>1.3372999999999999</v>
      </c>
      <c r="C3065">
        <v>145</v>
      </c>
      <c r="D3065">
        <v>97.8</v>
      </c>
      <c r="E3065">
        <v>0.26893</v>
      </c>
      <c r="F3065">
        <v>3.7185000000000001</v>
      </c>
      <c r="G3065">
        <v>682</v>
      </c>
      <c r="H3065">
        <v>1.3372999999999999</v>
      </c>
    </row>
    <row r="3066" spans="2:8" x14ac:dyDescent="0.25">
      <c r="B3066">
        <v>1.3421000000000001</v>
      </c>
      <c r="C3066">
        <v>150</v>
      </c>
      <c r="D3066">
        <v>97.8</v>
      </c>
      <c r="E3066">
        <v>0.26630999999999999</v>
      </c>
      <c r="F3066">
        <v>3.7549999999999999</v>
      </c>
      <c r="G3066">
        <v>684.9</v>
      </c>
      <c r="H3066">
        <v>1.3421000000000001</v>
      </c>
    </row>
    <row r="3067" spans="2:8" x14ac:dyDescent="0.25">
      <c r="B3067">
        <v>1.3468</v>
      </c>
      <c r="C3067">
        <v>155</v>
      </c>
      <c r="D3067">
        <v>97.8</v>
      </c>
      <c r="E3067">
        <v>0.26375999999999999</v>
      </c>
      <c r="F3067">
        <v>3.7913000000000001</v>
      </c>
      <c r="G3067">
        <v>687.8</v>
      </c>
      <c r="H3067">
        <v>1.3468</v>
      </c>
    </row>
    <row r="3068" spans="2:8" x14ac:dyDescent="0.25">
      <c r="B3068">
        <v>1.3514999999999999</v>
      </c>
      <c r="C3068">
        <v>160</v>
      </c>
      <c r="D3068">
        <v>97.8</v>
      </c>
      <c r="E3068">
        <v>0.26127</v>
      </c>
      <c r="F3068">
        <v>3.8275000000000001</v>
      </c>
      <c r="G3068">
        <v>690.68</v>
      </c>
      <c r="H3068">
        <v>1.3514999999999999</v>
      </c>
    </row>
    <row r="3069" spans="2:8" x14ac:dyDescent="0.25">
      <c r="B3069">
        <v>1.3561000000000001</v>
      </c>
      <c r="C3069">
        <v>165</v>
      </c>
      <c r="D3069">
        <v>97.8</v>
      </c>
      <c r="E3069">
        <v>0.25883</v>
      </c>
      <c r="F3069">
        <v>3.8635999999999999</v>
      </c>
      <c r="G3069">
        <v>693.56</v>
      </c>
      <c r="H3069">
        <v>1.3561000000000001</v>
      </c>
    </row>
    <row r="3070" spans="2:8" x14ac:dyDescent="0.25">
      <c r="B3070">
        <v>1.3607</v>
      </c>
      <c r="C3070">
        <v>170</v>
      </c>
      <c r="D3070">
        <v>97.8</v>
      </c>
      <c r="E3070">
        <v>0.25645000000000001</v>
      </c>
      <c r="F3070">
        <v>3.8995000000000002</v>
      </c>
      <c r="G3070">
        <v>696.43</v>
      </c>
      <c r="H3070">
        <v>1.3607</v>
      </c>
    </row>
    <row r="3071" spans="2:8" x14ac:dyDescent="0.25">
      <c r="B3071">
        <v>1.3652</v>
      </c>
      <c r="C3071">
        <v>175</v>
      </c>
      <c r="D3071">
        <v>97.8</v>
      </c>
      <c r="E3071">
        <v>0.25412000000000001</v>
      </c>
      <c r="F3071">
        <v>3.9352</v>
      </c>
      <c r="G3071">
        <v>699.3</v>
      </c>
      <c r="H3071">
        <v>1.3652</v>
      </c>
    </row>
    <row r="3072" spans="2:8" x14ac:dyDescent="0.25">
      <c r="B3072">
        <v>1.3696999999999999</v>
      </c>
      <c r="C3072">
        <v>180</v>
      </c>
      <c r="D3072">
        <v>97.8</v>
      </c>
      <c r="E3072">
        <v>0.25183</v>
      </c>
      <c r="F3072">
        <v>3.9708999999999999</v>
      </c>
      <c r="G3072">
        <v>702.16</v>
      </c>
      <c r="H3072">
        <v>1.3696999999999999</v>
      </c>
    </row>
    <row r="3073" spans="2:8" x14ac:dyDescent="0.25">
      <c r="B3073">
        <v>1.3741000000000001</v>
      </c>
      <c r="C3073">
        <v>185</v>
      </c>
      <c r="D3073">
        <v>97.8</v>
      </c>
      <c r="E3073">
        <v>0.24959999999999999</v>
      </c>
      <c r="F3073">
        <v>4.0064000000000002</v>
      </c>
      <c r="G3073">
        <v>705.02</v>
      </c>
      <c r="H3073">
        <v>1.3741000000000001</v>
      </c>
    </row>
    <row r="3074" spans="2:8" x14ac:dyDescent="0.25">
      <c r="B3074">
        <v>1.3786</v>
      </c>
      <c r="C3074">
        <v>190</v>
      </c>
      <c r="D3074">
        <v>97.8</v>
      </c>
      <c r="E3074">
        <v>0.24740999999999999</v>
      </c>
      <c r="F3074">
        <v>4.0418000000000003</v>
      </c>
      <c r="G3074">
        <v>707.87</v>
      </c>
      <c r="H3074">
        <v>1.3786</v>
      </c>
    </row>
    <row r="3075" spans="2:8" x14ac:dyDescent="0.25">
      <c r="B3075">
        <v>1.3829</v>
      </c>
      <c r="C3075">
        <v>195</v>
      </c>
      <c r="D3075">
        <v>97.8</v>
      </c>
      <c r="E3075">
        <v>0.24526999999999999</v>
      </c>
      <c r="F3075">
        <v>4.0770999999999997</v>
      </c>
      <c r="G3075">
        <v>710.72</v>
      </c>
      <c r="H3075">
        <v>1.3829</v>
      </c>
    </row>
    <row r="3076" spans="2:8" x14ac:dyDescent="0.25">
      <c r="B3076">
        <v>1.3873</v>
      </c>
      <c r="C3076">
        <v>200</v>
      </c>
      <c r="D3076">
        <v>97.8</v>
      </c>
      <c r="E3076">
        <v>0.24317</v>
      </c>
      <c r="F3076">
        <v>4.1123000000000003</v>
      </c>
      <c r="G3076">
        <v>713.57</v>
      </c>
      <c r="H3076">
        <v>1.3873</v>
      </c>
    </row>
    <row r="3077" spans="2:8" x14ac:dyDescent="0.25">
      <c r="B3077">
        <v>1.3915999999999999</v>
      </c>
      <c r="C3077">
        <v>205</v>
      </c>
      <c r="D3077">
        <v>97.8</v>
      </c>
      <c r="E3077">
        <v>0.24110999999999999</v>
      </c>
      <c r="F3077">
        <v>4.1474000000000002</v>
      </c>
      <c r="G3077">
        <v>716.41</v>
      </c>
      <c r="H3077">
        <v>1.3915999999999999</v>
      </c>
    </row>
    <row r="3078" spans="2:8" x14ac:dyDescent="0.25">
      <c r="B3078">
        <v>1.3957999999999999</v>
      </c>
      <c r="C3078">
        <v>210</v>
      </c>
      <c r="D3078">
        <v>97.8</v>
      </c>
      <c r="E3078">
        <v>0.23910000000000001</v>
      </c>
      <c r="F3078">
        <v>4.1824000000000003</v>
      </c>
      <c r="G3078">
        <v>719.26</v>
      </c>
      <c r="H3078">
        <v>1.3957999999999999</v>
      </c>
    </row>
    <row r="3079" spans="2:8" x14ac:dyDescent="0.25">
      <c r="B3079">
        <v>1.4</v>
      </c>
      <c r="C3079">
        <v>215</v>
      </c>
      <c r="D3079">
        <v>97.8</v>
      </c>
      <c r="E3079">
        <v>0.23710999999999999</v>
      </c>
      <c r="F3079">
        <v>4.2173999999999996</v>
      </c>
      <c r="G3079">
        <v>722.1</v>
      </c>
      <c r="H3079">
        <v>1.4</v>
      </c>
    </row>
    <row r="3080" spans="2:8" x14ac:dyDescent="0.25">
      <c r="B3080">
        <v>1.4041999999999999</v>
      </c>
      <c r="C3080">
        <v>220</v>
      </c>
      <c r="D3080">
        <v>97.8</v>
      </c>
      <c r="E3080">
        <v>0.23516999999999999</v>
      </c>
      <c r="F3080">
        <v>4.2522000000000002</v>
      </c>
      <c r="G3080">
        <v>724.94</v>
      </c>
      <c r="H3080">
        <v>1.4041999999999999</v>
      </c>
    </row>
    <row r="3081" spans="2:8" x14ac:dyDescent="0.25">
      <c r="B3081">
        <v>1.4084000000000001</v>
      </c>
      <c r="C3081">
        <v>225</v>
      </c>
      <c r="D3081">
        <v>97.8</v>
      </c>
      <c r="E3081">
        <v>0.23326</v>
      </c>
      <c r="F3081">
        <v>4.2869999999999999</v>
      </c>
      <c r="G3081">
        <v>727.78</v>
      </c>
      <c r="H3081">
        <v>1.4084000000000001</v>
      </c>
    </row>
    <row r="3082" spans="2:8" x14ac:dyDescent="0.25">
      <c r="B3082">
        <v>1.4125000000000001</v>
      </c>
      <c r="C3082">
        <v>230</v>
      </c>
      <c r="D3082">
        <v>97.8</v>
      </c>
      <c r="E3082">
        <v>0.23139000000000001</v>
      </c>
      <c r="F3082">
        <v>4.3216999999999999</v>
      </c>
      <c r="G3082">
        <v>730.62</v>
      </c>
      <c r="H3082">
        <v>1.4125000000000001</v>
      </c>
    </row>
    <row r="3083" spans="2:8" x14ac:dyDescent="0.25">
      <c r="B3083">
        <v>1.4166000000000001</v>
      </c>
      <c r="C3083">
        <v>235</v>
      </c>
      <c r="D3083">
        <v>97.8</v>
      </c>
      <c r="E3083">
        <v>0.22955</v>
      </c>
      <c r="F3083">
        <v>4.3563000000000001</v>
      </c>
      <c r="G3083">
        <v>733.46</v>
      </c>
      <c r="H3083">
        <v>1.4166000000000001</v>
      </c>
    </row>
    <row r="3084" spans="2:8" x14ac:dyDescent="0.25">
      <c r="B3084">
        <v>1.4207000000000001</v>
      </c>
      <c r="C3084">
        <v>240</v>
      </c>
      <c r="D3084">
        <v>97.8</v>
      </c>
      <c r="E3084">
        <v>0.22775000000000001</v>
      </c>
      <c r="F3084">
        <v>4.3907999999999996</v>
      </c>
      <c r="G3084">
        <v>736.31</v>
      </c>
      <c r="H3084">
        <v>1.4207000000000001</v>
      </c>
    </row>
    <row r="3085" spans="2:8" x14ac:dyDescent="0.25">
      <c r="B3085">
        <v>1.4248000000000001</v>
      </c>
      <c r="C3085">
        <v>245</v>
      </c>
      <c r="D3085">
        <v>97.8</v>
      </c>
      <c r="E3085">
        <v>0.22597</v>
      </c>
      <c r="F3085">
        <v>4.4253</v>
      </c>
      <c r="G3085">
        <v>739.15</v>
      </c>
      <c r="H3085">
        <v>1.4248000000000001</v>
      </c>
    </row>
    <row r="3086" spans="2:8" x14ac:dyDescent="0.25">
      <c r="B3086">
        <v>1.4288000000000001</v>
      </c>
      <c r="C3086">
        <v>250</v>
      </c>
      <c r="D3086">
        <v>97.8</v>
      </c>
      <c r="E3086">
        <v>0.22423000000000001</v>
      </c>
      <c r="F3086">
        <v>4.4596999999999998</v>
      </c>
      <c r="G3086">
        <v>741.99</v>
      </c>
      <c r="H3086">
        <v>1.4288000000000001</v>
      </c>
    </row>
    <row r="3087" spans="2:8" x14ac:dyDescent="0.25">
      <c r="B3087">
        <v>1.4328000000000001</v>
      </c>
      <c r="C3087">
        <v>255</v>
      </c>
      <c r="D3087">
        <v>97.8</v>
      </c>
      <c r="E3087">
        <v>0.22252</v>
      </c>
      <c r="F3087">
        <v>4.4941000000000004</v>
      </c>
      <c r="G3087">
        <v>744.84</v>
      </c>
      <c r="H3087">
        <v>1.4328000000000001</v>
      </c>
    </row>
    <row r="3088" spans="2:8" x14ac:dyDescent="0.25">
      <c r="B3088">
        <v>1.4368000000000001</v>
      </c>
      <c r="C3088">
        <v>260</v>
      </c>
      <c r="D3088">
        <v>97.8</v>
      </c>
      <c r="E3088">
        <v>0.22083</v>
      </c>
      <c r="F3088">
        <v>4.5284000000000004</v>
      </c>
      <c r="G3088">
        <v>747.68</v>
      </c>
      <c r="H3088">
        <v>1.4368000000000001</v>
      </c>
    </row>
    <row r="3089" spans="1:8" x14ac:dyDescent="0.25">
      <c r="B3089">
        <v>1.4407000000000001</v>
      </c>
      <c r="C3089">
        <v>265</v>
      </c>
      <c r="D3089">
        <v>97.8</v>
      </c>
      <c r="E3089">
        <v>0.21917</v>
      </c>
      <c r="F3089">
        <v>4.5625999999999998</v>
      </c>
      <c r="G3089">
        <v>750.53</v>
      </c>
      <c r="H3089">
        <v>1.4407000000000001</v>
      </c>
    </row>
    <row r="3090" spans="1:8" x14ac:dyDescent="0.25">
      <c r="B3090">
        <v>1.4446000000000001</v>
      </c>
      <c r="C3090">
        <v>270</v>
      </c>
      <c r="D3090">
        <v>97.8</v>
      </c>
      <c r="E3090">
        <v>0.21754000000000001</v>
      </c>
      <c r="F3090">
        <v>4.5968</v>
      </c>
      <c r="G3090">
        <v>753.38</v>
      </c>
      <c r="H3090">
        <v>1.4446000000000001</v>
      </c>
    </row>
    <row r="3091" spans="1:8" x14ac:dyDescent="0.25">
      <c r="B3091">
        <v>1.4484999999999999</v>
      </c>
      <c r="C3091">
        <v>275</v>
      </c>
      <c r="D3091">
        <v>97.8</v>
      </c>
      <c r="E3091">
        <v>0.21593999999999999</v>
      </c>
      <c r="F3091">
        <v>4.6308999999999996</v>
      </c>
      <c r="G3091">
        <v>756.24</v>
      </c>
      <c r="H3091">
        <v>1.4484999999999999</v>
      </c>
    </row>
    <row r="3092" spans="1:8" x14ac:dyDescent="0.25">
      <c r="B3092">
        <v>1.4523999999999999</v>
      </c>
      <c r="C3092">
        <v>280</v>
      </c>
      <c r="D3092">
        <v>97.8</v>
      </c>
      <c r="E3092">
        <v>0.21435999999999999</v>
      </c>
      <c r="F3092">
        <v>4.665</v>
      </c>
      <c r="G3092">
        <v>759.09</v>
      </c>
      <c r="H3092">
        <v>1.4523999999999999</v>
      </c>
    </row>
    <row r="3093" spans="1:8" x14ac:dyDescent="0.25">
      <c r="B3093">
        <v>1.4561999999999999</v>
      </c>
      <c r="C3093">
        <v>285</v>
      </c>
      <c r="D3093">
        <v>97.8</v>
      </c>
      <c r="E3093">
        <v>0.21281</v>
      </c>
      <c r="F3093">
        <v>4.6989999999999998</v>
      </c>
      <c r="G3093">
        <v>761.95</v>
      </c>
      <c r="H3093">
        <v>1.4561999999999999</v>
      </c>
    </row>
    <row r="3094" spans="1:8" x14ac:dyDescent="0.25">
      <c r="B3094">
        <v>1.4601</v>
      </c>
      <c r="C3094">
        <v>290</v>
      </c>
      <c r="D3094">
        <v>97.8</v>
      </c>
      <c r="E3094">
        <v>0.21128</v>
      </c>
      <c r="F3094">
        <v>4.7329999999999997</v>
      </c>
      <c r="G3094">
        <v>764.82</v>
      </c>
      <c r="H3094">
        <v>1.4601</v>
      </c>
    </row>
    <row r="3095" spans="1:8" x14ac:dyDescent="0.25">
      <c r="B3095">
        <v>1.4639</v>
      </c>
      <c r="C3095">
        <v>295</v>
      </c>
      <c r="D3095">
        <v>97.8</v>
      </c>
      <c r="E3095">
        <v>0.20977999999999999</v>
      </c>
      <c r="F3095">
        <v>4.7670000000000003</v>
      </c>
      <c r="G3095">
        <v>767.68</v>
      </c>
      <c r="H3095">
        <v>1.4639</v>
      </c>
    </row>
    <row r="3096" spans="1:8" x14ac:dyDescent="0.25">
      <c r="B3096">
        <v>1.4677</v>
      </c>
      <c r="C3096">
        <v>300</v>
      </c>
      <c r="D3096">
        <v>97.8</v>
      </c>
      <c r="E3096">
        <v>0.20830000000000001</v>
      </c>
      <c r="F3096">
        <v>4.8009000000000004</v>
      </c>
      <c r="G3096">
        <v>770.55</v>
      </c>
      <c r="H3096">
        <v>1.4677</v>
      </c>
    </row>
    <row r="3098" spans="1:8" x14ac:dyDescent="0.25">
      <c r="A3098">
        <v>107.3</v>
      </c>
      <c r="B3098">
        <v>9.6771999999999997E-2</v>
      </c>
      <c r="C3098">
        <v>0</v>
      </c>
      <c r="D3098">
        <v>107.3</v>
      </c>
      <c r="E3098">
        <v>41.363</v>
      </c>
      <c r="F3098">
        <v>2.4176E-2</v>
      </c>
      <c r="G3098">
        <v>42.951000000000001</v>
      </c>
      <c r="H3098">
        <v>9.6771999999999997E-2</v>
      </c>
    </row>
    <row r="3099" spans="1:8" x14ac:dyDescent="0.25">
      <c r="B3099">
        <v>0.10847999999999999</v>
      </c>
      <c r="C3099">
        <v>5</v>
      </c>
      <c r="D3099">
        <v>107.3</v>
      </c>
      <c r="E3099">
        <v>41.137</v>
      </c>
      <c r="F3099">
        <v>2.4309000000000001E-2</v>
      </c>
      <c r="G3099">
        <v>48.363</v>
      </c>
      <c r="H3099">
        <v>0.10847999999999999</v>
      </c>
    </row>
    <row r="3100" spans="1:8" x14ac:dyDescent="0.25">
      <c r="B3100">
        <v>0.1201</v>
      </c>
      <c r="C3100">
        <v>10</v>
      </c>
      <c r="D3100">
        <v>107.3</v>
      </c>
      <c r="E3100">
        <v>40.908000000000001</v>
      </c>
      <c r="F3100">
        <v>2.4445000000000001E-2</v>
      </c>
      <c r="G3100">
        <v>53.790999999999997</v>
      </c>
      <c r="H3100">
        <v>0.1201</v>
      </c>
    </row>
    <row r="3101" spans="1:8" x14ac:dyDescent="0.25">
      <c r="B3101">
        <v>0.13164000000000001</v>
      </c>
      <c r="C3101">
        <v>15</v>
      </c>
      <c r="D3101">
        <v>107.3</v>
      </c>
      <c r="E3101">
        <v>40.677999999999997</v>
      </c>
      <c r="F3101">
        <v>2.4583000000000001E-2</v>
      </c>
      <c r="G3101">
        <v>59.237000000000002</v>
      </c>
      <c r="H3101">
        <v>0.13164000000000001</v>
      </c>
    </row>
    <row r="3102" spans="1:8" x14ac:dyDescent="0.25">
      <c r="B3102">
        <v>0.14308000000000001</v>
      </c>
      <c r="C3102">
        <v>20</v>
      </c>
      <c r="D3102">
        <v>107.3</v>
      </c>
      <c r="E3102">
        <v>40.445999999999998</v>
      </c>
      <c r="F3102">
        <v>2.4725E-2</v>
      </c>
      <c r="G3102">
        <v>64.698999999999998</v>
      </c>
      <c r="H3102">
        <v>0.14308000000000001</v>
      </c>
    </row>
    <row r="3103" spans="1:8" x14ac:dyDescent="0.25">
      <c r="B3103">
        <v>0.15445</v>
      </c>
      <c r="C3103">
        <v>25</v>
      </c>
      <c r="D3103">
        <v>107.3</v>
      </c>
      <c r="E3103">
        <v>40.210999999999999</v>
      </c>
      <c r="F3103">
        <v>2.4868999999999999E-2</v>
      </c>
      <c r="G3103">
        <v>70.179000000000002</v>
      </c>
      <c r="H3103">
        <v>0.15445</v>
      </c>
    </row>
    <row r="3104" spans="1:8" x14ac:dyDescent="0.25">
      <c r="B3104">
        <v>0.16572999999999999</v>
      </c>
      <c r="C3104">
        <v>30</v>
      </c>
      <c r="D3104">
        <v>107.3</v>
      </c>
      <c r="E3104">
        <v>39.973999999999997</v>
      </c>
      <c r="F3104">
        <v>2.5016E-2</v>
      </c>
      <c r="G3104">
        <v>75.676000000000002</v>
      </c>
      <c r="H3104">
        <v>0.16572999999999999</v>
      </c>
    </row>
    <row r="3105" spans="2:8" x14ac:dyDescent="0.25">
      <c r="B3105">
        <v>0.17693999999999999</v>
      </c>
      <c r="C3105">
        <v>35</v>
      </c>
      <c r="D3105">
        <v>107.3</v>
      </c>
      <c r="E3105">
        <v>39.734000000000002</v>
      </c>
      <c r="F3105">
        <v>2.5166999999999998E-2</v>
      </c>
      <c r="G3105">
        <v>81.192999999999998</v>
      </c>
      <c r="H3105">
        <v>0.17693999999999999</v>
      </c>
    </row>
    <row r="3106" spans="2:8" x14ac:dyDescent="0.25">
      <c r="B3106">
        <v>0.18806999999999999</v>
      </c>
      <c r="C3106">
        <v>40</v>
      </c>
      <c r="D3106">
        <v>107.3</v>
      </c>
      <c r="E3106">
        <v>39.493000000000002</v>
      </c>
      <c r="F3106">
        <v>2.5321E-2</v>
      </c>
      <c r="G3106">
        <v>86.727999999999994</v>
      </c>
      <c r="H3106">
        <v>0.18806999999999999</v>
      </c>
    </row>
    <row r="3107" spans="2:8" x14ac:dyDescent="0.25">
      <c r="B3107">
        <v>0.19914000000000001</v>
      </c>
      <c r="C3107">
        <v>45</v>
      </c>
      <c r="D3107">
        <v>107.3</v>
      </c>
      <c r="E3107">
        <v>39.247999999999998</v>
      </c>
      <c r="F3107">
        <v>2.5479000000000002E-2</v>
      </c>
      <c r="G3107">
        <v>92.283000000000001</v>
      </c>
      <c r="H3107">
        <v>0.19914000000000001</v>
      </c>
    </row>
    <row r="3108" spans="2:8" x14ac:dyDescent="0.25">
      <c r="B3108">
        <v>0.21013000000000001</v>
      </c>
      <c r="C3108">
        <v>50</v>
      </c>
      <c r="D3108">
        <v>107.3</v>
      </c>
      <c r="E3108">
        <v>39.000999999999998</v>
      </c>
      <c r="F3108">
        <v>2.564E-2</v>
      </c>
      <c r="G3108">
        <v>97.858000000000004</v>
      </c>
      <c r="H3108">
        <v>0.21013000000000001</v>
      </c>
    </row>
    <row r="3109" spans="2:8" x14ac:dyDescent="0.25">
      <c r="B3109">
        <v>0.22106000000000001</v>
      </c>
      <c r="C3109">
        <v>55</v>
      </c>
      <c r="D3109">
        <v>107.3</v>
      </c>
      <c r="E3109">
        <v>38.750999999999998</v>
      </c>
      <c r="F3109">
        <v>2.5805999999999999E-2</v>
      </c>
      <c r="G3109">
        <v>103.46</v>
      </c>
      <c r="H3109">
        <v>0.22106000000000001</v>
      </c>
    </row>
    <row r="3110" spans="2:8" x14ac:dyDescent="0.25">
      <c r="B3110">
        <v>1.2292000000000001</v>
      </c>
      <c r="C3110">
        <v>60</v>
      </c>
      <c r="D3110">
        <v>107.3</v>
      </c>
      <c r="E3110">
        <v>0.36266999999999999</v>
      </c>
      <c r="F3110">
        <v>2.7572999999999999</v>
      </c>
      <c r="G3110">
        <v>627.17999999999995</v>
      </c>
      <c r="H3110">
        <v>1.2292000000000001</v>
      </c>
    </row>
    <row r="3111" spans="2:8" x14ac:dyDescent="0.25">
      <c r="B3111">
        <v>1.2359</v>
      </c>
      <c r="C3111">
        <v>65</v>
      </c>
      <c r="D3111">
        <v>107.3</v>
      </c>
      <c r="E3111">
        <v>0.35753000000000001</v>
      </c>
      <c r="F3111">
        <v>2.7970000000000002</v>
      </c>
      <c r="G3111">
        <v>630.66</v>
      </c>
      <c r="H3111">
        <v>1.2359</v>
      </c>
    </row>
    <row r="3112" spans="2:8" x14ac:dyDescent="0.25">
      <c r="B3112">
        <v>1.2423999999999999</v>
      </c>
      <c r="C3112">
        <v>70</v>
      </c>
      <c r="D3112">
        <v>107.3</v>
      </c>
      <c r="E3112">
        <v>0.35260999999999998</v>
      </c>
      <c r="F3112">
        <v>2.8359999999999999</v>
      </c>
      <c r="G3112">
        <v>634.07000000000005</v>
      </c>
      <c r="H3112">
        <v>1.2423999999999999</v>
      </c>
    </row>
    <row r="3113" spans="2:8" x14ac:dyDescent="0.25">
      <c r="B3113">
        <v>1.2486999999999999</v>
      </c>
      <c r="C3113">
        <v>75</v>
      </c>
      <c r="D3113">
        <v>107.3</v>
      </c>
      <c r="E3113">
        <v>0.34789999999999999</v>
      </c>
      <c r="F3113">
        <v>2.8744000000000001</v>
      </c>
      <c r="G3113">
        <v>637.42999999999995</v>
      </c>
      <c r="H3113">
        <v>1.2486999999999999</v>
      </c>
    </row>
    <row r="3114" spans="2:8" x14ac:dyDescent="0.25">
      <c r="B3114">
        <v>1.2547999999999999</v>
      </c>
      <c r="C3114">
        <v>80</v>
      </c>
      <c r="D3114">
        <v>107.3</v>
      </c>
      <c r="E3114">
        <v>0.34337000000000001</v>
      </c>
      <c r="F3114">
        <v>2.9123000000000001</v>
      </c>
      <c r="G3114">
        <v>640.73</v>
      </c>
      <c r="H3114">
        <v>1.2547999999999999</v>
      </c>
    </row>
    <row r="3115" spans="2:8" x14ac:dyDescent="0.25">
      <c r="B3115">
        <v>1.2607999999999999</v>
      </c>
      <c r="C3115">
        <v>85</v>
      </c>
      <c r="D3115">
        <v>107.3</v>
      </c>
      <c r="E3115">
        <v>0.33900999999999998</v>
      </c>
      <c r="F3115">
        <v>2.9498000000000002</v>
      </c>
      <c r="G3115">
        <v>643.99</v>
      </c>
      <c r="H3115">
        <v>1.2607999999999999</v>
      </c>
    </row>
    <row r="3116" spans="2:8" x14ac:dyDescent="0.25">
      <c r="B3116">
        <v>1.2666999999999999</v>
      </c>
      <c r="C3116">
        <v>90</v>
      </c>
      <c r="D3116">
        <v>107.3</v>
      </c>
      <c r="E3116">
        <v>0.33481</v>
      </c>
      <c r="F3116">
        <v>2.9868000000000001</v>
      </c>
      <c r="G3116">
        <v>647.20000000000005</v>
      </c>
      <c r="H3116">
        <v>1.2666999999999999</v>
      </c>
    </row>
    <row r="3117" spans="2:8" x14ac:dyDescent="0.25">
      <c r="B3117">
        <v>1.2725</v>
      </c>
      <c r="C3117">
        <v>95</v>
      </c>
      <c r="D3117">
        <v>107.3</v>
      </c>
      <c r="E3117">
        <v>0.33076</v>
      </c>
      <c r="F3117">
        <v>3.0234000000000001</v>
      </c>
      <c r="G3117">
        <v>650.38</v>
      </c>
      <c r="H3117">
        <v>1.2725</v>
      </c>
    </row>
    <row r="3118" spans="2:8" x14ac:dyDescent="0.25">
      <c r="B3118">
        <v>1.2781</v>
      </c>
      <c r="C3118">
        <v>100</v>
      </c>
      <c r="D3118">
        <v>107.3</v>
      </c>
      <c r="E3118">
        <v>0.32684000000000002</v>
      </c>
      <c r="F3118">
        <v>3.0596000000000001</v>
      </c>
      <c r="G3118">
        <v>653.53</v>
      </c>
      <c r="H3118">
        <v>1.2781</v>
      </c>
    </row>
    <row r="3119" spans="2:8" x14ac:dyDescent="0.25">
      <c r="B3119">
        <v>1.2836000000000001</v>
      </c>
      <c r="C3119">
        <v>105</v>
      </c>
      <c r="D3119">
        <v>107.3</v>
      </c>
      <c r="E3119">
        <v>0.32305</v>
      </c>
      <c r="F3119">
        <v>3.0954999999999999</v>
      </c>
      <c r="G3119">
        <v>656.64</v>
      </c>
      <c r="H3119">
        <v>1.2836000000000001</v>
      </c>
    </row>
    <row r="3120" spans="2:8" x14ac:dyDescent="0.25">
      <c r="B3120">
        <v>1.2890999999999999</v>
      </c>
      <c r="C3120">
        <v>110</v>
      </c>
      <c r="D3120">
        <v>107.3</v>
      </c>
      <c r="E3120">
        <v>0.31938</v>
      </c>
      <c r="F3120">
        <v>3.1309999999999998</v>
      </c>
      <c r="G3120">
        <v>659.73</v>
      </c>
      <c r="H3120">
        <v>1.2890999999999999</v>
      </c>
    </row>
    <row r="3121" spans="2:8" x14ac:dyDescent="0.25">
      <c r="B3121">
        <v>1.2944</v>
      </c>
      <c r="C3121">
        <v>115</v>
      </c>
      <c r="D3121">
        <v>107.3</v>
      </c>
      <c r="E3121">
        <v>0.31583</v>
      </c>
      <c r="F3121">
        <v>3.1663000000000001</v>
      </c>
      <c r="G3121">
        <v>662.79</v>
      </c>
      <c r="H3121">
        <v>1.2944</v>
      </c>
    </row>
    <row r="3122" spans="2:8" x14ac:dyDescent="0.25">
      <c r="B3122">
        <v>1.2997000000000001</v>
      </c>
      <c r="C3122">
        <v>120</v>
      </c>
      <c r="D3122">
        <v>107.3</v>
      </c>
      <c r="E3122">
        <v>0.31236999999999998</v>
      </c>
      <c r="F3122">
        <v>3.2012999999999998</v>
      </c>
      <c r="G3122">
        <v>665.83</v>
      </c>
      <c r="H3122">
        <v>1.2997000000000001</v>
      </c>
    </row>
    <row r="3123" spans="2:8" x14ac:dyDescent="0.25">
      <c r="B3123">
        <v>1.3048999999999999</v>
      </c>
      <c r="C3123">
        <v>125</v>
      </c>
      <c r="D3123">
        <v>107.3</v>
      </c>
      <c r="E3123">
        <v>0.30902000000000002</v>
      </c>
      <c r="F3123">
        <v>3.2360000000000002</v>
      </c>
      <c r="G3123">
        <v>668.85</v>
      </c>
      <c r="H3123">
        <v>1.3048999999999999</v>
      </c>
    </row>
    <row r="3124" spans="2:8" x14ac:dyDescent="0.25">
      <c r="B3124">
        <v>1.31</v>
      </c>
      <c r="C3124">
        <v>130</v>
      </c>
      <c r="D3124">
        <v>107.3</v>
      </c>
      <c r="E3124">
        <v>0.30575999999999998</v>
      </c>
      <c r="F3124">
        <v>3.2705000000000002</v>
      </c>
      <c r="G3124">
        <v>671.85</v>
      </c>
      <c r="H3124">
        <v>1.31</v>
      </c>
    </row>
    <row r="3125" spans="2:8" x14ac:dyDescent="0.25">
      <c r="B3125">
        <v>1.3149999999999999</v>
      </c>
      <c r="C3125">
        <v>135</v>
      </c>
      <c r="D3125">
        <v>107.3</v>
      </c>
      <c r="E3125">
        <v>0.30259000000000003</v>
      </c>
      <c r="F3125">
        <v>3.3048000000000002</v>
      </c>
      <c r="G3125">
        <v>674.83</v>
      </c>
      <c r="H3125">
        <v>1.3149999999999999</v>
      </c>
    </row>
    <row r="3126" spans="2:8" x14ac:dyDescent="0.25">
      <c r="B3126">
        <v>1.32</v>
      </c>
      <c r="C3126">
        <v>140</v>
      </c>
      <c r="D3126">
        <v>107.3</v>
      </c>
      <c r="E3126">
        <v>0.29949999999999999</v>
      </c>
      <c r="F3126">
        <v>3.3389000000000002</v>
      </c>
      <c r="G3126">
        <v>677.8</v>
      </c>
      <c r="H3126">
        <v>1.32</v>
      </c>
    </row>
    <row r="3127" spans="2:8" x14ac:dyDescent="0.25">
      <c r="B3127">
        <v>1.3249</v>
      </c>
      <c r="C3127">
        <v>145</v>
      </c>
      <c r="D3127">
        <v>107.3</v>
      </c>
      <c r="E3127">
        <v>0.29648999999999998</v>
      </c>
      <c r="F3127">
        <v>3.3727999999999998</v>
      </c>
      <c r="G3127">
        <v>680.75</v>
      </c>
      <c r="H3127">
        <v>1.3249</v>
      </c>
    </row>
    <row r="3128" spans="2:8" x14ac:dyDescent="0.25">
      <c r="B3128">
        <v>1.3298000000000001</v>
      </c>
      <c r="C3128">
        <v>150</v>
      </c>
      <c r="D3128">
        <v>107.3</v>
      </c>
      <c r="E3128">
        <v>0.29355999999999999</v>
      </c>
      <c r="F3128">
        <v>3.4064999999999999</v>
      </c>
      <c r="G3128">
        <v>683.69</v>
      </c>
      <c r="H3128">
        <v>1.3298000000000001</v>
      </c>
    </row>
    <row r="3129" spans="2:8" x14ac:dyDescent="0.25">
      <c r="B3129">
        <v>1.3345</v>
      </c>
      <c r="C3129">
        <v>155</v>
      </c>
      <c r="D3129">
        <v>107.3</v>
      </c>
      <c r="E3129">
        <v>0.29069</v>
      </c>
      <c r="F3129">
        <v>3.4401000000000002</v>
      </c>
      <c r="G3129">
        <v>686.62</v>
      </c>
      <c r="H3129">
        <v>1.3345</v>
      </c>
    </row>
    <row r="3130" spans="2:8" x14ac:dyDescent="0.25">
      <c r="B3130">
        <v>1.3392999999999999</v>
      </c>
      <c r="C3130">
        <v>160</v>
      </c>
      <c r="D3130">
        <v>107.3</v>
      </c>
      <c r="E3130">
        <v>0.28789999999999999</v>
      </c>
      <c r="F3130">
        <v>3.4733999999999998</v>
      </c>
      <c r="G3130">
        <v>689.54</v>
      </c>
      <c r="H3130">
        <v>1.3392999999999999</v>
      </c>
    </row>
    <row r="3131" spans="2:8" x14ac:dyDescent="0.25">
      <c r="B3131">
        <v>1.3439000000000001</v>
      </c>
      <c r="C3131">
        <v>165</v>
      </c>
      <c r="D3131">
        <v>107.3</v>
      </c>
      <c r="E3131">
        <v>0.28516999999999998</v>
      </c>
      <c r="F3131">
        <v>3.5066999999999999</v>
      </c>
      <c r="G3131">
        <v>692.45</v>
      </c>
      <c r="H3131">
        <v>1.3439000000000001</v>
      </c>
    </row>
    <row r="3132" spans="2:8" x14ac:dyDescent="0.25">
      <c r="B3132">
        <v>1.3486</v>
      </c>
      <c r="C3132">
        <v>170</v>
      </c>
      <c r="D3132">
        <v>107.3</v>
      </c>
      <c r="E3132">
        <v>0.28250999999999998</v>
      </c>
      <c r="F3132">
        <v>3.5396999999999998</v>
      </c>
      <c r="G3132">
        <v>695.35</v>
      </c>
      <c r="H3132">
        <v>1.3486</v>
      </c>
    </row>
    <row r="3133" spans="2:8" x14ac:dyDescent="0.25">
      <c r="B3133">
        <v>1.3532</v>
      </c>
      <c r="C3133">
        <v>175</v>
      </c>
      <c r="D3133">
        <v>107.3</v>
      </c>
      <c r="E3133">
        <v>0.27989999999999998</v>
      </c>
      <c r="F3133">
        <v>3.5727000000000002</v>
      </c>
      <c r="G3133">
        <v>698.25</v>
      </c>
      <c r="H3133">
        <v>1.3532</v>
      </c>
    </row>
    <row r="3134" spans="2:8" x14ac:dyDescent="0.25">
      <c r="B3134">
        <v>1.3576999999999999</v>
      </c>
      <c r="C3134">
        <v>180</v>
      </c>
      <c r="D3134">
        <v>107.3</v>
      </c>
      <c r="E3134">
        <v>0.27734999999999999</v>
      </c>
      <c r="F3134">
        <v>3.6055000000000001</v>
      </c>
      <c r="G3134">
        <v>701.14</v>
      </c>
      <c r="H3134">
        <v>1.3576999999999999</v>
      </c>
    </row>
    <row r="3135" spans="2:8" x14ac:dyDescent="0.25">
      <c r="B3135">
        <v>1.3622000000000001</v>
      </c>
      <c r="C3135">
        <v>185</v>
      </c>
      <c r="D3135">
        <v>107.3</v>
      </c>
      <c r="E3135">
        <v>0.27485999999999999</v>
      </c>
      <c r="F3135">
        <v>3.6381999999999999</v>
      </c>
      <c r="G3135">
        <v>704.02</v>
      </c>
      <c r="H3135">
        <v>1.3622000000000001</v>
      </c>
    </row>
    <row r="3136" spans="2:8" x14ac:dyDescent="0.25">
      <c r="B3136">
        <v>1.3666</v>
      </c>
      <c r="C3136">
        <v>190</v>
      </c>
      <c r="D3136">
        <v>107.3</v>
      </c>
      <c r="E3136">
        <v>0.27242</v>
      </c>
      <c r="F3136">
        <v>3.6707999999999998</v>
      </c>
      <c r="G3136">
        <v>706.9</v>
      </c>
      <c r="H3136">
        <v>1.3666</v>
      </c>
    </row>
    <row r="3137" spans="2:8" x14ac:dyDescent="0.25">
      <c r="B3137">
        <v>1.371</v>
      </c>
      <c r="C3137">
        <v>195</v>
      </c>
      <c r="D3137">
        <v>107.3</v>
      </c>
      <c r="E3137">
        <v>0.27002999999999999</v>
      </c>
      <c r="F3137">
        <v>3.7033</v>
      </c>
      <c r="G3137">
        <v>709.77</v>
      </c>
      <c r="H3137">
        <v>1.371</v>
      </c>
    </row>
    <row r="3138" spans="2:8" x14ac:dyDescent="0.25">
      <c r="B3138">
        <v>1.3754</v>
      </c>
      <c r="C3138">
        <v>200</v>
      </c>
      <c r="D3138">
        <v>107.3</v>
      </c>
      <c r="E3138">
        <v>0.26768999999999998</v>
      </c>
      <c r="F3138">
        <v>3.7357</v>
      </c>
      <c r="G3138">
        <v>712.64</v>
      </c>
      <c r="H3138">
        <v>1.3754</v>
      </c>
    </row>
    <row r="3139" spans="2:8" x14ac:dyDescent="0.25">
      <c r="B3139">
        <v>1.3796999999999999</v>
      </c>
      <c r="C3139">
        <v>205</v>
      </c>
      <c r="D3139">
        <v>107.3</v>
      </c>
      <c r="E3139">
        <v>0.26540000000000002</v>
      </c>
      <c r="F3139">
        <v>3.7679</v>
      </c>
      <c r="G3139">
        <v>715.51</v>
      </c>
      <c r="H3139">
        <v>1.3796999999999999</v>
      </c>
    </row>
    <row r="3140" spans="2:8" x14ac:dyDescent="0.25">
      <c r="B3140">
        <v>1.3839999999999999</v>
      </c>
      <c r="C3140">
        <v>210</v>
      </c>
      <c r="D3140">
        <v>107.3</v>
      </c>
      <c r="E3140">
        <v>0.26315</v>
      </c>
      <c r="F3140">
        <v>3.8001</v>
      </c>
      <c r="G3140">
        <v>718.37</v>
      </c>
      <c r="H3140">
        <v>1.3839999999999999</v>
      </c>
    </row>
    <row r="3141" spans="2:8" x14ac:dyDescent="0.25">
      <c r="B3141">
        <v>1.3883000000000001</v>
      </c>
      <c r="C3141">
        <v>215</v>
      </c>
      <c r="D3141">
        <v>107.3</v>
      </c>
      <c r="E3141">
        <v>0.26095000000000002</v>
      </c>
      <c r="F3141">
        <v>3.8321999999999998</v>
      </c>
      <c r="G3141">
        <v>721.24</v>
      </c>
      <c r="H3141">
        <v>1.3883000000000001</v>
      </c>
    </row>
    <row r="3142" spans="2:8" x14ac:dyDescent="0.25">
      <c r="B3142">
        <v>1.3925000000000001</v>
      </c>
      <c r="C3142">
        <v>220</v>
      </c>
      <c r="D3142">
        <v>107.3</v>
      </c>
      <c r="E3142">
        <v>0.25878000000000001</v>
      </c>
      <c r="F3142">
        <v>3.8641999999999999</v>
      </c>
      <c r="G3142">
        <v>724.1</v>
      </c>
      <c r="H3142">
        <v>1.3925000000000001</v>
      </c>
    </row>
    <row r="3143" spans="2:8" x14ac:dyDescent="0.25">
      <c r="B3143">
        <v>1.3967000000000001</v>
      </c>
      <c r="C3143">
        <v>225</v>
      </c>
      <c r="D3143">
        <v>107.3</v>
      </c>
      <c r="E3143">
        <v>0.25666</v>
      </c>
      <c r="F3143">
        <v>3.8961000000000001</v>
      </c>
      <c r="G3143">
        <v>726.96</v>
      </c>
      <c r="H3143">
        <v>1.3967000000000001</v>
      </c>
    </row>
    <row r="3144" spans="2:8" x14ac:dyDescent="0.25">
      <c r="B3144">
        <v>1.4009</v>
      </c>
      <c r="C3144">
        <v>230</v>
      </c>
      <c r="D3144">
        <v>107.3</v>
      </c>
      <c r="E3144">
        <v>0.25457999999999997</v>
      </c>
      <c r="F3144">
        <v>3.9279999999999999</v>
      </c>
      <c r="G3144">
        <v>729.81</v>
      </c>
      <c r="H3144">
        <v>1.4009</v>
      </c>
    </row>
    <row r="3145" spans="2:8" x14ac:dyDescent="0.25">
      <c r="B3145">
        <v>1.405</v>
      </c>
      <c r="C3145">
        <v>235</v>
      </c>
      <c r="D3145">
        <v>107.3</v>
      </c>
      <c r="E3145">
        <v>0.25253999999999999</v>
      </c>
      <c r="F3145">
        <v>3.9598</v>
      </c>
      <c r="G3145">
        <v>732.67</v>
      </c>
      <c r="H3145">
        <v>1.405</v>
      </c>
    </row>
    <row r="3146" spans="2:8" x14ac:dyDescent="0.25">
      <c r="B3146">
        <v>1.4091</v>
      </c>
      <c r="C3146">
        <v>240</v>
      </c>
      <c r="D3146">
        <v>107.3</v>
      </c>
      <c r="E3146">
        <v>0.25052999999999997</v>
      </c>
      <c r="F3146">
        <v>3.9914999999999998</v>
      </c>
      <c r="G3146">
        <v>735.53</v>
      </c>
      <c r="H3146">
        <v>1.4091</v>
      </c>
    </row>
    <row r="3147" spans="2:8" x14ac:dyDescent="0.25">
      <c r="B3147">
        <v>1.4132</v>
      </c>
      <c r="C3147">
        <v>245</v>
      </c>
      <c r="D3147">
        <v>107.3</v>
      </c>
      <c r="E3147">
        <v>0.24856</v>
      </c>
      <c r="F3147">
        <v>4.0231000000000003</v>
      </c>
      <c r="G3147">
        <v>738.39</v>
      </c>
      <c r="H3147">
        <v>1.4132</v>
      </c>
    </row>
    <row r="3148" spans="2:8" x14ac:dyDescent="0.25">
      <c r="B3148">
        <v>1.4172</v>
      </c>
      <c r="C3148">
        <v>250</v>
      </c>
      <c r="D3148">
        <v>107.3</v>
      </c>
      <c r="E3148">
        <v>0.24662999999999999</v>
      </c>
      <c r="F3148">
        <v>4.0547000000000004</v>
      </c>
      <c r="G3148">
        <v>741.25</v>
      </c>
      <c r="H3148">
        <v>1.4172</v>
      </c>
    </row>
    <row r="3149" spans="2:8" x14ac:dyDescent="0.25">
      <c r="B3149">
        <v>1.4212</v>
      </c>
      <c r="C3149">
        <v>255</v>
      </c>
      <c r="D3149">
        <v>107.3</v>
      </c>
      <c r="E3149">
        <v>0.24473</v>
      </c>
      <c r="F3149">
        <v>4.0861999999999998</v>
      </c>
      <c r="G3149">
        <v>744.11</v>
      </c>
      <c r="H3149">
        <v>1.4212</v>
      </c>
    </row>
    <row r="3150" spans="2:8" x14ac:dyDescent="0.25">
      <c r="B3150">
        <v>1.4252</v>
      </c>
      <c r="C3150">
        <v>260</v>
      </c>
      <c r="D3150">
        <v>107.3</v>
      </c>
      <c r="E3150">
        <v>0.24285999999999999</v>
      </c>
      <c r="F3150">
        <v>4.1177000000000001</v>
      </c>
      <c r="G3150">
        <v>746.97</v>
      </c>
      <c r="H3150">
        <v>1.4252</v>
      </c>
    </row>
    <row r="3151" spans="2:8" x14ac:dyDescent="0.25">
      <c r="B3151">
        <v>1.4292</v>
      </c>
      <c r="C3151">
        <v>265</v>
      </c>
      <c r="D3151">
        <v>107.3</v>
      </c>
      <c r="E3151">
        <v>0.24102000000000001</v>
      </c>
      <c r="F3151">
        <v>4.149</v>
      </c>
      <c r="G3151">
        <v>749.84</v>
      </c>
      <c r="H3151">
        <v>1.4292</v>
      </c>
    </row>
    <row r="3152" spans="2:8" x14ac:dyDescent="0.25">
      <c r="B3152">
        <v>1.4331</v>
      </c>
      <c r="C3152">
        <v>270</v>
      </c>
      <c r="D3152">
        <v>107.3</v>
      </c>
      <c r="E3152">
        <v>0.23921000000000001</v>
      </c>
      <c r="F3152">
        <v>4.1803999999999997</v>
      </c>
      <c r="G3152">
        <v>752.7</v>
      </c>
      <c r="H3152">
        <v>1.4331</v>
      </c>
    </row>
    <row r="3153" spans="2:8" x14ac:dyDescent="0.25">
      <c r="B3153">
        <v>1.4370000000000001</v>
      </c>
      <c r="C3153">
        <v>275</v>
      </c>
      <c r="D3153">
        <v>107.3</v>
      </c>
      <c r="E3153">
        <v>0.23744000000000001</v>
      </c>
      <c r="F3153">
        <v>4.2117000000000004</v>
      </c>
      <c r="G3153">
        <v>755.57</v>
      </c>
      <c r="H3153">
        <v>1.4370000000000001</v>
      </c>
    </row>
    <row r="3154" spans="2:8" x14ac:dyDescent="0.25">
      <c r="B3154">
        <v>1.4409000000000001</v>
      </c>
      <c r="C3154">
        <v>280</v>
      </c>
      <c r="D3154">
        <v>107.3</v>
      </c>
      <c r="E3154">
        <v>0.23569000000000001</v>
      </c>
      <c r="F3154">
        <v>4.2428999999999997</v>
      </c>
      <c r="G3154">
        <v>758.44</v>
      </c>
      <c r="H3154">
        <v>1.4409000000000001</v>
      </c>
    </row>
    <row r="3155" spans="2:8" x14ac:dyDescent="0.25">
      <c r="B3155">
        <v>1.4448000000000001</v>
      </c>
      <c r="C3155">
        <v>285</v>
      </c>
      <c r="D3155">
        <v>107.3</v>
      </c>
      <c r="E3155">
        <v>0.23397000000000001</v>
      </c>
      <c r="F3155">
        <v>4.2740999999999998</v>
      </c>
      <c r="G3155">
        <v>761.31</v>
      </c>
      <c r="H3155">
        <v>1.4448000000000001</v>
      </c>
    </row>
    <row r="3156" spans="2:8" x14ac:dyDescent="0.25">
      <c r="B3156">
        <v>1.4486000000000001</v>
      </c>
      <c r="C3156">
        <v>290</v>
      </c>
      <c r="D3156">
        <v>107.3</v>
      </c>
      <c r="E3156">
        <v>0.23227</v>
      </c>
      <c r="F3156">
        <v>4.3052000000000001</v>
      </c>
      <c r="G3156">
        <v>764.18</v>
      </c>
      <c r="H3156">
        <v>1.4486000000000001</v>
      </c>
    </row>
    <row r="3157" spans="2:8" x14ac:dyDescent="0.25">
      <c r="B3157">
        <v>1.4524999999999999</v>
      </c>
      <c r="C3157">
        <v>295</v>
      </c>
      <c r="D3157">
        <v>107.3</v>
      </c>
      <c r="E3157">
        <v>0.23061000000000001</v>
      </c>
      <c r="F3157">
        <v>4.3362999999999996</v>
      </c>
      <c r="G3157">
        <v>767.06</v>
      </c>
      <c r="H3157">
        <v>1.4524999999999999</v>
      </c>
    </row>
    <row r="3158" spans="2:8" x14ac:dyDescent="0.25">
      <c r="B3158">
        <v>1.4562999999999999</v>
      </c>
      <c r="C3158">
        <v>300</v>
      </c>
      <c r="D3158">
        <v>107.3</v>
      </c>
      <c r="E3158">
        <v>0.22897000000000001</v>
      </c>
      <c r="F3158">
        <v>4.3673999999999999</v>
      </c>
      <c r="G3158">
        <v>769.94</v>
      </c>
      <c r="H3158">
        <v>1.4562999999999999</v>
      </c>
    </row>
    <row r="3159" spans="2:8" x14ac:dyDescent="0.25">
      <c r="B3159">
        <v>1.4601</v>
      </c>
      <c r="C3159">
        <v>305</v>
      </c>
      <c r="D3159">
        <v>107.3</v>
      </c>
      <c r="E3159">
        <v>0.22736000000000001</v>
      </c>
      <c r="F3159">
        <v>4.3983999999999996</v>
      </c>
      <c r="G3159">
        <v>772.82</v>
      </c>
      <c r="H3159">
        <v>1.4601</v>
      </c>
    </row>
    <row r="3160" spans="2:8" x14ac:dyDescent="0.25">
      <c r="B3160">
        <v>1.4638</v>
      </c>
      <c r="C3160">
        <v>310</v>
      </c>
      <c r="D3160">
        <v>107.3</v>
      </c>
      <c r="E3160">
        <v>0.22577</v>
      </c>
      <c r="F3160">
        <v>4.4294000000000002</v>
      </c>
      <c r="G3160">
        <v>775.71</v>
      </c>
      <c r="H3160">
        <v>1.4638</v>
      </c>
    </row>
    <row r="3161" spans="2:8" x14ac:dyDescent="0.25">
      <c r="B3161">
        <v>1.4676</v>
      </c>
      <c r="C3161">
        <v>315</v>
      </c>
      <c r="D3161">
        <v>107.3</v>
      </c>
      <c r="E3161">
        <v>0.22420000000000001</v>
      </c>
      <c r="F3161">
        <v>4.4603000000000002</v>
      </c>
      <c r="G3161">
        <v>778.6</v>
      </c>
      <c r="H3161">
        <v>1.4676</v>
      </c>
    </row>
    <row r="3162" spans="2:8" x14ac:dyDescent="0.25">
      <c r="B3162">
        <v>1.4713000000000001</v>
      </c>
      <c r="C3162">
        <v>320</v>
      </c>
      <c r="D3162">
        <v>107.3</v>
      </c>
      <c r="E3162">
        <v>0.22266</v>
      </c>
      <c r="F3162">
        <v>4.4912000000000001</v>
      </c>
      <c r="G3162">
        <v>781.5</v>
      </c>
      <c r="H3162">
        <v>1.4713000000000001</v>
      </c>
    </row>
    <row r="3163" spans="2:8" x14ac:dyDescent="0.25">
      <c r="B3163">
        <v>1.4750000000000001</v>
      </c>
      <c r="C3163">
        <v>325</v>
      </c>
      <c r="D3163">
        <v>107.3</v>
      </c>
      <c r="E3163">
        <v>0.22114</v>
      </c>
      <c r="F3163">
        <v>4.5221</v>
      </c>
      <c r="G3163">
        <v>784.39</v>
      </c>
      <c r="H3163">
        <v>1.4750000000000001</v>
      </c>
    </row>
    <row r="3164" spans="2:8" x14ac:dyDescent="0.25">
      <c r="B3164">
        <v>1.4786999999999999</v>
      </c>
      <c r="C3164">
        <v>330</v>
      </c>
      <c r="D3164">
        <v>107.3</v>
      </c>
      <c r="E3164">
        <v>0.21964</v>
      </c>
      <c r="F3164">
        <v>4.5529000000000002</v>
      </c>
      <c r="G3164">
        <v>787.3</v>
      </c>
      <c r="H3164">
        <v>1.4786999999999999</v>
      </c>
    </row>
    <row r="3165" spans="2:8" x14ac:dyDescent="0.25">
      <c r="B3165">
        <v>1.4823</v>
      </c>
      <c r="C3165">
        <v>335</v>
      </c>
      <c r="D3165">
        <v>107.3</v>
      </c>
      <c r="E3165">
        <v>0.21817</v>
      </c>
      <c r="F3165">
        <v>4.5837000000000003</v>
      </c>
      <c r="G3165">
        <v>790.2</v>
      </c>
      <c r="H3165">
        <v>1.4823</v>
      </c>
    </row>
    <row r="3166" spans="2:8" x14ac:dyDescent="0.25">
      <c r="B3166">
        <v>1.486</v>
      </c>
      <c r="C3166">
        <v>340</v>
      </c>
      <c r="D3166">
        <v>107.3</v>
      </c>
      <c r="E3166">
        <v>0.21671000000000001</v>
      </c>
      <c r="F3166">
        <v>4.6143999999999998</v>
      </c>
      <c r="G3166">
        <v>793.11</v>
      </c>
      <c r="H3166">
        <v>1.486</v>
      </c>
    </row>
    <row r="3167" spans="2:8" x14ac:dyDescent="0.25">
      <c r="B3167">
        <v>1.4896</v>
      </c>
      <c r="C3167">
        <v>345</v>
      </c>
      <c r="D3167">
        <v>107.3</v>
      </c>
      <c r="E3167">
        <v>0.21528</v>
      </c>
      <c r="F3167">
        <v>4.6452</v>
      </c>
      <c r="G3167">
        <v>796.03</v>
      </c>
      <c r="H3167">
        <v>1.4896</v>
      </c>
    </row>
    <row r="3168" spans="2:8" x14ac:dyDescent="0.25">
      <c r="B3168">
        <v>1.4932000000000001</v>
      </c>
      <c r="C3168">
        <v>350</v>
      </c>
      <c r="D3168">
        <v>107.3</v>
      </c>
      <c r="E3168">
        <v>0.21385999999999999</v>
      </c>
      <c r="F3168">
        <v>4.6759000000000004</v>
      </c>
      <c r="G3168">
        <v>798.95</v>
      </c>
      <c r="H3168">
        <v>1.4932000000000001</v>
      </c>
    </row>
    <row r="3170" spans="1:8" x14ac:dyDescent="0.25">
      <c r="A3170">
        <v>117.5</v>
      </c>
      <c r="B3170">
        <v>9.6723000000000003E-2</v>
      </c>
      <c r="C3170">
        <v>0</v>
      </c>
      <c r="D3170">
        <v>117.5</v>
      </c>
      <c r="E3170">
        <v>41.366</v>
      </c>
      <c r="F3170">
        <v>2.4174999999999999E-2</v>
      </c>
      <c r="G3170">
        <v>42.973999999999997</v>
      </c>
      <c r="H3170">
        <v>9.6723000000000003E-2</v>
      </c>
    </row>
    <row r="3171" spans="1:8" x14ac:dyDescent="0.25">
      <c r="B3171">
        <v>0.10843</v>
      </c>
      <c r="C3171">
        <v>5</v>
      </c>
      <c r="D3171">
        <v>117.5</v>
      </c>
      <c r="E3171">
        <v>41.139000000000003</v>
      </c>
      <c r="F3171">
        <v>2.4308E-2</v>
      </c>
      <c r="G3171">
        <v>48.384999999999998</v>
      </c>
      <c r="H3171">
        <v>0.10843</v>
      </c>
    </row>
    <row r="3172" spans="1:8" x14ac:dyDescent="0.25">
      <c r="B3172">
        <v>0.12005</v>
      </c>
      <c r="C3172">
        <v>10</v>
      </c>
      <c r="D3172">
        <v>117.5</v>
      </c>
      <c r="E3172">
        <v>40.911000000000001</v>
      </c>
      <c r="F3172">
        <v>2.4442999999999999E-2</v>
      </c>
      <c r="G3172">
        <v>53.813000000000002</v>
      </c>
      <c r="H3172">
        <v>0.12005</v>
      </c>
    </row>
    <row r="3173" spans="1:8" x14ac:dyDescent="0.25">
      <c r="B3173">
        <v>0.13158</v>
      </c>
      <c r="C3173">
        <v>15</v>
      </c>
      <c r="D3173">
        <v>117.5</v>
      </c>
      <c r="E3173">
        <v>40.680999999999997</v>
      </c>
      <c r="F3173">
        <v>2.4582E-2</v>
      </c>
      <c r="G3173">
        <v>59.258000000000003</v>
      </c>
      <c r="H3173">
        <v>0.13158</v>
      </c>
    </row>
    <row r="3174" spans="1:8" x14ac:dyDescent="0.25">
      <c r="B3174">
        <v>0.14302999999999999</v>
      </c>
      <c r="C3174">
        <v>20</v>
      </c>
      <c r="D3174">
        <v>117.5</v>
      </c>
      <c r="E3174">
        <v>40.448</v>
      </c>
      <c r="F3174">
        <v>2.4722999999999998E-2</v>
      </c>
      <c r="G3174">
        <v>64.72</v>
      </c>
      <c r="H3174">
        <v>0.14302999999999999</v>
      </c>
    </row>
    <row r="3175" spans="1:8" x14ac:dyDescent="0.25">
      <c r="B3175">
        <v>0.15439</v>
      </c>
      <c r="C3175">
        <v>25</v>
      </c>
      <c r="D3175">
        <v>117.5</v>
      </c>
      <c r="E3175">
        <v>40.213999999999999</v>
      </c>
      <c r="F3175">
        <v>2.4867E-2</v>
      </c>
      <c r="G3175">
        <v>70.198999999999998</v>
      </c>
      <c r="H3175">
        <v>0.15439</v>
      </c>
    </row>
    <row r="3176" spans="1:8" x14ac:dyDescent="0.25">
      <c r="B3176">
        <v>0.16567999999999999</v>
      </c>
      <c r="C3176">
        <v>30</v>
      </c>
      <c r="D3176">
        <v>117.5</v>
      </c>
      <c r="E3176">
        <v>39.976999999999997</v>
      </c>
      <c r="F3176">
        <v>2.5014000000000002E-2</v>
      </c>
      <c r="G3176">
        <v>75.695999999999998</v>
      </c>
      <c r="H3176">
        <v>0.16567999999999999</v>
      </c>
    </row>
    <row r="3177" spans="1:8" x14ac:dyDescent="0.25">
      <c r="B3177">
        <v>0.17688000000000001</v>
      </c>
      <c r="C3177">
        <v>35</v>
      </c>
      <c r="D3177">
        <v>117.5</v>
      </c>
      <c r="E3177">
        <v>39.738</v>
      </c>
      <c r="F3177">
        <v>2.5165E-2</v>
      </c>
      <c r="G3177">
        <v>81.212000000000003</v>
      </c>
      <c r="H3177">
        <v>0.17688000000000001</v>
      </c>
    </row>
    <row r="3178" spans="1:8" x14ac:dyDescent="0.25">
      <c r="B3178">
        <v>0.18801000000000001</v>
      </c>
      <c r="C3178">
        <v>40</v>
      </c>
      <c r="D3178">
        <v>117.5</v>
      </c>
      <c r="E3178">
        <v>39.496000000000002</v>
      </c>
      <c r="F3178">
        <v>2.5319000000000001E-2</v>
      </c>
      <c r="G3178">
        <v>86.745999999999995</v>
      </c>
      <c r="H3178">
        <v>0.18801000000000001</v>
      </c>
    </row>
    <row r="3179" spans="1:8" x14ac:dyDescent="0.25">
      <c r="B3179">
        <v>0.19907</v>
      </c>
      <c r="C3179">
        <v>45</v>
      </c>
      <c r="D3179">
        <v>117.5</v>
      </c>
      <c r="E3179">
        <v>39.252000000000002</v>
      </c>
      <c r="F3179">
        <v>2.5477E-2</v>
      </c>
      <c r="G3179">
        <v>92.3</v>
      </c>
      <c r="H3179">
        <v>0.19907</v>
      </c>
    </row>
    <row r="3180" spans="1:8" x14ac:dyDescent="0.25">
      <c r="B3180">
        <v>0.21007000000000001</v>
      </c>
      <c r="C3180">
        <v>50</v>
      </c>
      <c r="D3180">
        <v>117.5</v>
      </c>
      <c r="E3180">
        <v>39.005000000000003</v>
      </c>
      <c r="F3180">
        <v>2.5638000000000001E-2</v>
      </c>
      <c r="G3180">
        <v>97.875</v>
      </c>
      <c r="H3180">
        <v>0.21007000000000001</v>
      </c>
    </row>
    <row r="3181" spans="1:8" x14ac:dyDescent="0.25">
      <c r="B3181">
        <v>0.22098999999999999</v>
      </c>
      <c r="C3181">
        <v>55</v>
      </c>
      <c r="D3181">
        <v>117.5</v>
      </c>
      <c r="E3181">
        <v>38.755000000000003</v>
      </c>
      <c r="F3181">
        <v>2.5803E-2</v>
      </c>
      <c r="G3181">
        <v>103.47</v>
      </c>
      <c r="H3181">
        <v>0.22098999999999999</v>
      </c>
    </row>
    <row r="3182" spans="1:8" x14ac:dyDescent="0.25">
      <c r="B3182">
        <v>0.23186000000000001</v>
      </c>
      <c r="C3182">
        <v>60</v>
      </c>
      <c r="D3182">
        <v>117.5</v>
      </c>
      <c r="E3182">
        <v>38.502000000000002</v>
      </c>
      <c r="F3182">
        <v>2.5973E-2</v>
      </c>
      <c r="G3182">
        <v>109.09</v>
      </c>
      <c r="H3182">
        <v>0.23186000000000001</v>
      </c>
    </row>
    <row r="3183" spans="1:8" x14ac:dyDescent="0.25">
      <c r="B3183">
        <v>1.2215</v>
      </c>
      <c r="C3183">
        <v>65</v>
      </c>
      <c r="D3183">
        <v>117.5</v>
      </c>
      <c r="E3183">
        <v>0.39585999999999999</v>
      </c>
      <c r="F3183">
        <v>2.5261999999999998</v>
      </c>
      <c r="G3183">
        <v>628.11</v>
      </c>
      <c r="H3183">
        <v>1.2215</v>
      </c>
    </row>
    <row r="3184" spans="1:8" x14ac:dyDescent="0.25">
      <c r="B3184">
        <v>1.2282</v>
      </c>
      <c r="C3184">
        <v>70</v>
      </c>
      <c r="D3184">
        <v>117.5</v>
      </c>
      <c r="E3184">
        <v>0.39017000000000002</v>
      </c>
      <c r="F3184">
        <v>2.5630000000000002</v>
      </c>
      <c r="G3184">
        <v>631.65</v>
      </c>
      <c r="H3184">
        <v>1.2282</v>
      </c>
    </row>
    <row r="3185" spans="2:8" x14ac:dyDescent="0.25">
      <c r="B3185">
        <v>1.2346999999999999</v>
      </c>
      <c r="C3185">
        <v>75</v>
      </c>
      <c r="D3185">
        <v>117.5</v>
      </c>
      <c r="E3185">
        <v>0.38474000000000003</v>
      </c>
      <c r="F3185">
        <v>2.5992000000000002</v>
      </c>
      <c r="G3185">
        <v>635.12</v>
      </c>
      <c r="H3185">
        <v>1.2346999999999999</v>
      </c>
    </row>
    <row r="3186" spans="2:8" x14ac:dyDescent="0.25">
      <c r="B3186">
        <v>1.2410000000000001</v>
      </c>
      <c r="C3186">
        <v>80</v>
      </c>
      <c r="D3186">
        <v>117.5</v>
      </c>
      <c r="E3186">
        <v>0.37953999999999999</v>
      </c>
      <c r="F3186">
        <v>2.6347999999999998</v>
      </c>
      <c r="G3186">
        <v>638.53</v>
      </c>
      <c r="H3186">
        <v>1.2410000000000001</v>
      </c>
    </row>
    <row r="3187" spans="2:8" x14ac:dyDescent="0.25">
      <c r="B3187">
        <v>1.2472000000000001</v>
      </c>
      <c r="C3187">
        <v>85</v>
      </c>
      <c r="D3187">
        <v>117.5</v>
      </c>
      <c r="E3187">
        <v>0.37454999999999999</v>
      </c>
      <c r="F3187">
        <v>2.6699000000000002</v>
      </c>
      <c r="G3187">
        <v>641.88</v>
      </c>
      <c r="H3187">
        <v>1.2472000000000001</v>
      </c>
    </row>
    <row r="3188" spans="2:8" x14ac:dyDescent="0.25">
      <c r="B3188">
        <v>1.2533000000000001</v>
      </c>
      <c r="C3188">
        <v>90</v>
      </c>
      <c r="D3188">
        <v>117.5</v>
      </c>
      <c r="E3188">
        <v>0.36975000000000002</v>
      </c>
      <c r="F3188">
        <v>2.7044999999999999</v>
      </c>
      <c r="G3188">
        <v>645.19000000000005</v>
      </c>
      <c r="H3188">
        <v>1.2533000000000001</v>
      </c>
    </row>
    <row r="3189" spans="2:8" x14ac:dyDescent="0.25">
      <c r="B3189">
        <v>1.2592000000000001</v>
      </c>
      <c r="C3189">
        <v>95</v>
      </c>
      <c r="D3189">
        <v>117.5</v>
      </c>
      <c r="E3189">
        <v>0.36513000000000001</v>
      </c>
      <c r="F3189">
        <v>2.7387999999999999</v>
      </c>
      <c r="G3189">
        <v>648.45000000000005</v>
      </c>
      <c r="H3189">
        <v>1.2592000000000001</v>
      </c>
    </row>
    <row r="3190" spans="2:8" x14ac:dyDescent="0.25">
      <c r="B3190">
        <v>1.2649999999999999</v>
      </c>
      <c r="C3190">
        <v>100</v>
      </c>
      <c r="D3190">
        <v>117.5</v>
      </c>
      <c r="E3190">
        <v>0.36066999999999999</v>
      </c>
      <c r="F3190">
        <v>2.7726000000000002</v>
      </c>
      <c r="G3190">
        <v>651.66999999999996</v>
      </c>
      <c r="H3190">
        <v>1.2649999999999999</v>
      </c>
    </row>
    <row r="3191" spans="2:8" x14ac:dyDescent="0.25">
      <c r="B3191">
        <v>1.2706</v>
      </c>
      <c r="C3191">
        <v>105</v>
      </c>
      <c r="D3191">
        <v>117.5</v>
      </c>
      <c r="E3191">
        <v>0.35637000000000002</v>
      </c>
      <c r="F3191">
        <v>2.8060999999999998</v>
      </c>
      <c r="G3191">
        <v>654.85</v>
      </c>
      <c r="H3191">
        <v>1.2706</v>
      </c>
    </row>
    <row r="3192" spans="2:8" x14ac:dyDescent="0.25">
      <c r="B3192">
        <v>1.2762</v>
      </c>
      <c r="C3192">
        <v>110</v>
      </c>
      <c r="D3192">
        <v>117.5</v>
      </c>
      <c r="E3192">
        <v>0.35221000000000002</v>
      </c>
      <c r="F3192">
        <v>2.8391999999999999</v>
      </c>
      <c r="G3192">
        <v>658.01</v>
      </c>
      <c r="H3192">
        <v>1.2762</v>
      </c>
    </row>
    <row r="3193" spans="2:8" x14ac:dyDescent="0.25">
      <c r="B3193">
        <v>1.2816000000000001</v>
      </c>
      <c r="C3193">
        <v>115</v>
      </c>
      <c r="D3193">
        <v>117.5</v>
      </c>
      <c r="E3193">
        <v>0.34817999999999999</v>
      </c>
      <c r="F3193">
        <v>2.8719999999999999</v>
      </c>
      <c r="G3193">
        <v>661.13</v>
      </c>
      <c r="H3193">
        <v>1.2816000000000001</v>
      </c>
    </row>
    <row r="3194" spans="2:8" x14ac:dyDescent="0.25">
      <c r="B3194">
        <v>1.2869999999999999</v>
      </c>
      <c r="C3194">
        <v>120</v>
      </c>
      <c r="D3194">
        <v>117.5</v>
      </c>
      <c r="E3194">
        <v>0.34427999999999997</v>
      </c>
      <c r="F3194">
        <v>2.9045999999999998</v>
      </c>
      <c r="G3194">
        <v>664.23</v>
      </c>
      <c r="H3194">
        <v>1.2869999999999999</v>
      </c>
    </row>
    <row r="3195" spans="2:8" x14ac:dyDescent="0.25">
      <c r="B3195">
        <v>1.2923</v>
      </c>
      <c r="C3195">
        <v>125</v>
      </c>
      <c r="D3195">
        <v>117.5</v>
      </c>
      <c r="E3195">
        <v>0.34050000000000002</v>
      </c>
      <c r="F3195">
        <v>2.9369000000000001</v>
      </c>
      <c r="G3195">
        <v>667.3</v>
      </c>
      <c r="H3195">
        <v>1.2923</v>
      </c>
    </row>
    <row r="3196" spans="2:8" x14ac:dyDescent="0.25">
      <c r="B3196">
        <v>1.2975000000000001</v>
      </c>
      <c r="C3196">
        <v>130</v>
      </c>
      <c r="D3196">
        <v>117.5</v>
      </c>
      <c r="E3196">
        <v>0.33682000000000001</v>
      </c>
      <c r="F3196">
        <v>2.9689000000000001</v>
      </c>
      <c r="G3196">
        <v>670.35</v>
      </c>
      <c r="H3196">
        <v>1.2975000000000001</v>
      </c>
    </row>
    <row r="3197" spans="2:8" x14ac:dyDescent="0.25">
      <c r="B3197">
        <v>1.3026</v>
      </c>
      <c r="C3197">
        <v>135</v>
      </c>
      <c r="D3197">
        <v>117.5</v>
      </c>
      <c r="E3197">
        <v>0.33324999999999999</v>
      </c>
      <c r="F3197">
        <v>3.0007000000000001</v>
      </c>
      <c r="G3197">
        <v>673.38</v>
      </c>
      <c r="H3197">
        <v>1.3026</v>
      </c>
    </row>
    <row r="3198" spans="2:8" x14ac:dyDescent="0.25">
      <c r="B3198">
        <v>1.3076000000000001</v>
      </c>
      <c r="C3198">
        <v>140</v>
      </c>
      <c r="D3198">
        <v>117.5</v>
      </c>
      <c r="E3198">
        <v>0.32978000000000002</v>
      </c>
      <c r="F3198">
        <v>3.0324</v>
      </c>
      <c r="G3198">
        <v>676.4</v>
      </c>
      <c r="H3198">
        <v>1.3076000000000001</v>
      </c>
    </row>
    <row r="3199" spans="2:8" x14ac:dyDescent="0.25">
      <c r="B3199">
        <v>1.3126</v>
      </c>
      <c r="C3199">
        <v>145</v>
      </c>
      <c r="D3199">
        <v>117.5</v>
      </c>
      <c r="E3199">
        <v>0.32640000000000002</v>
      </c>
      <c r="F3199">
        <v>3.0638000000000001</v>
      </c>
      <c r="G3199">
        <v>679.39</v>
      </c>
      <c r="H3199">
        <v>1.3126</v>
      </c>
    </row>
    <row r="3200" spans="2:8" x14ac:dyDescent="0.25">
      <c r="B3200">
        <v>1.3174999999999999</v>
      </c>
      <c r="C3200">
        <v>150</v>
      </c>
      <c r="D3200">
        <v>117.5</v>
      </c>
      <c r="E3200">
        <v>0.32311000000000001</v>
      </c>
      <c r="F3200">
        <v>3.0950000000000002</v>
      </c>
      <c r="G3200">
        <v>682.37</v>
      </c>
      <c r="H3200">
        <v>1.3174999999999999</v>
      </c>
    </row>
    <row r="3201" spans="2:8" x14ac:dyDescent="0.25">
      <c r="B3201">
        <v>1.3224</v>
      </c>
      <c r="C3201">
        <v>155</v>
      </c>
      <c r="D3201">
        <v>117.5</v>
      </c>
      <c r="E3201">
        <v>0.31990000000000002</v>
      </c>
      <c r="F3201">
        <v>3.1259999999999999</v>
      </c>
      <c r="G3201">
        <v>685.34</v>
      </c>
      <c r="H3201">
        <v>1.3224</v>
      </c>
    </row>
    <row r="3202" spans="2:8" x14ac:dyDescent="0.25">
      <c r="B3202">
        <v>1.3271999999999999</v>
      </c>
      <c r="C3202">
        <v>160</v>
      </c>
      <c r="D3202">
        <v>117.5</v>
      </c>
      <c r="E3202">
        <v>0.31677</v>
      </c>
      <c r="F3202">
        <v>3.1568999999999998</v>
      </c>
      <c r="G3202">
        <v>688.3</v>
      </c>
      <c r="H3202">
        <v>1.3271999999999999</v>
      </c>
    </row>
    <row r="3203" spans="2:8" x14ac:dyDescent="0.25">
      <c r="B3203">
        <v>1.3319000000000001</v>
      </c>
      <c r="C3203">
        <v>165</v>
      </c>
      <c r="D3203">
        <v>117.5</v>
      </c>
      <c r="E3203">
        <v>0.31372</v>
      </c>
      <c r="F3203">
        <v>3.1876000000000002</v>
      </c>
      <c r="G3203">
        <v>691.24</v>
      </c>
      <c r="H3203">
        <v>1.3319000000000001</v>
      </c>
    </row>
    <row r="3204" spans="2:8" x14ac:dyDescent="0.25">
      <c r="B3204">
        <v>1.3366</v>
      </c>
      <c r="C3204">
        <v>170</v>
      </c>
      <c r="D3204">
        <v>117.5</v>
      </c>
      <c r="E3204">
        <v>0.31073000000000001</v>
      </c>
      <c r="F3204">
        <v>3.2181999999999999</v>
      </c>
      <c r="G3204">
        <v>694.18</v>
      </c>
      <c r="H3204">
        <v>1.3366</v>
      </c>
    </row>
    <row r="3205" spans="2:8" x14ac:dyDescent="0.25">
      <c r="B3205">
        <v>1.3411999999999999</v>
      </c>
      <c r="C3205">
        <v>175</v>
      </c>
      <c r="D3205">
        <v>117.5</v>
      </c>
      <c r="E3205">
        <v>0.30781999999999998</v>
      </c>
      <c r="F3205">
        <v>3.2486000000000002</v>
      </c>
      <c r="G3205">
        <v>697.11</v>
      </c>
      <c r="H3205">
        <v>1.3411999999999999</v>
      </c>
    </row>
    <row r="3206" spans="2:8" x14ac:dyDescent="0.25">
      <c r="B3206">
        <v>1.3458000000000001</v>
      </c>
      <c r="C3206">
        <v>180</v>
      </c>
      <c r="D3206">
        <v>117.5</v>
      </c>
      <c r="E3206">
        <v>0.30497999999999997</v>
      </c>
      <c r="F3206">
        <v>3.2789000000000001</v>
      </c>
      <c r="G3206">
        <v>700.03</v>
      </c>
      <c r="H3206">
        <v>1.3458000000000001</v>
      </c>
    </row>
    <row r="3207" spans="2:8" x14ac:dyDescent="0.25">
      <c r="B3207">
        <v>1.3503000000000001</v>
      </c>
      <c r="C3207">
        <v>185</v>
      </c>
      <c r="D3207">
        <v>117.5</v>
      </c>
      <c r="E3207">
        <v>0.30220000000000002</v>
      </c>
      <c r="F3207">
        <v>3.3090999999999999</v>
      </c>
      <c r="G3207">
        <v>702.94</v>
      </c>
      <c r="H3207">
        <v>1.3503000000000001</v>
      </c>
    </row>
    <row r="3208" spans="2:8" x14ac:dyDescent="0.25">
      <c r="B3208">
        <v>1.3548</v>
      </c>
      <c r="C3208">
        <v>190</v>
      </c>
      <c r="D3208">
        <v>117.5</v>
      </c>
      <c r="E3208">
        <v>0.29948000000000002</v>
      </c>
      <c r="F3208">
        <v>3.3391999999999999</v>
      </c>
      <c r="G3208">
        <v>705.84</v>
      </c>
      <c r="H3208">
        <v>1.3548</v>
      </c>
    </row>
    <row r="3209" spans="2:8" x14ac:dyDescent="0.25">
      <c r="B3209">
        <v>1.3593</v>
      </c>
      <c r="C3209">
        <v>195</v>
      </c>
      <c r="D3209">
        <v>117.5</v>
      </c>
      <c r="E3209">
        <v>0.29681000000000002</v>
      </c>
      <c r="F3209">
        <v>3.3691</v>
      </c>
      <c r="G3209">
        <v>708.74</v>
      </c>
      <c r="H3209">
        <v>1.3593</v>
      </c>
    </row>
    <row r="3210" spans="2:8" x14ac:dyDescent="0.25">
      <c r="B3210">
        <v>1.3636999999999999</v>
      </c>
      <c r="C3210">
        <v>200</v>
      </c>
      <c r="D3210">
        <v>117.5</v>
      </c>
      <c r="E3210">
        <v>0.29421000000000003</v>
      </c>
      <c r="F3210">
        <v>3.399</v>
      </c>
      <c r="G3210">
        <v>711.64</v>
      </c>
      <c r="H3210">
        <v>1.3636999999999999</v>
      </c>
    </row>
    <row r="3211" spans="2:8" x14ac:dyDescent="0.25">
      <c r="B3211">
        <v>1.3680000000000001</v>
      </c>
      <c r="C3211">
        <v>205</v>
      </c>
      <c r="D3211">
        <v>117.5</v>
      </c>
      <c r="E3211">
        <v>0.29165000000000002</v>
      </c>
      <c r="F3211">
        <v>3.4287000000000001</v>
      </c>
      <c r="G3211">
        <v>714.53</v>
      </c>
      <c r="H3211">
        <v>1.3680000000000001</v>
      </c>
    </row>
    <row r="3212" spans="2:8" x14ac:dyDescent="0.25">
      <c r="B3212">
        <v>1.3724000000000001</v>
      </c>
      <c r="C3212">
        <v>210</v>
      </c>
      <c r="D3212">
        <v>117.5</v>
      </c>
      <c r="E3212">
        <v>0.28915000000000002</v>
      </c>
      <c r="F3212">
        <v>3.4584000000000001</v>
      </c>
      <c r="G3212">
        <v>717.42</v>
      </c>
      <c r="H3212">
        <v>1.3724000000000001</v>
      </c>
    </row>
    <row r="3213" spans="2:8" x14ac:dyDescent="0.25">
      <c r="B3213">
        <v>1.3767</v>
      </c>
      <c r="C3213">
        <v>215</v>
      </c>
      <c r="D3213">
        <v>117.5</v>
      </c>
      <c r="E3213">
        <v>0.28670000000000001</v>
      </c>
      <c r="F3213">
        <v>3.4878999999999998</v>
      </c>
      <c r="G3213">
        <v>720.3</v>
      </c>
      <c r="H3213">
        <v>1.3767</v>
      </c>
    </row>
    <row r="3214" spans="2:8" x14ac:dyDescent="0.25">
      <c r="B3214">
        <v>1.3809</v>
      </c>
      <c r="C3214">
        <v>220</v>
      </c>
      <c r="D3214">
        <v>117.5</v>
      </c>
      <c r="E3214">
        <v>0.2843</v>
      </c>
      <c r="F3214">
        <v>3.5173999999999999</v>
      </c>
      <c r="G3214">
        <v>723.18</v>
      </c>
      <c r="H3214">
        <v>1.3809</v>
      </c>
    </row>
    <row r="3215" spans="2:8" x14ac:dyDescent="0.25">
      <c r="B3215">
        <v>1.3851</v>
      </c>
      <c r="C3215">
        <v>225</v>
      </c>
      <c r="D3215">
        <v>117.5</v>
      </c>
      <c r="E3215">
        <v>0.28194000000000002</v>
      </c>
      <c r="F3215">
        <v>3.5468000000000002</v>
      </c>
      <c r="G3215">
        <v>726.06</v>
      </c>
      <c r="H3215">
        <v>1.3851</v>
      </c>
    </row>
    <row r="3216" spans="2:8" x14ac:dyDescent="0.25">
      <c r="B3216">
        <v>1.3893</v>
      </c>
      <c r="C3216">
        <v>230</v>
      </c>
      <c r="D3216">
        <v>117.5</v>
      </c>
      <c r="E3216">
        <v>0.27962999999999999</v>
      </c>
      <c r="F3216">
        <v>3.5760999999999998</v>
      </c>
      <c r="G3216">
        <v>728.94</v>
      </c>
      <c r="H3216">
        <v>1.3893</v>
      </c>
    </row>
    <row r="3217" spans="2:8" x14ac:dyDescent="0.25">
      <c r="B3217">
        <v>1.3935</v>
      </c>
      <c r="C3217">
        <v>235</v>
      </c>
      <c r="D3217">
        <v>117.5</v>
      </c>
      <c r="E3217">
        <v>0.27736</v>
      </c>
      <c r="F3217">
        <v>3.6053999999999999</v>
      </c>
      <c r="G3217">
        <v>731.82</v>
      </c>
      <c r="H3217">
        <v>1.3935</v>
      </c>
    </row>
    <row r="3218" spans="2:8" x14ac:dyDescent="0.25">
      <c r="B3218">
        <v>1.3976</v>
      </c>
      <c r="C3218">
        <v>240</v>
      </c>
      <c r="D3218">
        <v>117.5</v>
      </c>
      <c r="E3218">
        <v>0.27514</v>
      </c>
      <c r="F3218">
        <v>3.6345000000000001</v>
      </c>
      <c r="G3218">
        <v>734.7</v>
      </c>
      <c r="H3218">
        <v>1.3976</v>
      </c>
    </row>
    <row r="3219" spans="2:8" x14ac:dyDescent="0.25">
      <c r="B3219">
        <v>1.4016999999999999</v>
      </c>
      <c r="C3219">
        <v>245</v>
      </c>
      <c r="D3219">
        <v>117.5</v>
      </c>
      <c r="E3219">
        <v>0.27295000000000003</v>
      </c>
      <c r="F3219">
        <v>3.6636000000000002</v>
      </c>
      <c r="G3219">
        <v>737.57</v>
      </c>
      <c r="H3219">
        <v>1.4016999999999999</v>
      </c>
    </row>
    <row r="3220" spans="2:8" x14ac:dyDescent="0.25">
      <c r="B3220">
        <v>1.4057999999999999</v>
      </c>
      <c r="C3220">
        <v>250</v>
      </c>
      <c r="D3220">
        <v>117.5</v>
      </c>
      <c r="E3220">
        <v>0.27081</v>
      </c>
      <c r="F3220">
        <v>3.6926999999999999</v>
      </c>
      <c r="G3220">
        <v>740.45</v>
      </c>
      <c r="H3220">
        <v>1.4057999999999999</v>
      </c>
    </row>
    <row r="3221" spans="2:8" x14ac:dyDescent="0.25">
      <c r="B3221">
        <v>1.4097999999999999</v>
      </c>
      <c r="C3221">
        <v>255</v>
      </c>
      <c r="D3221">
        <v>117.5</v>
      </c>
      <c r="E3221">
        <v>0.26869999999999999</v>
      </c>
      <c r="F3221">
        <v>3.7216999999999998</v>
      </c>
      <c r="G3221">
        <v>743.33</v>
      </c>
      <c r="H3221">
        <v>1.4097999999999999</v>
      </c>
    </row>
    <row r="3222" spans="2:8" x14ac:dyDescent="0.25">
      <c r="B3222">
        <v>1.4137999999999999</v>
      </c>
      <c r="C3222">
        <v>260</v>
      </c>
      <c r="D3222">
        <v>117.5</v>
      </c>
      <c r="E3222">
        <v>0.26662999999999998</v>
      </c>
      <c r="F3222">
        <v>3.7505999999999999</v>
      </c>
      <c r="G3222">
        <v>746.21</v>
      </c>
      <c r="H3222">
        <v>1.4137999999999999</v>
      </c>
    </row>
    <row r="3223" spans="2:8" x14ac:dyDescent="0.25">
      <c r="B3223">
        <v>1.4177999999999999</v>
      </c>
      <c r="C3223">
        <v>265</v>
      </c>
      <c r="D3223">
        <v>117.5</v>
      </c>
      <c r="E3223">
        <v>0.26458999999999999</v>
      </c>
      <c r="F3223">
        <v>3.7793999999999999</v>
      </c>
      <c r="G3223">
        <v>749.08</v>
      </c>
      <c r="H3223">
        <v>1.4177999999999999</v>
      </c>
    </row>
    <row r="3224" spans="2:8" x14ac:dyDescent="0.25">
      <c r="B3224">
        <v>1.4218</v>
      </c>
      <c r="C3224">
        <v>270</v>
      </c>
      <c r="D3224">
        <v>117.5</v>
      </c>
      <c r="E3224">
        <v>0.26258999999999999</v>
      </c>
      <c r="F3224">
        <v>3.8081999999999998</v>
      </c>
      <c r="G3224">
        <v>751.96</v>
      </c>
      <c r="H3224">
        <v>1.4218</v>
      </c>
    </row>
    <row r="3225" spans="2:8" x14ac:dyDescent="0.25">
      <c r="B3225">
        <v>1.4257</v>
      </c>
      <c r="C3225">
        <v>275</v>
      </c>
      <c r="D3225">
        <v>117.5</v>
      </c>
      <c r="E3225">
        <v>0.26062000000000002</v>
      </c>
      <c r="F3225">
        <v>3.8370000000000002</v>
      </c>
      <c r="G3225">
        <v>754.85</v>
      </c>
      <c r="H3225">
        <v>1.4257</v>
      </c>
    </row>
    <row r="3226" spans="2:8" x14ac:dyDescent="0.25">
      <c r="B3226">
        <v>1.4296</v>
      </c>
      <c r="C3226">
        <v>280</v>
      </c>
      <c r="D3226">
        <v>117.5</v>
      </c>
      <c r="E3226">
        <v>0.25868999999999998</v>
      </c>
      <c r="F3226">
        <v>3.8656999999999999</v>
      </c>
      <c r="G3226">
        <v>757.73</v>
      </c>
      <c r="H3226">
        <v>1.4296</v>
      </c>
    </row>
    <row r="3227" spans="2:8" x14ac:dyDescent="0.25">
      <c r="B3227">
        <v>1.4335</v>
      </c>
      <c r="C3227">
        <v>285</v>
      </c>
      <c r="D3227">
        <v>117.5</v>
      </c>
      <c r="E3227">
        <v>0.25678000000000001</v>
      </c>
      <c r="F3227">
        <v>3.8942999999999999</v>
      </c>
      <c r="G3227">
        <v>760.61</v>
      </c>
      <c r="H3227">
        <v>1.4335</v>
      </c>
    </row>
    <row r="3228" spans="2:8" x14ac:dyDescent="0.25">
      <c r="B3228">
        <v>1.4374</v>
      </c>
      <c r="C3228">
        <v>290</v>
      </c>
      <c r="D3228">
        <v>117.5</v>
      </c>
      <c r="E3228">
        <v>0.25491000000000003</v>
      </c>
      <c r="F3228">
        <v>3.9228999999999998</v>
      </c>
      <c r="G3228">
        <v>763.5</v>
      </c>
      <c r="H3228">
        <v>1.4374</v>
      </c>
    </row>
    <row r="3229" spans="2:8" x14ac:dyDescent="0.25">
      <c r="B3229">
        <v>1.4412</v>
      </c>
      <c r="C3229">
        <v>295</v>
      </c>
      <c r="D3229">
        <v>117.5</v>
      </c>
      <c r="E3229">
        <v>0.25307000000000002</v>
      </c>
      <c r="F3229">
        <v>3.9514999999999998</v>
      </c>
      <c r="G3229">
        <v>766.39</v>
      </c>
      <c r="H3229">
        <v>1.4412</v>
      </c>
    </row>
    <row r="3230" spans="2:8" x14ac:dyDescent="0.25">
      <c r="B3230">
        <v>1.4450000000000001</v>
      </c>
      <c r="C3230">
        <v>300</v>
      </c>
      <c r="D3230">
        <v>117.5</v>
      </c>
      <c r="E3230">
        <v>0.25125999999999998</v>
      </c>
      <c r="F3230">
        <v>3.98</v>
      </c>
      <c r="G3230">
        <v>769.28</v>
      </c>
      <c r="H3230">
        <v>1.4450000000000001</v>
      </c>
    </row>
    <row r="3231" spans="2:8" x14ac:dyDescent="0.25">
      <c r="B3231">
        <v>1.4488000000000001</v>
      </c>
      <c r="C3231">
        <v>305</v>
      </c>
      <c r="D3231">
        <v>117.5</v>
      </c>
      <c r="E3231">
        <v>0.24947</v>
      </c>
      <c r="F3231">
        <v>4.0084999999999997</v>
      </c>
      <c r="G3231">
        <v>772.18</v>
      </c>
      <c r="H3231">
        <v>1.4488000000000001</v>
      </c>
    </row>
    <row r="3232" spans="2:8" x14ac:dyDescent="0.25">
      <c r="B3232">
        <v>1.4525999999999999</v>
      </c>
      <c r="C3232">
        <v>310</v>
      </c>
      <c r="D3232">
        <v>117.5</v>
      </c>
      <c r="E3232">
        <v>0.24772</v>
      </c>
      <c r="F3232">
        <v>4.0369000000000002</v>
      </c>
      <c r="G3232">
        <v>775.08</v>
      </c>
      <c r="H3232">
        <v>1.4525999999999999</v>
      </c>
    </row>
    <row r="3233" spans="1:8" x14ac:dyDescent="0.25">
      <c r="B3233">
        <v>1.4563999999999999</v>
      </c>
      <c r="C3233">
        <v>315</v>
      </c>
      <c r="D3233">
        <v>117.5</v>
      </c>
      <c r="E3233">
        <v>0.24598999999999999</v>
      </c>
      <c r="F3233">
        <v>4.0652999999999997</v>
      </c>
      <c r="G3233">
        <v>777.98</v>
      </c>
      <c r="H3233">
        <v>1.4563999999999999</v>
      </c>
    </row>
    <row r="3234" spans="1:8" x14ac:dyDescent="0.25">
      <c r="B3234">
        <v>1.4601</v>
      </c>
      <c r="C3234">
        <v>320</v>
      </c>
      <c r="D3234">
        <v>117.5</v>
      </c>
      <c r="E3234">
        <v>0.24428</v>
      </c>
      <c r="F3234">
        <v>4.0936000000000003</v>
      </c>
      <c r="G3234">
        <v>780.88</v>
      </c>
      <c r="H3234">
        <v>1.4601</v>
      </c>
    </row>
    <row r="3235" spans="1:8" x14ac:dyDescent="0.25">
      <c r="B3235">
        <v>1.4638</v>
      </c>
      <c r="C3235">
        <v>325</v>
      </c>
      <c r="D3235">
        <v>117.5</v>
      </c>
      <c r="E3235">
        <v>0.24260000000000001</v>
      </c>
      <c r="F3235">
        <v>4.1219000000000001</v>
      </c>
      <c r="G3235">
        <v>783.79</v>
      </c>
      <c r="H3235">
        <v>1.4638</v>
      </c>
    </row>
    <row r="3236" spans="1:8" x14ac:dyDescent="0.25">
      <c r="B3236">
        <v>1.4675</v>
      </c>
      <c r="C3236">
        <v>330</v>
      </c>
      <c r="D3236">
        <v>117.5</v>
      </c>
      <c r="E3236">
        <v>0.24095</v>
      </c>
      <c r="F3236">
        <v>4.1501999999999999</v>
      </c>
      <c r="G3236">
        <v>786.7</v>
      </c>
      <c r="H3236">
        <v>1.4675</v>
      </c>
    </row>
    <row r="3237" spans="1:8" x14ac:dyDescent="0.25">
      <c r="B3237">
        <v>1.4712000000000001</v>
      </c>
      <c r="C3237">
        <v>335</v>
      </c>
      <c r="D3237">
        <v>117.5</v>
      </c>
      <c r="E3237">
        <v>0.23932</v>
      </c>
      <c r="F3237">
        <v>4.1784999999999997</v>
      </c>
      <c r="G3237">
        <v>789.62</v>
      </c>
      <c r="H3237">
        <v>1.4712000000000001</v>
      </c>
    </row>
    <row r="3238" spans="1:8" x14ac:dyDescent="0.25">
      <c r="B3238">
        <v>1.4749000000000001</v>
      </c>
      <c r="C3238">
        <v>340</v>
      </c>
      <c r="D3238">
        <v>117.5</v>
      </c>
      <c r="E3238">
        <v>0.23771999999999999</v>
      </c>
      <c r="F3238">
        <v>4.2066999999999997</v>
      </c>
      <c r="G3238">
        <v>792.54</v>
      </c>
      <c r="H3238">
        <v>1.4749000000000001</v>
      </c>
    </row>
    <row r="3239" spans="1:8" x14ac:dyDescent="0.25">
      <c r="B3239">
        <v>1.4784999999999999</v>
      </c>
      <c r="C3239">
        <v>345</v>
      </c>
      <c r="D3239">
        <v>117.5</v>
      </c>
      <c r="E3239">
        <v>0.23613999999999999</v>
      </c>
      <c r="F3239">
        <v>4.2348999999999997</v>
      </c>
      <c r="G3239">
        <v>795.46</v>
      </c>
      <c r="H3239">
        <v>1.4784999999999999</v>
      </c>
    </row>
    <row r="3240" spans="1:8" x14ac:dyDescent="0.25">
      <c r="B3240">
        <v>1.4821</v>
      </c>
      <c r="C3240">
        <v>350</v>
      </c>
      <c r="D3240">
        <v>117.5</v>
      </c>
      <c r="E3240">
        <v>0.23458000000000001</v>
      </c>
      <c r="F3240">
        <v>4.2629999999999999</v>
      </c>
      <c r="G3240">
        <v>798.39</v>
      </c>
      <c r="H3240">
        <v>1.4821</v>
      </c>
    </row>
    <row r="3242" spans="1:8" x14ac:dyDescent="0.25">
      <c r="A3242">
        <v>128.5</v>
      </c>
      <c r="B3242">
        <v>9.6669000000000005E-2</v>
      </c>
      <c r="C3242">
        <v>0</v>
      </c>
      <c r="D3242">
        <v>128.5</v>
      </c>
      <c r="E3242">
        <v>41.368000000000002</v>
      </c>
      <c r="F3242">
        <v>2.4173E-2</v>
      </c>
      <c r="G3242">
        <v>42.997999999999998</v>
      </c>
      <c r="H3242">
        <v>9.6669000000000005E-2</v>
      </c>
    </row>
    <row r="3243" spans="1:8" x14ac:dyDescent="0.25">
      <c r="B3243">
        <v>0.10838</v>
      </c>
      <c r="C3243">
        <v>5</v>
      </c>
      <c r="D3243">
        <v>128.5</v>
      </c>
      <c r="E3243">
        <v>41.142000000000003</v>
      </c>
      <c r="F3243">
        <v>2.4306000000000001E-2</v>
      </c>
      <c r="G3243">
        <v>48.408999999999999</v>
      </c>
      <c r="H3243">
        <v>0.10838</v>
      </c>
    </row>
    <row r="3244" spans="1:8" x14ac:dyDescent="0.25">
      <c r="B3244">
        <v>0.11999</v>
      </c>
      <c r="C3244">
        <v>10</v>
      </c>
      <c r="D3244">
        <v>128.5</v>
      </c>
      <c r="E3244">
        <v>40.914000000000001</v>
      </c>
      <c r="F3244">
        <v>2.4441000000000001E-2</v>
      </c>
      <c r="G3244">
        <v>53.837000000000003</v>
      </c>
      <c r="H3244">
        <v>0.11999</v>
      </c>
    </row>
    <row r="3245" spans="1:8" x14ac:dyDescent="0.25">
      <c r="B3245">
        <v>0.13153000000000001</v>
      </c>
      <c r="C3245">
        <v>15</v>
      </c>
      <c r="D3245">
        <v>128.5</v>
      </c>
      <c r="E3245">
        <v>40.683999999999997</v>
      </c>
      <c r="F3245">
        <v>2.4580000000000001E-2</v>
      </c>
      <c r="G3245">
        <v>59.280999999999999</v>
      </c>
      <c r="H3245">
        <v>0.13153000000000001</v>
      </c>
    </row>
    <row r="3246" spans="1:8" x14ac:dyDescent="0.25">
      <c r="B3246">
        <v>0.14297000000000001</v>
      </c>
      <c r="C3246">
        <v>20</v>
      </c>
      <c r="D3246">
        <v>128.5</v>
      </c>
      <c r="E3246">
        <v>40.451000000000001</v>
      </c>
      <c r="F3246">
        <v>2.4721E-2</v>
      </c>
      <c r="G3246">
        <v>64.742000000000004</v>
      </c>
      <c r="H3246">
        <v>0.14297000000000001</v>
      </c>
    </row>
    <row r="3247" spans="1:8" x14ac:dyDescent="0.25">
      <c r="B3247">
        <v>0.15432999999999999</v>
      </c>
      <c r="C3247">
        <v>25</v>
      </c>
      <c r="D3247">
        <v>128.5</v>
      </c>
      <c r="E3247">
        <v>40.216999999999999</v>
      </c>
      <c r="F3247">
        <v>2.4865000000000002E-2</v>
      </c>
      <c r="G3247">
        <v>70.221000000000004</v>
      </c>
      <c r="H3247">
        <v>0.15432999999999999</v>
      </c>
    </row>
    <row r="3248" spans="1:8" x14ac:dyDescent="0.25">
      <c r="B3248">
        <v>0.16561999999999999</v>
      </c>
      <c r="C3248">
        <v>30</v>
      </c>
      <c r="D3248">
        <v>128.5</v>
      </c>
      <c r="E3248">
        <v>39.979999999999997</v>
      </c>
      <c r="F3248">
        <v>2.5012E-2</v>
      </c>
      <c r="G3248">
        <v>75.716999999999999</v>
      </c>
      <c r="H3248">
        <v>0.16561999999999999</v>
      </c>
    </row>
    <row r="3249" spans="2:8" x14ac:dyDescent="0.25">
      <c r="B3249">
        <v>0.17682</v>
      </c>
      <c r="C3249">
        <v>35</v>
      </c>
      <c r="D3249">
        <v>128.5</v>
      </c>
      <c r="E3249">
        <v>39.741</v>
      </c>
      <c r="F3249">
        <v>2.5163000000000001E-2</v>
      </c>
      <c r="G3249">
        <v>81.231999999999999</v>
      </c>
      <c r="H3249">
        <v>0.17682</v>
      </c>
    </row>
    <row r="3250" spans="2:8" x14ac:dyDescent="0.25">
      <c r="B3250">
        <v>0.18795000000000001</v>
      </c>
      <c r="C3250">
        <v>40</v>
      </c>
      <c r="D3250">
        <v>128.5</v>
      </c>
      <c r="E3250">
        <v>39.499000000000002</v>
      </c>
      <c r="F3250">
        <v>2.5316999999999999E-2</v>
      </c>
      <c r="G3250">
        <v>86.766000000000005</v>
      </c>
      <c r="H3250">
        <v>0.18795000000000001</v>
      </c>
    </row>
    <row r="3251" spans="2:8" x14ac:dyDescent="0.25">
      <c r="B3251">
        <v>0.19900999999999999</v>
      </c>
      <c r="C3251">
        <v>45</v>
      </c>
      <c r="D3251">
        <v>128.5</v>
      </c>
      <c r="E3251">
        <v>39.255000000000003</v>
      </c>
      <c r="F3251">
        <v>2.5474E-2</v>
      </c>
      <c r="G3251">
        <v>92.319000000000003</v>
      </c>
      <c r="H3251">
        <v>0.19900999999999999</v>
      </c>
    </row>
    <row r="3252" spans="2:8" x14ac:dyDescent="0.25">
      <c r="B3252">
        <v>0.21</v>
      </c>
      <c r="C3252">
        <v>50</v>
      </c>
      <c r="D3252">
        <v>128.5</v>
      </c>
      <c r="E3252">
        <v>39.008000000000003</v>
      </c>
      <c r="F3252">
        <v>2.5635999999999999E-2</v>
      </c>
      <c r="G3252">
        <v>97.894000000000005</v>
      </c>
      <c r="H3252">
        <v>0.21</v>
      </c>
    </row>
    <row r="3253" spans="2:8" x14ac:dyDescent="0.25">
      <c r="B3253">
        <v>0.22092999999999999</v>
      </c>
      <c r="C3253">
        <v>55</v>
      </c>
      <c r="D3253">
        <v>128.5</v>
      </c>
      <c r="E3253">
        <v>38.759</v>
      </c>
      <c r="F3253">
        <v>2.5801000000000001E-2</v>
      </c>
      <c r="G3253">
        <v>103.49</v>
      </c>
      <c r="H3253">
        <v>0.22092999999999999</v>
      </c>
    </row>
    <row r="3254" spans="2:8" x14ac:dyDescent="0.25">
      <c r="B3254">
        <v>0.23179</v>
      </c>
      <c r="C3254">
        <v>60</v>
      </c>
      <c r="D3254">
        <v>128.5</v>
      </c>
      <c r="E3254">
        <v>38.506</v>
      </c>
      <c r="F3254">
        <v>2.597E-2</v>
      </c>
      <c r="G3254">
        <v>109.11</v>
      </c>
      <c r="H3254">
        <v>0.23179</v>
      </c>
    </row>
    <row r="3255" spans="2:8" x14ac:dyDescent="0.25">
      <c r="B3255">
        <v>0.24259</v>
      </c>
      <c r="C3255">
        <v>65</v>
      </c>
      <c r="D3255">
        <v>128.5</v>
      </c>
      <c r="E3255">
        <v>38.25</v>
      </c>
      <c r="F3255">
        <v>2.6144000000000001E-2</v>
      </c>
      <c r="G3255">
        <v>114.75</v>
      </c>
      <c r="H3255">
        <v>0.24259</v>
      </c>
    </row>
    <row r="3256" spans="2:8" x14ac:dyDescent="0.25">
      <c r="B3256">
        <v>1.2137</v>
      </c>
      <c r="C3256">
        <v>70</v>
      </c>
      <c r="D3256">
        <v>128.5</v>
      </c>
      <c r="E3256">
        <v>0.43169000000000002</v>
      </c>
      <c r="F3256">
        <v>2.3165</v>
      </c>
      <c r="G3256">
        <v>628.95000000000005</v>
      </c>
      <c r="H3256">
        <v>1.2137</v>
      </c>
    </row>
    <row r="3257" spans="2:8" x14ac:dyDescent="0.25">
      <c r="B3257">
        <v>1.2204999999999999</v>
      </c>
      <c r="C3257">
        <v>75</v>
      </c>
      <c r="D3257">
        <v>128.5</v>
      </c>
      <c r="E3257">
        <v>0.42541000000000001</v>
      </c>
      <c r="F3257">
        <v>2.3506999999999998</v>
      </c>
      <c r="G3257">
        <v>632.54999999999995</v>
      </c>
      <c r="H3257">
        <v>1.2204999999999999</v>
      </c>
    </row>
    <row r="3258" spans="2:8" x14ac:dyDescent="0.25">
      <c r="B3258">
        <v>1.2271000000000001</v>
      </c>
      <c r="C3258">
        <v>80</v>
      </c>
      <c r="D3258">
        <v>128.5</v>
      </c>
      <c r="E3258">
        <v>0.41941000000000001</v>
      </c>
      <c r="F3258">
        <v>2.3843000000000001</v>
      </c>
      <c r="G3258">
        <v>636.08000000000004</v>
      </c>
      <c r="H3258">
        <v>1.2271000000000001</v>
      </c>
    </row>
    <row r="3259" spans="2:8" x14ac:dyDescent="0.25">
      <c r="B3259">
        <v>1.2335</v>
      </c>
      <c r="C3259">
        <v>85</v>
      </c>
      <c r="D3259">
        <v>128.5</v>
      </c>
      <c r="E3259">
        <v>0.41366999999999998</v>
      </c>
      <c r="F3259">
        <v>2.4174000000000002</v>
      </c>
      <c r="G3259">
        <v>639.54999999999995</v>
      </c>
      <c r="H3259">
        <v>1.2335</v>
      </c>
    </row>
    <row r="3260" spans="2:8" x14ac:dyDescent="0.25">
      <c r="B3260">
        <v>1.2397</v>
      </c>
      <c r="C3260">
        <v>90</v>
      </c>
      <c r="D3260">
        <v>128.5</v>
      </c>
      <c r="E3260">
        <v>0.40816999999999998</v>
      </c>
      <c r="F3260">
        <v>2.4500000000000002</v>
      </c>
      <c r="G3260">
        <v>642.96</v>
      </c>
      <c r="H3260">
        <v>1.2397</v>
      </c>
    </row>
    <row r="3261" spans="2:8" x14ac:dyDescent="0.25">
      <c r="B3261">
        <v>1.2458</v>
      </c>
      <c r="C3261">
        <v>95</v>
      </c>
      <c r="D3261">
        <v>128.5</v>
      </c>
      <c r="E3261">
        <v>0.40288000000000002</v>
      </c>
      <c r="F3261">
        <v>2.4821</v>
      </c>
      <c r="G3261">
        <v>646.30999999999995</v>
      </c>
      <c r="H3261">
        <v>1.2458</v>
      </c>
    </row>
    <row r="3262" spans="2:8" x14ac:dyDescent="0.25">
      <c r="B3262">
        <v>1.2517</v>
      </c>
      <c r="C3262">
        <v>100</v>
      </c>
      <c r="D3262">
        <v>128.5</v>
      </c>
      <c r="E3262">
        <v>0.39779999999999999</v>
      </c>
      <c r="F3262">
        <v>2.5137999999999998</v>
      </c>
      <c r="G3262">
        <v>649.62</v>
      </c>
      <c r="H3262">
        <v>1.2517</v>
      </c>
    </row>
    <row r="3263" spans="2:8" x14ac:dyDescent="0.25">
      <c r="B3263">
        <v>1.2575000000000001</v>
      </c>
      <c r="C3263">
        <v>105</v>
      </c>
      <c r="D3263">
        <v>128.5</v>
      </c>
      <c r="E3263">
        <v>0.39290000000000003</v>
      </c>
      <c r="F3263">
        <v>2.5451999999999999</v>
      </c>
      <c r="G3263">
        <v>652.89</v>
      </c>
      <c r="H3263">
        <v>1.2575000000000001</v>
      </c>
    </row>
    <row r="3264" spans="2:8" x14ac:dyDescent="0.25">
      <c r="B3264">
        <v>1.2632000000000001</v>
      </c>
      <c r="C3264">
        <v>110</v>
      </c>
      <c r="D3264">
        <v>128.5</v>
      </c>
      <c r="E3264">
        <v>0.38818000000000003</v>
      </c>
      <c r="F3264">
        <v>2.5762</v>
      </c>
      <c r="G3264">
        <v>656.12</v>
      </c>
      <c r="H3264">
        <v>1.2632000000000001</v>
      </c>
    </row>
    <row r="3265" spans="2:8" x14ac:dyDescent="0.25">
      <c r="B3265">
        <v>1.2687999999999999</v>
      </c>
      <c r="C3265">
        <v>115</v>
      </c>
      <c r="D3265">
        <v>128.5</v>
      </c>
      <c r="E3265">
        <v>0.38361000000000001</v>
      </c>
      <c r="F3265">
        <v>2.6067999999999998</v>
      </c>
      <c r="G3265">
        <v>659.31</v>
      </c>
      <c r="H3265">
        <v>1.2687999999999999</v>
      </c>
    </row>
    <row r="3266" spans="2:8" x14ac:dyDescent="0.25">
      <c r="B3266">
        <v>1.2743</v>
      </c>
      <c r="C3266">
        <v>120</v>
      </c>
      <c r="D3266">
        <v>128.5</v>
      </c>
      <c r="E3266">
        <v>0.37919000000000003</v>
      </c>
      <c r="F3266">
        <v>2.6372</v>
      </c>
      <c r="G3266">
        <v>662.47</v>
      </c>
      <c r="H3266">
        <v>1.2743</v>
      </c>
    </row>
    <row r="3267" spans="2:8" x14ac:dyDescent="0.25">
      <c r="B3267">
        <v>1.2796000000000001</v>
      </c>
      <c r="C3267">
        <v>125</v>
      </c>
      <c r="D3267">
        <v>128.5</v>
      </c>
      <c r="E3267">
        <v>0.37491000000000002</v>
      </c>
      <c r="F3267">
        <v>2.6673</v>
      </c>
      <c r="G3267">
        <v>665.61</v>
      </c>
      <c r="H3267">
        <v>1.2796000000000001</v>
      </c>
    </row>
    <row r="3268" spans="2:8" x14ac:dyDescent="0.25">
      <c r="B3268">
        <v>1.2848999999999999</v>
      </c>
      <c r="C3268">
        <v>130</v>
      </c>
      <c r="D3268">
        <v>128.5</v>
      </c>
      <c r="E3268">
        <v>0.37075999999999998</v>
      </c>
      <c r="F3268">
        <v>2.6970999999999998</v>
      </c>
      <c r="G3268">
        <v>668.72</v>
      </c>
      <c r="H3268">
        <v>1.2848999999999999</v>
      </c>
    </row>
    <row r="3269" spans="2:8" x14ac:dyDescent="0.25">
      <c r="B3269">
        <v>1.2902</v>
      </c>
      <c r="C3269">
        <v>135</v>
      </c>
      <c r="D3269">
        <v>128.5</v>
      </c>
      <c r="E3269">
        <v>0.36674000000000001</v>
      </c>
      <c r="F3269">
        <v>2.7267000000000001</v>
      </c>
      <c r="G3269">
        <v>671.8</v>
      </c>
      <c r="H3269">
        <v>1.2902</v>
      </c>
    </row>
    <row r="3270" spans="2:8" x14ac:dyDescent="0.25">
      <c r="B3270">
        <v>1.2952999999999999</v>
      </c>
      <c r="C3270">
        <v>140</v>
      </c>
      <c r="D3270">
        <v>128.5</v>
      </c>
      <c r="E3270">
        <v>0.36282999999999999</v>
      </c>
      <c r="F3270">
        <v>2.7561</v>
      </c>
      <c r="G3270">
        <v>674.87</v>
      </c>
      <c r="H3270">
        <v>1.2952999999999999</v>
      </c>
    </row>
    <row r="3271" spans="2:8" x14ac:dyDescent="0.25">
      <c r="B3271">
        <v>1.3003</v>
      </c>
      <c r="C3271">
        <v>145</v>
      </c>
      <c r="D3271">
        <v>128.5</v>
      </c>
      <c r="E3271">
        <v>0.35903000000000002</v>
      </c>
      <c r="F3271">
        <v>2.7852999999999999</v>
      </c>
      <c r="G3271">
        <v>677.91</v>
      </c>
      <c r="H3271">
        <v>1.3003</v>
      </c>
    </row>
    <row r="3272" spans="2:8" x14ac:dyDescent="0.25">
      <c r="B3272">
        <v>1.3052999999999999</v>
      </c>
      <c r="C3272">
        <v>150</v>
      </c>
      <c r="D3272">
        <v>128.5</v>
      </c>
      <c r="E3272">
        <v>0.35532999999999998</v>
      </c>
      <c r="F3272">
        <v>2.8142999999999998</v>
      </c>
      <c r="G3272">
        <v>680.94</v>
      </c>
      <c r="H3272">
        <v>1.3052999999999999</v>
      </c>
    </row>
    <row r="3273" spans="2:8" x14ac:dyDescent="0.25">
      <c r="B3273">
        <v>1.3102</v>
      </c>
      <c r="C3273">
        <v>155</v>
      </c>
      <c r="D3273">
        <v>128.5</v>
      </c>
      <c r="E3273">
        <v>0.35172999999999999</v>
      </c>
      <c r="F3273">
        <v>2.8431000000000002</v>
      </c>
      <c r="G3273">
        <v>683.95</v>
      </c>
      <c r="H3273">
        <v>1.3102</v>
      </c>
    </row>
    <row r="3274" spans="2:8" x14ac:dyDescent="0.25">
      <c r="B3274">
        <v>1.3150999999999999</v>
      </c>
      <c r="C3274">
        <v>160</v>
      </c>
      <c r="D3274">
        <v>128.5</v>
      </c>
      <c r="E3274">
        <v>0.34821999999999997</v>
      </c>
      <c r="F3274">
        <v>2.8717000000000001</v>
      </c>
      <c r="G3274">
        <v>686.95</v>
      </c>
      <c r="H3274">
        <v>1.3150999999999999</v>
      </c>
    </row>
    <row r="3275" spans="2:8" x14ac:dyDescent="0.25">
      <c r="B3275">
        <v>1.3199000000000001</v>
      </c>
      <c r="C3275">
        <v>165</v>
      </c>
      <c r="D3275">
        <v>128.5</v>
      </c>
      <c r="E3275">
        <v>0.34481000000000001</v>
      </c>
      <c r="F3275">
        <v>2.9001999999999999</v>
      </c>
      <c r="G3275">
        <v>689.93</v>
      </c>
      <c r="H3275">
        <v>1.3199000000000001</v>
      </c>
    </row>
    <row r="3276" spans="2:8" x14ac:dyDescent="0.25">
      <c r="B3276">
        <v>1.3246</v>
      </c>
      <c r="C3276">
        <v>170</v>
      </c>
      <c r="D3276">
        <v>128.5</v>
      </c>
      <c r="E3276">
        <v>0.34147</v>
      </c>
      <c r="F3276">
        <v>2.9285000000000001</v>
      </c>
      <c r="G3276">
        <v>692.9</v>
      </c>
      <c r="H3276">
        <v>1.3246</v>
      </c>
    </row>
    <row r="3277" spans="2:8" x14ac:dyDescent="0.25">
      <c r="B3277">
        <v>1.3292999999999999</v>
      </c>
      <c r="C3277">
        <v>175</v>
      </c>
      <c r="D3277">
        <v>128.5</v>
      </c>
      <c r="E3277">
        <v>0.33822000000000002</v>
      </c>
      <c r="F3277">
        <v>2.9567000000000001</v>
      </c>
      <c r="G3277">
        <v>695.87</v>
      </c>
      <c r="H3277">
        <v>1.3292999999999999</v>
      </c>
    </row>
    <row r="3278" spans="2:8" x14ac:dyDescent="0.25">
      <c r="B3278">
        <v>1.3340000000000001</v>
      </c>
      <c r="C3278">
        <v>180</v>
      </c>
      <c r="D3278">
        <v>128.5</v>
      </c>
      <c r="E3278">
        <v>0.33504</v>
      </c>
      <c r="F3278">
        <v>2.9847000000000001</v>
      </c>
      <c r="G3278">
        <v>698.82</v>
      </c>
      <c r="H3278">
        <v>1.3340000000000001</v>
      </c>
    </row>
    <row r="3279" spans="2:8" x14ac:dyDescent="0.25">
      <c r="B3279">
        <v>1.3385</v>
      </c>
      <c r="C3279">
        <v>185</v>
      </c>
      <c r="D3279">
        <v>128.5</v>
      </c>
      <c r="E3279">
        <v>0.33193</v>
      </c>
      <c r="F3279">
        <v>3.0127000000000002</v>
      </c>
      <c r="G3279">
        <v>701.76</v>
      </c>
      <c r="H3279">
        <v>1.3385</v>
      </c>
    </row>
    <row r="3280" spans="2:8" x14ac:dyDescent="0.25">
      <c r="B3280">
        <v>1.3431</v>
      </c>
      <c r="C3280">
        <v>190</v>
      </c>
      <c r="D3280">
        <v>128.5</v>
      </c>
      <c r="E3280">
        <v>0.32890000000000003</v>
      </c>
      <c r="F3280">
        <v>3.0405000000000002</v>
      </c>
      <c r="G3280">
        <v>704.7</v>
      </c>
      <c r="H3280">
        <v>1.3431</v>
      </c>
    </row>
    <row r="3281" spans="2:8" x14ac:dyDescent="0.25">
      <c r="B3281">
        <v>1.3475999999999999</v>
      </c>
      <c r="C3281">
        <v>195</v>
      </c>
      <c r="D3281">
        <v>128.5</v>
      </c>
      <c r="E3281">
        <v>0.32593</v>
      </c>
      <c r="F3281">
        <v>3.0680999999999998</v>
      </c>
      <c r="G3281">
        <v>707.63</v>
      </c>
      <c r="H3281">
        <v>1.3475999999999999</v>
      </c>
    </row>
    <row r="3282" spans="2:8" x14ac:dyDescent="0.25">
      <c r="B3282">
        <v>1.3520000000000001</v>
      </c>
      <c r="C3282">
        <v>200</v>
      </c>
      <c r="D3282">
        <v>128.5</v>
      </c>
      <c r="E3282">
        <v>0.32302999999999998</v>
      </c>
      <c r="F3282">
        <v>3.0956999999999999</v>
      </c>
      <c r="G3282">
        <v>710.55</v>
      </c>
      <c r="H3282">
        <v>1.3520000000000001</v>
      </c>
    </row>
    <row r="3283" spans="2:8" x14ac:dyDescent="0.25">
      <c r="B3283">
        <v>1.3564000000000001</v>
      </c>
      <c r="C3283">
        <v>205</v>
      </c>
      <c r="D3283">
        <v>128.5</v>
      </c>
      <c r="E3283">
        <v>0.32018000000000002</v>
      </c>
      <c r="F3283">
        <v>3.1232000000000002</v>
      </c>
      <c r="G3283">
        <v>713.47</v>
      </c>
      <c r="H3283">
        <v>1.3564000000000001</v>
      </c>
    </row>
    <row r="3284" spans="2:8" x14ac:dyDescent="0.25">
      <c r="B3284">
        <v>1.3608</v>
      </c>
      <c r="C3284">
        <v>210</v>
      </c>
      <c r="D3284">
        <v>128.5</v>
      </c>
      <c r="E3284">
        <v>0.31740000000000002</v>
      </c>
      <c r="F3284">
        <v>3.1505999999999998</v>
      </c>
      <c r="G3284">
        <v>716.38</v>
      </c>
      <c r="H3284">
        <v>1.3608</v>
      </c>
    </row>
    <row r="3285" spans="2:8" x14ac:dyDescent="0.25">
      <c r="B3285">
        <v>1.3651</v>
      </c>
      <c r="C3285">
        <v>215</v>
      </c>
      <c r="D3285">
        <v>128.5</v>
      </c>
      <c r="E3285">
        <v>0.31468000000000002</v>
      </c>
      <c r="F3285">
        <v>3.1779000000000002</v>
      </c>
      <c r="G3285">
        <v>719.29</v>
      </c>
      <c r="H3285">
        <v>1.3651</v>
      </c>
    </row>
    <row r="3286" spans="2:8" x14ac:dyDescent="0.25">
      <c r="B3286">
        <v>1.3694</v>
      </c>
      <c r="C3286">
        <v>220</v>
      </c>
      <c r="D3286">
        <v>128.5</v>
      </c>
      <c r="E3286">
        <v>0.31201000000000001</v>
      </c>
      <c r="F3286">
        <v>3.2050999999999998</v>
      </c>
      <c r="G3286">
        <v>722.2</v>
      </c>
      <c r="H3286">
        <v>1.3694</v>
      </c>
    </row>
    <row r="3287" spans="2:8" x14ac:dyDescent="0.25">
      <c r="B3287">
        <v>1.3736999999999999</v>
      </c>
      <c r="C3287">
        <v>225</v>
      </c>
      <c r="D3287">
        <v>128.5</v>
      </c>
      <c r="E3287">
        <v>0.30939</v>
      </c>
      <c r="F3287">
        <v>3.2322000000000002</v>
      </c>
      <c r="G3287">
        <v>725.1</v>
      </c>
      <c r="H3287">
        <v>1.3736999999999999</v>
      </c>
    </row>
    <row r="3288" spans="2:8" x14ac:dyDescent="0.25">
      <c r="B3288">
        <v>1.3778999999999999</v>
      </c>
      <c r="C3288">
        <v>230</v>
      </c>
      <c r="D3288">
        <v>128.5</v>
      </c>
      <c r="E3288">
        <v>0.30681999999999998</v>
      </c>
      <c r="F3288">
        <v>3.2591999999999999</v>
      </c>
      <c r="G3288">
        <v>728</v>
      </c>
      <c r="H3288">
        <v>1.3778999999999999</v>
      </c>
    </row>
    <row r="3289" spans="2:8" x14ac:dyDescent="0.25">
      <c r="B3289">
        <v>1.3821000000000001</v>
      </c>
      <c r="C3289">
        <v>235</v>
      </c>
      <c r="D3289">
        <v>128.5</v>
      </c>
      <c r="E3289">
        <v>0.30430000000000001</v>
      </c>
      <c r="F3289">
        <v>3.2862</v>
      </c>
      <c r="G3289">
        <v>730.9</v>
      </c>
      <c r="H3289">
        <v>1.3821000000000001</v>
      </c>
    </row>
    <row r="3290" spans="2:8" x14ac:dyDescent="0.25">
      <c r="B3290">
        <v>1.3862000000000001</v>
      </c>
      <c r="C3290">
        <v>240</v>
      </c>
      <c r="D3290">
        <v>128.5</v>
      </c>
      <c r="E3290">
        <v>0.30182999999999999</v>
      </c>
      <c r="F3290">
        <v>3.3130999999999999</v>
      </c>
      <c r="G3290">
        <v>733.79</v>
      </c>
      <c r="H3290">
        <v>1.3862000000000001</v>
      </c>
    </row>
    <row r="3291" spans="2:8" x14ac:dyDescent="0.25">
      <c r="B3291">
        <v>1.3904000000000001</v>
      </c>
      <c r="C3291">
        <v>245</v>
      </c>
      <c r="D3291">
        <v>128.5</v>
      </c>
      <c r="E3291">
        <v>0.29941000000000001</v>
      </c>
      <c r="F3291">
        <v>3.3399000000000001</v>
      </c>
      <c r="G3291">
        <v>736.69</v>
      </c>
      <c r="H3291">
        <v>1.3904000000000001</v>
      </c>
    </row>
    <row r="3292" spans="2:8" x14ac:dyDescent="0.25">
      <c r="B3292">
        <v>1.3944000000000001</v>
      </c>
      <c r="C3292">
        <v>250</v>
      </c>
      <c r="D3292">
        <v>128.5</v>
      </c>
      <c r="E3292">
        <v>0.29703000000000002</v>
      </c>
      <c r="F3292">
        <v>3.3666999999999998</v>
      </c>
      <c r="G3292">
        <v>739.59</v>
      </c>
      <c r="H3292">
        <v>1.3944000000000001</v>
      </c>
    </row>
    <row r="3293" spans="2:8" x14ac:dyDescent="0.25">
      <c r="B3293">
        <v>1.3985000000000001</v>
      </c>
      <c r="C3293">
        <v>255</v>
      </c>
      <c r="D3293">
        <v>128.5</v>
      </c>
      <c r="E3293">
        <v>0.29469000000000001</v>
      </c>
      <c r="F3293">
        <v>3.3934000000000002</v>
      </c>
      <c r="G3293">
        <v>742.48</v>
      </c>
      <c r="H3293">
        <v>1.3985000000000001</v>
      </c>
    </row>
    <row r="3294" spans="2:8" x14ac:dyDescent="0.25">
      <c r="B3294">
        <v>1.4025000000000001</v>
      </c>
      <c r="C3294">
        <v>260</v>
      </c>
      <c r="D3294">
        <v>128.5</v>
      </c>
      <c r="E3294">
        <v>0.29239999999999999</v>
      </c>
      <c r="F3294">
        <v>3.42</v>
      </c>
      <c r="G3294">
        <v>745.37</v>
      </c>
      <c r="H3294">
        <v>1.4025000000000001</v>
      </c>
    </row>
    <row r="3295" spans="2:8" x14ac:dyDescent="0.25">
      <c r="B3295">
        <v>1.4066000000000001</v>
      </c>
      <c r="C3295">
        <v>265</v>
      </c>
      <c r="D3295">
        <v>128.5</v>
      </c>
      <c r="E3295">
        <v>0.29014000000000001</v>
      </c>
      <c r="F3295">
        <v>3.4466000000000001</v>
      </c>
      <c r="G3295">
        <v>748.27</v>
      </c>
      <c r="H3295">
        <v>1.4066000000000001</v>
      </c>
    </row>
    <row r="3296" spans="2:8" x14ac:dyDescent="0.25">
      <c r="B3296">
        <v>1.4105000000000001</v>
      </c>
      <c r="C3296">
        <v>270</v>
      </c>
      <c r="D3296">
        <v>128.5</v>
      </c>
      <c r="E3296">
        <v>0.28793000000000002</v>
      </c>
      <c r="F3296">
        <v>3.4731000000000001</v>
      </c>
      <c r="G3296">
        <v>751.17</v>
      </c>
      <c r="H3296">
        <v>1.4105000000000001</v>
      </c>
    </row>
    <row r="3297" spans="2:8" x14ac:dyDescent="0.25">
      <c r="B3297">
        <v>1.4145000000000001</v>
      </c>
      <c r="C3297">
        <v>275</v>
      </c>
      <c r="D3297">
        <v>128.5</v>
      </c>
      <c r="E3297">
        <v>0.28575</v>
      </c>
      <c r="F3297">
        <v>3.4994999999999998</v>
      </c>
      <c r="G3297">
        <v>754.06</v>
      </c>
      <c r="H3297">
        <v>1.4145000000000001</v>
      </c>
    </row>
    <row r="3298" spans="2:8" x14ac:dyDescent="0.25">
      <c r="B3298">
        <v>1.4184000000000001</v>
      </c>
      <c r="C3298">
        <v>280</v>
      </c>
      <c r="D3298">
        <v>128.5</v>
      </c>
      <c r="E3298">
        <v>0.28360999999999997</v>
      </c>
      <c r="F3298">
        <v>3.5259</v>
      </c>
      <c r="G3298">
        <v>756.96</v>
      </c>
      <c r="H3298">
        <v>1.4184000000000001</v>
      </c>
    </row>
    <row r="3299" spans="2:8" x14ac:dyDescent="0.25">
      <c r="B3299">
        <v>1.4222999999999999</v>
      </c>
      <c r="C3299">
        <v>285</v>
      </c>
      <c r="D3299">
        <v>128.5</v>
      </c>
      <c r="E3299">
        <v>0.28150999999999998</v>
      </c>
      <c r="F3299">
        <v>3.5522999999999998</v>
      </c>
      <c r="G3299">
        <v>759.86</v>
      </c>
      <c r="H3299">
        <v>1.4222999999999999</v>
      </c>
    </row>
    <row r="3300" spans="2:8" x14ac:dyDescent="0.25">
      <c r="B3300">
        <v>1.4261999999999999</v>
      </c>
      <c r="C3300">
        <v>290</v>
      </c>
      <c r="D3300">
        <v>128.5</v>
      </c>
      <c r="E3300">
        <v>0.27944000000000002</v>
      </c>
      <c r="F3300">
        <v>3.5785999999999998</v>
      </c>
      <c r="G3300">
        <v>762.76</v>
      </c>
      <c r="H3300">
        <v>1.4261999999999999</v>
      </c>
    </row>
    <row r="3301" spans="2:8" x14ac:dyDescent="0.25">
      <c r="B3301">
        <v>1.4300999999999999</v>
      </c>
      <c r="C3301">
        <v>295</v>
      </c>
      <c r="D3301">
        <v>128.5</v>
      </c>
      <c r="E3301">
        <v>0.27739999999999998</v>
      </c>
      <c r="F3301">
        <v>3.6049000000000002</v>
      </c>
      <c r="G3301">
        <v>765.67</v>
      </c>
      <c r="H3301">
        <v>1.4300999999999999</v>
      </c>
    </row>
    <row r="3302" spans="2:8" x14ac:dyDescent="0.25">
      <c r="B3302">
        <v>1.4339</v>
      </c>
      <c r="C3302">
        <v>300</v>
      </c>
      <c r="D3302">
        <v>128.5</v>
      </c>
      <c r="E3302">
        <v>0.27539999999999998</v>
      </c>
      <c r="F3302">
        <v>3.6311</v>
      </c>
      <c r="G3302">
        <v>768.57</v>
      </c>
      <c r="H3302">
        <v>1.4339</v>
      </c>
    </row>
    <row r="3303" spans="2:8" x14ac:dyDescent="0.25">
      <c r="B3303">
        <v>1.4377</v>
      </c>
      <c r="C3303">
        <v>305</v>
      </c>
      <c r="D3303">
        <v>128.5</v>
      </c>
      <c r="E3303">
        <v>0.27343000000000001</v>
      </c>
      <c r="F3303">
        <v>3.6573000000000002</v>
      </c>
      <c r="G3303">
        <v>771.48</v>
      </c>
      <c r="H3303">
        <v>1.4377</v>
      </c>
    </row>
    <row r="3304" spans="2:8" x14ac:dyDescent="0.25">
      <c r="B3304">
        <v>1.4415</v>
      </c>
      <c r="C3304">
        <v>310</v>
      </c>
      <c r="D3304">
        <v>128.5</v>
      </c>
      <c r="E3304">
        <v>0.27149000000000001</v>
      </c>
      <c r="F3304">
        <v>3.6833999999999998</v>
      </c>
      <c r="G3304">
        <v>774.39</v>
      </c>
      <c r="H3304">
        <v>1.4415</v>
      </c>
    </row>
    <row r="3305" spans="2:8" x14ac:dyDescent="0.25">
      <c r="B3305">
        <v>1.4453</v>
      </c>
      <c r="C3305">
        <v>315</v>
      </c>
      <c r="D3305">
        <v>128.5</v>
      </c>
      <c r="E3305">
        <v>0.26957999999999999</v>
      </c>
      <c r="F3305">
        <v>3.7094999999999998</v>
      </c>
      <c r="G3305">
        <v>777.31</v>
      </c>
      <c r="H3305">
        <v>1.4453</v>
      </c>
    </row>
    <row r="3306" spans="2:8" x14ac:dyDescent="0.25">
      <c r="B3306">
        <v>1.4491000000000001</v>
      </c>
      <c r="C3306">
        <v>320</v>
      </c>
      <c r="D3306">
        <v>128.5</v>
      </c>
      <c r="E3306">
        <v>0.26769999999999999</v>
      </c>
      <c r="F3306">
        <v>3.7355999999999998</v>
      </c>
      <c r="G3306">
        <v>780.22</v>
      </c>
      <c r="H3306">
        <v>1.4491000000000001</v>
      </c>
    </row>
    <row r="3307" spans="2:8" x14ac:dyDescent="0.25">
      <c r="B3307">
        <v>1.4528000000000001</v>
      </c>
      <c r="C3307">
        <v>325</v>
      </c>
      <c r="D3307">
        <v>128.5</v>
      </c>
      <c r="E3307">
        <v>0.26584000000000002</v>
      </c>
      <c r="F3307">
        <v>3.7616000000000001</v>
      </c>
      <c r="G3307">
        <v>783.14</v>
      </c>
      <c r="H3307">
        <v>1.4528000000000001</v>
      </c>
    </row>
    <row r="3308" spans="2:8" x14ac:dyDescent="0.25">
      <c r="B3308">
        <v>1.4564999999999999</v>
      </c>
      <c r="C3308">
        <v>330</v>
      </c>
      <c r="D3308">
        <v>128.5</v>
      </c>
      <c r="E3308">
        <v>0.26401999999999998</v>
      </c>
      <c r="F3308">
        <v>3.7875999999999999</v>
      </c>
      <c r="G3308">
        <v>786.07</v>
      </c>
      <c r="H3308">
        <v>1.4564999999999999</v>
      </c>
    </row>
    <row r="3309" spans="2:8" x14ac:dyDescent="0.25">
      <c r="B3309">
        <v>1.4601999999999999</v>
      </c>
      <c r="C3309">
        <v>335</v>
      </c>
      <c r="D3309">
        <v>128.5</v>
      </c>
      <c r="E3309">
        <v>0.26222000000000001</v>
      </c>
      <c r="F3309">
        <v>3.8134999999999999</v>
      </c>
      <c r="G3309">
        <v>788.99</v>
      </c>
      <c r="H3309">
        <v>1.4601999999999999</v>
      </c>
    </row>
    <row r="3310" spans="2:8" x14ac:dyDescent="0.25">
      <c r="B3310">
        <v>1.4639</v>
      </c>
      <c r="C3310">
        <v>340</v>
      </c>
      <c r="D3310">
        <v>128.5</v>
      </c>
      <c r="E3310">
        <v>0.26045000000000001</v>
      </c>
      <c r="F3310">
        <v>3.8395000000000001</v>
      </c>
      <c r="G3310">
        <v>791.92</v>
      </c>
      <c r="H3310">
        <v>1.4639</v>
      </c>
    </row>
    <row r="3311" spans="2:8" x14ac:dyDescent="0.25">
      <c r="B3311">
        <v>1.4675</v>
      </c>
      <c r="C3311">
        <v>345</v>
      </c>
      <c r="D3311">
        <v>128.5</v>
      </c>
      <c r="E3311">
        <v>0.25871</v>
      </c>
      <c r="F3311">
        <v>3.8654000000000002</v>
      </c>
      <c r="G3311">
        <v>794.86</v>
      </c>
      <c r="H3311">
        <v>1.4675</v>
      </c>
    </row>
    <row r="3312" spans="2:8" x14ac:dyDescent="0.25">
      <c r="B3312">
        <v>1.4712000000000001</v>
      </c>
      <c r="C3312">
        <v>350</v>
      </c>
      <c r="D3312">
        <v>128.5</v>
      </c>
      <c r="E3312">
        <v>0.25699</v>
      </c>
      <c r="F3312">
        <v>3.8912</v>
      </c>
      <c r="G3312">
        <v>797.8</v>
      </c>
      <c r="H3312">
        <v>1.4712000000000001</v>
      </c>
    </row>
    <row r="3314" spans="1:8" x14ac:dyDescent="0.25">
      <c r="A3314">
        <v>130</v>
      </c>
      <c r="B3314">
        <v>9.6661999999999998E-2</v>
      </c>
      <c r="C3314">
        <v>0</v>
      </c>
      <c r="D3314">
        <v>130</v>
      </c>
      <c r="E3314">
        <v>41.369</v>
      </c>
      <c r="F3314">
        <v>2.4173E-2</v>
      </c>
      <c r="G3314">
        <v>43.002000000000002</v>
      </c>
      <c r="H3314">
        <v>9.6661999999999998E-2</v>
      </c>
    </row>
    <row r="3315" spans="1:8" x14ac:dyDescent="0.25">
      <c r="B3315">
        <v>0.10836999999999999</v>
      </c>
      <c r="C3315">
        <v>5</v>
      </c>
      <c r="D3315">
        <v>130</v>
      </c>
      <c r="E3315">
        <v>41.143000000000001</v>
      </c>
      <c r="F3315">
        <v>2.4306000000000001E-2</v>
      </c>
      <c r="G3315">
        <v>48.412999999999997</v>
      </c>
      <c r="H3315">
        <v>0.10836999999999999</v>
      </c>
    </row>
    <row r="3316" spans="1:8" x14ac:dyDescent="0.25">
      <c r="B3316">
        <v>0.11999</v>
      </c>
      <c r="C3316">
        <v>10</v>
      </c>
      <c r="D3316">
        <v>130</v>
      </c>
      <c r="E3316">
        <v>40.914000000000001</v>
      </c>
      <c r="F3316">
        <v>2.4441000000000001E-2</v>
      </c>
      <c r="G3316">
        <v>53.84</v>
      </c>
      <c r="H3316">
        <v>0.11999</v>
      </c>
    </row>
    <row r="3317" spans="1:8" x14ac:dyDescent="0.25">
      <c r="B3317">
        <v>0.13152</v>
      </c>
      <c r="C3317">
        <v>15</v>
      </c>
      <c r="D3317">
        <v>130</v>
      </c>
      <c r="E3317">
        <v>40.683999999999997</v>
      </c>
      <c r="F3317">
        <v>2.4580000000000001E-2</v>
      </c>
      <c r="G3317">
        <v>59.283999999999999</v>
      </c>
      <c r="H3317">
        <v>0.13152</v>
      </c>
    </row>
    <row r="3318" spans="1:8" x14ac:dyDescent="0.25">
      <c r="B3318">
        <v>0.14296</v>
      </c>
      <c r="C3318">
        <v>20</v>
      </c>
      <c r="D3318">
        <v>130</v>
      </c>
      <c r="E3318">
        <v>40.451999999999998</v>
      </c>
      <c r="F3318">
        <v>2.4721E-2</v>
      </c>
      <c r="G3318">
        <v>64.745000000000005</v>
      </c>
      <c r="H3318">
        <v>0.14296</v>
      </c>
    </row>
    <row r="3319" spans="1:8" x14ac:dyDescent="0.25">
      <c r="B3319">
        <v>0.15432000000000001</v>
      </c>
      <c r="C3319">
        <v>25</v>
      </c>
      <c r="D3319">
        <v>130</v>
      </c>
      <c r="E3319">
        <v>40.216999999999999</v>
      </c>
      <c r="F3319">
        <v>2.4865000000000002E-2</v>
      </c>
      <c r="G3319">
        <v>70.224000000000004</v>
      </c>
      <c r="H3319">
        <v>0.15432000000000001</v>
      </c>
    </row>
    <row r="3320" spans="1:8" x14ac:dyDescent="0.25">
      <c r="B3320">
        <v>0.16561000000000001</v>
      </c>
      <c r="C3320">
        <v>30</v>
      </c>
      <c r="D3320">
        <v>130</v>
      </c>
      <c r="E3320">
        <v>39.981000000000002</v>
      </c>
      <c r="F3320">
        <v>2.5012E-2</v>
      </c>
      <c r="G3320">
        <v>75.72</v>
      </c>
      <c r="H3320">
        <v>0.16561000000000001</v>
      </c>
    </row>
    <row r="3321" spans="1:8" x14ac:dyDescent="0.25">
      <c r="B3321">
        <v>0.17680999999999999</v>
      </c>
      <c r="C3321">
        <v>35</v>
      </c>
      <c r="D3321">
        <v>130</v>
      </c>
      <c r="E3321">
        <v>39.741</v>
      </c>
      <c r="F3321">
        <v>2.5163000000000001E-2</v>
      </c>
      <c r="G3321">
        <v>81.234999999999999</v>
      </c>
      <c r="H3321">
        <v>0.17680999999999999</v>
      </c>
    </row>
    <row r="3322" spans="1:8" x14ac:dyDescent="0.25">
      <c r="B3322">
        <v>0.18794</v>
      </c>
      <c r="C3322">
        <v>40</v>
      </c>
      <c r="D3322">
        <v>130</v>
      </c>
      <c r="E3322">
        <v>39.5</v>
      </c>
      <c r="F3322">
        <v>2.5316999999999999E-2</v>
      </c>
      <c r="G3322">
        <v>86.769000000000005</v>
      </c>
      <c r="H3322">
        <v>0.18794</v>
      </c>
    </row>
    <row r="3323" spans="1:8" x14ac:dyDescent="0.25">
      <c r="B3323">
        <v>0.19900000000000001</v>
      </c>
      <c r="C3323">
        <v>45</v>
      </c>
      <c r="D3323">
        <v>130</v>
      </c>
      <c r="E3323">
        <v>39.256</v>
      </c>
      <c r="F3323">
        <v>2.5474E-2</v>
      </c>
      <c r="G3323">
        <v>92.322000000000003</v>
      </c>
      <c r="H3323">
        <v>0.19900000000000001</v>
      </c>
    </row>
    <row r="3324" spans="1:8" x14ac:dyDescent="0.25">
      <c r="B3324">
        <v>0.20999000000000001</v>
      </c>
      <c r="C3324">
        <v>50</v>
      </c>
      <c r="D3324">
        <v>130</v>
      </c>
      <c r="E3324">
        <v>39.009</v>
      </c>
      <c r="F3324">
        <v>2.5635000000000002E-2</v>
      </c>
      <c r="G3324">
        <v>97.896000000000001</v>
      </c>
      <c r="H3324">
        <v>0.20999000000000001</v>
      </c>
    </row>
    <row r="3325" spans="1:8" x14ac:dyDescent="0.25">
      <c r="B3325">
        <v>0.22092000000000001</v>
      </c>
      <c r="C3325">
        <v>55</v>
      </c>
      <c r="D3325">
        <v>130</v>
      </c>
      <c r="E3325">
        <v>38.759</v>
      </c>
      <c r="F3325">
        <v>2.58E-2</v>
      </c>
      <c r="G3325">
        <v>103.49</v>
      </c>
      <c r="H3325">
        <v>0.22092000000000001</v>
      </c>
    </row>
    <row r="3326" spans="1:8" x14ac:dyDescent="0.25">
      <c r="B3326">
        <v>0.23178000000000001</v>
      </c>
      <c r="C3326">
        <v>60</v>
      </c>
      <c r="D3326">
        <v>130</v>
      </c>
      <c r="E3326">
        <v>38.506</v>
      </c>
      <c r="F3326">
        <v>2.597E-2</v>
      </c>
      <c r="G3326">
        <v>109.11</v>
      </c>
      <c r="H3326">
        <v>0.23178000000000001</v>
      </c>
    </row>
    <row r="3327" spans="1:8" x14ac:dyDescent="0.25">
      <c r="B3327">
        <v>0.24257999999999999</v>
      </c>
      <c r="C3327">
        <v>65</v>
      </c>
      <c r="D3327">
        <v>130</v>
      </c>
      <c r="E3327">
        <v>38.250999999999998</v>
      </c>
      <c r="F3327">
        <v>2.6143E-2</v>
      </c>
      <c r="G3327">
        <v>114.75</v>
      </c>
      <c r="H3327">
        <v>0.24257999999999999</v>
      </c>
    </row>
    <row r="3328" spans="1:8" x14ac:dyDescent="0.25">
      <c r="B3328">
        <v>0.25334000000000001</v>
      </c>
      <c r="C3328">
        <v>70</v>
      </c>
      <c r="D3328">
        <v>130</v>
      </c>
      <c r="E3328">
        <v>37.991999999999997</v>
      </c>
      <c r="F3328">
        <v>2.6322000000000002E-2</v>
      </c>
      <c r="G3328">
        <v>120.42</v>
      </c>
      <c r="H3328">
        <v>0.25334000000000001</v>
      </c>
    </row>
    <row r="3329" spans="2:8" x14ac:dyDescent="0.25">
      <c r="B3329">
        <v>1.2185999999999999</v>
      </c>
      <c r="C3329">
        <v>75</v>
      </c>
      <c r="D3329">
        <v>130</v>
      </c>
      <c r="E3329">
        <v>0.43103000000000002</v>
      </c>
      <c r="F3329">
        <v>2.3199999999999998</v>
      </c>
      <c r="G3329">
        <v>632.20000000000005</v>
      </c>
      <c r="H3329">
        <v>1.2185999999999999</v>
      </c>
    </row>
    <row r="3330" spans="2:8" x14ac:dyDescent="0.25">
      <c r="B3330">
        <v>1.2252000000000001</v>
      </c>
      <c r="C3330">
        <v>80</v>
      </c>
      <c r="D3330">
        <v>130</v>
      </c>
      <c r="E3330">
        <v>0.42492000000000002</v>
      </c>
      <c r="F3330">
        <v>2.3534000000000002</v>
      </c>
      <c r="G3330">
        <v>635.75</v>
      </c>
      <c r="H3330">
        <v>1.2252000000000001</v>
      </c>
    </row>
    <row r="3331" spans="2:8" x14ac:dyDescent="0.25">
      <c r="B3331">
        <v>1.2316</v>
      </c>
      <c r="C3331">
        <v>85</v>
      </c>
      <c r="D3331">
        <v>130</v>
      </c>
      <c r="E3331">
        <v>0.41907</v>
      </c>
      <c r="F3331">
        <v>2.3862000000000001</v>
      </c>
      <c r="G3331">
        <v>639.23</v>
      </c>
      <c r="H3331">
        <v>1.2316</v>
      </c>
    </row>
    <row r="3332" spans="2:8" x14ac:dyDescent="0.25">
      <c r="B3332">
        <v>1.2379</v>
      </c>
      <c r="C3332">
        <v>90</v>
      </c>
      <c r="D3332">
        <v>130</v>
      </c>
      <c r="E3332">
        <v>0.41347</v>
      </c>
      <c r="F3332">
        <v>2.4186000000000001</v>
      </c>
      <c r="G3332">
        <v>642.65</v>
      </c>
      <c r="H3332">
        <v>1.2379</v>
      </c>
    </row>
    <row r="3333" spans="2:8" x14ac:dyDescent="0.25">
      <c r="B3333">
        <v>1.244</v>
      </c>
      <c r="C3333">
        <v>95</v>
      </c>
      <c r="D3333">
        <v>130</v>
      </c>
      <c r="E3333">
        <v>0.40809000000000001</v>
      </c>
      <c r="F3333">
        <v>2.4504000000000001</v>
      </c>
      <c r="G3333">
        <v>646.02</v>
      </c>
      <c r="H3333">
        <v>1.244</v>
      </c>
    </row>
    <row r="3334" spans="2:8" x14ac:dyDescent="0.25">
      <c r="B3334">
        <v>1.25</v>
      </c>
      <c r="C3334">
        <v>100</v>
      </c>
      <c r="D3334">
        <v>130</v>
      </c>
      <c r="E3334">
        <v>0.40292</v>
      </c>
      <c r="F3334">
        <v>2.4819</v>
      </c>
      <c r="G3334">
        <v>649.34</v>
      </c>
      <c r="H3334">
        <v>1.25</v>
      </c>
    </row>
    <row r="3335" spans="2:8" x14ac:dyDescent="0.25">
      <c r="B3335">
        <v>1.2558</v>
      </c>
      <c r="C3335">
        <v>105</v>
      </c>
      <c r="D3335">
        <v>130</v>
      </c>
      <c r="E3335">
        <v>0.39793000000000001</v>
      </c>
      <c r="F3335">
        <v>2.5129999999999999</v>
      </c>
      <c r="G3335">
        <v>652.62</v>
      </c>
      <c r="H3335">
        <v>1.2558</v>
      </c>
    </row>
    <row r="3336" spans="2:8" x14ac:dyDescent="0.25">
      <c r="B3336">
        <v>1.2615000000000001</v>
      </c>
      <c r="C3336">
        <v>110</v>
      </c>
      <c r="D3336">
        <v>130</v>
      </c>
      <c r="E3336">
        <v>0.39312999999999998</v>
      </c>
      <c r="F3336">
        <v>2.5436999999999999</v>
      </c>
      <c r="G3336">
        <v>655.86</v>
      </c>
      <c r="H3336">
        <v>1.2615000000000001</v>
      </c>
    </row>
    <row r="3337" spans="2:8" x14ac:dyDescent="0.25">
      <c r="B3337">
        <v>1.2670999999999999</v>
      </c>
      <c r="C3337">
        <v>115</v>
      </c>
      <c r="D3337">
        <v>130</v>
      </c>
      <c r="E3337">
        <v>0.38847999999999999</v>
      </c>
      <c r="F3337">
        <v>2.5741000000000001</v>
      </c>
      <c r="G3337">
        <v>659.06</v>
      </c>
      <c r="H3337">
        <v>1.2670999999999999</v>
      </c>
    </row>
    <row r="3338" spans="2:8" x14ac:dyDescent="0.25">
      <c r="B3338">
        <v>1.2726</v>
      </c>
      <c r="C3338">
        <v>120</v>
      </c>
      <c r="D3338">
        <v>130</v>
      </c>
      <c r="E3338">
        <v>0.38399</v>
      </c>
      <c r="F3338">
        <v>2.6042000000000001</v>
      </c>
      <c r="G3338">
        <v>662.23</v>
      </c>
      <c r="H3338">
        <v>1.2726</v>
      </c>
    </row>
    <row r="3339" spans="2:8" x14ac:dyDescent="0.25">
      <c r="B3339">
        <v>1.278</v>
      </c>
      <c r="C3339">
        <v>125</v>
      </c>
      <c r="D3339">
        <v>130</v>
      </c>
      <c r="E3339">
        <v>0.37964999999999999</v>
      </c>
      <c r="F3339">
        <v>2.6339999999999999</v>
      </c>
      <c r="G3339">
        <v>665.38</v>
      </c>
      <c r="H3339">
        <v>1.278</v>
      </c>
    </row>
    <row r="3340" spans="2:8" x14ac:dyDescent="0.25">
      <c r="B3340">
        <v>1.2833000000000001</v>
      </c>
      <c r="C3340">
        <v>130</v>
      </c>
      <c r="D3340">
        <v>130</v>
      </c>
      <c r="E3340">
        <v>0.37542999999999999</v>
      </c>
      <c r="F3340">
        <v>2.6636000000000002</v>
      </c>
      <c r="G3340">
        <v>668.49</v>
      </c>
      <c r="H3340">
        <v>1.2833000000000001</v>
      </c>
    </row>
    <row r="3341" spans="2:8" x14ac:dyDescent="0.25">
      <c r="B3341">
        <v>1.2885</v>
      </c>
      <c r="C3341">
        <v>135</v>
      </c>
      <c r="D3341">
        <v>130</v>
      </c>
      <c r="E3341">
        <v>0.37134</v>
      </c>
      <c r="F3341">
        <v>2.6928999999999998</v>
      </c>
      <c r="G3341">
        <v>671.59</v>
      </c>
      <c r="H3341">
        <v>1.2885</v>
      </c>
    </row>
    <row r="3342" spans="2:8" x14ac:dyDescent="0.25">
      <c r="B3342">
        <v>1.2937000000000001</v>
      </c>
      <c r="C3342">
        <v>140</v>
      </c>
      <c r="D3342">
        <v>130</v>
      </c>
      <c r="E3342">
        <v>0.36736999999999997</v>
      </c>
      <c r="F3342">
        <v>2.7221000000000002</v>
      </c>
      <c r="G3342">
        <v>674.66</v>
      </c>
      <c r="H3342">
        <v>1.2937000000000001</v>
      </c>
    </row>
    <row r="3343" spans="2:8" x14ac:dyDescent="0.25">
      <c r="B3343">
        <v>1.2987</v>
      </c>
      <c r="C3343">
        <v>145</v>
      </c>
      <c r="D3343">
        <v>130</v>
      </c>
      <c r="E3343">
        <v>0.36351</v>
      </c>
      <c r="F3343">
        <v>2.7509999999999999</v>
      </c>
      <c r="G3343">
        <v>677.71</v>
      </c>
      <c r="H3343">
        <v>1.2987</v>
      </c>
    </row>
    <row r="3344" spans="2:8" x14ac:dyDescent="0.25">
      <c r="B3344">
        <v>1.3037000000000001</v>
      </c>
      <c r="C3344">
        <v>150</v>
      </c>
      <c r="D3344">
        <v>130</v>
      </c>
      <c r="E3344">
        <v>0.35976000000000002</v>
      </c>
      <c r="F3344">
        <v>2.7797000000000001</v>
      </c>
      <c r="G3344">
        <v>680.74</v>
      </c>
      <c r="H3344">
        <v>1.3037000000000001</v>
      </c>
    </row>
    <row r="3345" spans="2:8" x14ac:dyDescent="0.25">
      <c r="B3345">
        <v>1.3087</v>
      </c>
      <c r="C3345">
        <v>155</v>
      </c>
      <c r="D3345">
        <v>130</v>
      </c>
      <c r="E3345">
        <v>0.35610000000000003</v>
      </c>
      <c r="F3345">
        <v>2.8081999999999998</v>
      </c>
      <c r="G3345">
        <v>683.76</v>
      </c>
      <c r="H3345">
        <v>1.3087</v>
      </c>
    </row>
    <row r="3346" spans="2:8" x14ac:dyDescent="0.25">
      <c r="B3346">
        <v>1.3134999999999999</v>
      </c>
      <c r="C3346">
        <v>160</v>
      </c>
      <c r="D3346">
        <v>130</v>
      </c>
      <c r="E3346">
        <v>0.35254000000000002</v>
      </c>
      <c r="F3346">
        <v>2.8365</v>
      </c>
      <c r="G3346">
        <v>686.76</v>
      </c>
      <c r="H3346">
        <v>1.3134999999999999</v>
      </c>
    </row>
    <row r="3347" spans="2:8" x14ac:dyDescent="0.25">
      <c r="B3347">
        <v>1.3183</v>
      </c>
      <c r="C3347">
        <v>165</v>
      </c>
      <c r="D3347">
        <v>130</v>
      </c>
      <c r="E3347">
        <v>0.34906999999999999</v>
      </c>
      <c r="F3347">
        <v>2.8647</v>
      </c>
      <c r="G3347">
        <v>689.75</v>
      </c>
      <c r="H3347">
        <v>1.3183</v>
      </c>
    </row>
    <row r="3348" spans="2:8" x14ac:dyDescent="0.25">
      <c r="B3348">
        <v>1.3230999999999999</v>
      </c>
      <c r="C3348">
        <v>170</v>
      </c>
      <c r="D3348">
        <v>130</v>
      </c>
      <c r="E3348">
        <v>0.34569</v>
      </c>
      <c r="F3348">
        <v>2.8927999999999998</v>
      </c>
      <c r="G3348">
        <v>692.73</v>
      </c>
      <c r="H3348">
        <v>1.3230999999999999</v>
      </c>
    </row>
    <row r="3349" spans="2:8" x14ac:dyDescent="0.25">
      <c r="B3349">
        <v>1.3278000000000001</v>
      </c>
      <c r="C3349">
        <v>175</v>
      </c>
      <c r="D3349">
        <v>130</v>
      </c>
      <c r="E3349">
        <v>0.34238000000000002</v>
      </c>
      <c r="F3349">
        <v>2.9207000000000001</v>
      </c>
      <c r="G3349">
        <v>695.7</v>
      </c>
      <c r="H3349">
        <v>1.3278000000000001</v>
      </c>
    </row>
    <row r="3350" spans="2:8" x14ac:dyDescent="0.25">
      <c r="B3350">
        <v>1.3324</v>
      </c>
      <c r="C3350">
        <v>180</v>
      </c>
      <c r="D3350">
        <v>130</v>
      </c>
      <c r="E3350">
        <v>0.33916000000000002</v>
      </c>
      <c r="F3350">
        <v>2.9485000000000001</v>
      </c>
      <c r="G3350">
        <v>698.65</v>
      </c>
      <c r="H3350">
        <v>1.3324</v>
      </c>
    </row>
    <row r="3351" spans="2:8" x14ac:dyDescent="0.25">
      <c r="B3351">
        <v>1.337</v>
      </c>
      <c r="C3351">
        <v>185</v>
      </c>
      <c r="D3351">
        <v>130</v>
      </c>
      <c r="E3351">
        <v>0.33600999999999998</v>
      </c>
      <c r="F3351">
        <v>2.9761000000000002</v>
      </c>
      <c r="G3351">
        <v>701.6</v>
      </c>
      <c r="H3351">
        <v>1.337</v>
      </c>
    </row>
    <row r="3352" spans="2:8" x14ac:dyDescent="0.25">
      <c r="B3352">
        <v>1.3414999999999999</v>
      </c>
      <c r="C3352">
        <v>190</v>
      </c>
      <c r="D3352">
        <v>130</v>
      </c>
      <c r="E3352">
        <v>0.33293</v>
      </c>
      <c r="F3352">
        <v>3.0036</v>
      </c>
      <c r="G3352">
        <v>704.54</v>
      </c>
      <c r="H3352">
        <v>1.3414999999999999</v>
      </c>
    </row>
    <row r="3353" spans="2:8" x14ac:dyDescent="0.25">
      <c r="B3353">
        <v>1.3460000000000001</v>
      </c>
      <c r="C3353">
        <v>195</v>
      </c>
      <c r="D3353">
        <v>130</v>
      </c>
      <c r="E3353">
        <v>0.32991999999999999</v>
      </c>
      <c r="F3353">
        <v>3.0310000000000001</v>
      </c>
      <c r="G3353">
        <v>707.47</v>
      </c>
      <c r="H3353">
        <v>1.3460000000000001</v>
      </c>
    </row>
    <row r="3354" spans="2:8" x14ac:dyDescent="0.25">
      <c r="B3354">
        <v>1.3505</v>
      </c>
      <c r="C3354">
        <v>200</v>
      </c>
      <c r="D3354">
        <v>130</v>
      </c>
      <c r="E3354">
        <v>0.32696999999999998</v>
      </c>
      <c r="F3354">
        <v>3.0583</v>
      </c>
      <c r="G3354">
        <v>710.4</v>
      </c>
      <c r="H3354">
        <v>1.3505</v>
      </c>
    </row>
    <row r="3355" spans="2:8" x14ac:dyDescent="0.25">
      <c r="B3355">
        <v>1.3549</v>
      </c>
      <c r="C3355">
        <v>205</v>
      </c>
      <c r="D3355">
        <v>130</v>
      </c>
      <c r="E3355">
        <v>0.32408999999999999</v>
      </c>
      <c r="F3355">
        <v>3.0855000000000001</v>
      </c>
      <c r="G3355">
        <v>713.32</v>
      </c>
      <c r="H3355">
        <v>1.3549</v>
      </c>
    </row>
    <row r="3356" spans="2:8" x14ac:dyDescent="0.25">
      <c r="B3356">
        <v>1.3593</v>
      </c>
      <c r="C3356">
        <v>210</v>
      </c>
      <c r="D3356">
        <v>130</v>
      </c>
      <c r="E3356">
        <v>0.32127</v>
      </c>
      <c r="F3356">
        <v>3.1126</v>
      </c>
      <c r="G3356">
        <v>716.24</v>
      </c>
      <c r="H3356">
        <v>1.3593</v>
      </c>
    </row>
    <row r="3357" spans="2:8" x14ac:dyDescent="0.25">
      <c r="B3357">
        <v>1.3635999999999999</v>
      </c>
      <c r="C3357">
        <v>215</v>
      </c>
      <c r="D3357">
        <v>130</v>
      </c>
      <c r="E3357">
        <v>0.31851000000000002</v>
      </c>
      <c r="F3357">
        <v>3.1396999999999999</v>
      </c>
      <c r="G3357">
        <v>719.15</v>
      </c>
      <c r="H3357">
        <v>1.3635999999999999</v>
      </c>
    </row>
    <row r="3358" spans="2:8" x14ac:dyDescent="0.25">
      <c r="B3358">
        <v>1.3678999999999999</v>
      </c>
      <c r="C3358">
        <v>220</v>
      </c>
      <c r="D3358">
        <v>130</v>
      </c>
      <c r="E3358">
        <v>0.31580000000000003</v>
      </c>
      <c r="F3358">
        <v>3.1665999999999999</v>
      </c>
      <c r="G3358">
        <v>722.06</v>
      </c>
      <c r="H3358">
        <v>1.3678999999999999</v>
      </c>
    </row>
    <row r="3359" spans="2:8" x14ac:dyDescent="0.25">
      <c r="B3359">
        <v>1.3722000000000001</v>
      </c>
      <c r="C3359">
        <v>225</v>
      </c>
      <c r="D3359">
        <v>130</v>
      </c>
      <c r="E3359">
        <v>0.31313999999999997</v>
      </c>
      <c r="F3359">
        <v>3.1934</v>
      </c>
      <c r="G3359">
        <v>724.97</v>
      </c>
      <c r="H3359">
        <v>1.3722000000000001</v>
      </c>
    </row>
    <row r="3360" spans="2:8" x14ac:dyDescent="0.25">
      <c r="B3360">
        <v>1.3764000000000001</v>
      </c>
      <c r="C3360">
        <v>230</v>
      </c>
      <c r="D3360">
        <v>130</v>
      </c>
      <c r="E3360">
        <v>0.31053999999999998</v>
      </c>
      <c r="F3360">
        <v>3.2202000000000002</v>
      </c>
      <c r="G3360">
        <v>727.87</v>
      </c>
      <c r="H3360">
        <v>1.3764000000000001</v>
      </c>
    </row>
    <row r="3361" spans="2:8" x14ac:dyDescent="0.25">
      <c r="B3361">
        <v>1.3806</v>
      </c>
      <c r="C3361">
        <v>235</v>
      </c>
      <c r="D3361">
        <v>130</v>
      </c>
      <c r="E3361">
        <v>0.30798999999999999</v>
      </c>
      <c r="F3361">
        <v>3.2469000000000001</v>
      </c>
      <c r="G3361">
        <v>730.77</v>
      </c>
      <c r="H3361">
        <v>1.3806</v>
      </c>
    </row>
    <row r="3362" spans="2:8" x14ac:dyDescent="0.25">
      <c r="B3362">
        <v>1.3847</v>
      </c>
      <c r="C3362">
        <v>240</v>
      </c>
      <c r="D3362">
        <v>130</v>
      </c>
      <c r="E3362">
        <v>0.30548999999999998</v>
      </c>
      <c r="F3362">
        <v>3.2734999999999999</v>
      </c>
      <c r="G3362">
        <v>733.67</v>
      </c>
      <c r="H3362">
        <v>1.3847</v>
      </c>
    </row>
    <row r="3363" spans="2:8" x14ac:dyDescent="0.25">
      <c r="B3363">
        <v>1.3889</v>
      </c>
      <c r="C3363">
        <v>245</v>
      </c>
      <c r="D3363">
        <v>130</v>
      </c>
      <c r="E3363">
        <v>0.30303000000000002</v>
      </c>
      <c r="F3363">
        <v>3.3</v>
      </c>
      <c r="G3363">
        <v>736.57</v>
      </c>
      <c r="H3363">
        <v>1.3889</v>
      </c>
    </row>
    <row r="3364" spans="2:8" x14ac:dyDescent="0.25">
      <c r="B3364">
        <v>1.393</v>
      </c>
      <c r="C3364">
        <v>250</v>
      </c>
      <c r="D3364">
        <v>130</v>
      </c>
      <c r="E3364">
        <v>0.30062</v>
      </c>
      <c r="F3364">
        <v>3.3264999999999998</v>
      </c>
      <c r="G3364">
        <v>739.47</v>
      </c>
      <c r="H3364">
        <v>1.393</v>
      </c>
    </row>
    <row r="3365" spans="2:8" x14ac:dyDescent="0.25">
      <c r="B3365">
        <v>1.397</v>
      </c>
      <c r="C3365">
        <v>255</v>
      </c>
      <c r="D3365">
        <v>130</v>
      </c>
      <c r="E3365">
        <v>0.29825000000000002</v>
      </c>
      <c r="F3365">
        <v>3.3529</v>
      </c>
      <c r="G3365">
        <v>742.36</v>
      </c>
      <c r="H3365">
        <v>1.397</v>
      </c>
    </row>
    <row r="3366" spans="2:8" x14ac:dyDescent="0.25">
      <c r="B3366">
        <v>1.4011</v>
      </c>
      <c r="C3366">
        <v>260</v>
      </c>
      <c r="D3366">
        <v>130</v>
      </c>
      <c r="E3366">
        <v>0.29593000000000003</v>
      </c>
      <c r="F3366">
        <v>3.3792</v>
      </c>
      <c r="G3366">
        <v>745.26</v>
      </c>
      <c r="H3366">
        <v>1.4011</v>
      </c>
    </row>
    <row r="3367" spans="2:8" x14ac:dyDescent="0.25">
      <c r="B3367">
        <v>1.4051</v>
      </c>
      <c r="C3367">
        <v>265</v>
      </c>
      <c r="D3367">
        <v>130</v>
      </c>
      <c r="E3367">
        <v>0.29364000000000001</v>
      </c>
      <c r="F3367">
        <v>3.4055</v>
      </c>
      <c r="G3367">
        <v>748.16</v>
      </c>
      <c r="H3367">
        <v>1.4051</v>
      </c>
    </row>
    <row r="3368" spans="2:8" x14ac:dyDescent="0.25">
      <c r="B3368">
        <v>1.4091</v>
      </c>
      <c r="C3368">
        <v>270</v>
      </c>
      <c r="D3368">
        <v>130</v>
      </c>
      <c r="E3368">
        <v>0.29139999999999999</v>
      </c>
      <c r="F3368">
        <v>3.4318</v>
      </c>
      <c r="G3368">
        <v>751.06</v>
      </c>
      <c r="H3368">
        <v>1.4091</v>
      </c>
    </row>
    <row r="3369" spans="2:8" x14ac:dyDescent="0.25">
      <c r="B3369">
        <v>1.413</v>
      </c>
      <c r="C3369">
        <v>275</v>
      </c>
      <c r="D3369">
        <v>130</v>
      </c>
      <c r="E3369">
        <v>0.28919</v>
      </c>
      <c r="F3369">
        <v>3.4579</v>
      </c>
      <c r="G3369">
        <v>753.96</v>
      </c>
      <c r="H3369">
        <v>1.413</v>
      </c>
    </row>
    <row r="3370" spans="2:8" x14ac:dyDescent="0.25">
      <c r="B3370">
        <v>1.417</v>
      </c>
      <c r="C3370">
        <v>280</v>
      </c>
      <c r="D3370">
        <v>130</v>
      </c>
      <c r="E3370">
        <v>0.28702</v>
      </c>
      <c r="F3370">
        <v>3.4841000000000002</v>
      </c>
      <c r="G3370">
        <v>756.86</v>
      </c>
      <c r="H3370">
        <v>1.417</v>
      </c>
    </row>
    <row r="3371" spans="2:8" x14ac:dyDescent="0.25">
      <c r="B3371">
        <v>1.4209000000000001</v>
      </c>
      <c r="C3371">
        <v>285</v>
      </c>
      <c r="D3371">
        <v>130</v>
      </c>
      <c r="E3371">
        <v>0.28488999999999998</v>
      </c>
      <c r="F3371">
        <v>3.5101</v>
      </c>
      <c r="G3371">
        <v>759.76</v>
      </c>
      <c r="H3371">
        <v>1.4209000000000001</v>
      </c>
    </row>
    <row r="3372" spans="2:8" x14ac:dyDescent="0.25">
      <c r="B3372">
        <v>1.4248000000000001</v>
      </c>
      <c r="C3372">
        <v>290</v>
      </c>
      <c r="D3372">
        <v>130</v>
      </c>
      <c r="E3372">
        <v>0.28278999999999999</v>
      </c>
      <c r="F3372">
        <v>3.5362</v>
      </c>
      <c r="G3372">
        <v>762.66</v>
      </c>
      <c r="H3372">
        <v>1.4248000000000001</v>
      </c>
    </row>
    <row r="3373" spans="2:8" x14ac:dyDescent="0.25">
      <c r="B3373">
        <v>1.4286000000000001</v>
      </c>
      <c r="C3373">
        <v>295</v>
      </c>
      <c r="D3373">
        <v>130</v>
      </c>
      <c r="E3373">
        <v>0.28072999999999998</v>
      </c>
      <c r="F3373">
        <v>3.5621999999999998</v>
      </c>
      <c r="G3373">
        <v>765.57</v>
      </c>
      <c r="H3373">
        <v>1.4286000000000001</v>
      </c>
    </row>
    <row r="3374" spans="2:8" x14ac:dyDescent="0.25">
      <c r="B3374">
        <v>1.4325000000000001</v>
      </c>
      <c r="C3374">
        <v>300</v>
      </c>
      <c r="D3374">
        <v>130</v>
      </c>
      <c r="E3374">
        <v>0.2787</v>
      </c>
      <c r="F3374">
        <v>3.5880999999999998</v>
      </c>
      <c r="G3374">
        <v>768.47</v>
      </c>
      <c r="H3374">
        <v>1.4325000000000001</v>
      </c>
    </row>
    <row r="3375" spans="2:8" x14ac:dyDescent="0.25">
      <c r="B3375">
        <v>1.4362999999999999</v>
      </c>
      <c r="C3375">
        <v>305</v>
      </c>
      <c r="D3375">
        <v>130</v>
      </c>
      <c r="E3375">
        <v>0.2767</v>
      </c>
      <c r="F3375">
        <v>3.6139999999999999</v>
      </c>
      <c r="G3375">
        <v>771.38</v>
      </c>
      <c r="H3375">
        <v>1.4362999999999999</v>
      </c>
    </row>
    <row r="3376" spans="2:8" x14ac:dyDescent="0.25">
      <c r="B3376">
        <v>1.4400999999999999</v>
      </c>
      <c r="C3376">
        <v>310</v>
      </c>
      <c r="D3376">
        <v>130</v>
      </c>
      <c r="E3376">
        <v>0.27473999999999998</v>
      </c>
      <c r="F3376">
        <v>3.6398999999999999</v>
      </c>
      <c r="G3376">
        <v>774.3</v>
      </c>
      <c r="H3376">
        <v>1.4400999999999999</v>
      </c>
    </row>
    <row r="3377" spans="1:8" x14ac:dyDescent="0.25">
      <c r="B3377">
        <v>1.4439</v>
      </c>
      <c r="C3377">
        <v>315</v>
      </c>
      <c r="D3377">
        <v>130</v>
      </c>
      <c r="E3377">
        <v>0.27279999999999999</v>
      </c>
      <c r="F3377">
        <v>3.6657000000000002</v>
      </c>
      <c r="G3377">
        <v>777.21</v>
      </c>
      <c r="H3377">
        <v>1.4439</v>
      </c>
    </row>
    <row r="3378" spans="1:8" x14ac:dyDescent="0.25">
      <c r="B3378">
        <v>1.4476</v>
      </c>
      <c r="C3378">
        <v>320</v>
      </c>
      <c r="D3378">
        <v>130</v>
      </c>
      <c r="E3378">
        <v>0.27089999999999997</v>
      </c>
      <c r="F3378">
        <v>3.6915</v>
      </c>
      <c r="G3378">
        <v>780.13</v>
      </c>
      <c r="H3378">
        <v>1.4476</v>
      </c>
    </row>
    <row r="3379" spans="1:8" x14ac:dyDescent="0.25">
      <c r="B3379">
        <v>1.4513</v>
      </c>
      <c r="C3379">
        <v>325</v>
      </c>
      <c r="D3379">
        <v>130</v>
      </c>
      <c r="E3379">
        <v>0.26901999999999998</v>
      </c>
      <c r="F3379">
        <v>3.7172000000000001</v>
      </c>
      <c r="G3379">
        <v>783.05</v>
      </c>
      <c r="H3379">
        <v>1.4513</v>
      </c>
    </row>
    <row r="3380" spans="1:8" x14ac:dyDescent="0.25">
      <c r="B3380">
        <v>1.4551000000000001</v>
      </c>
      <c r="C3380">
        <v>330</v>
      </c>
      <c r="D3380">
        <v>130</v>
      </c>
      <c r="E3380">
        <v>0.26717000000000002</v>
      </c>
      <c r="F3380">
        <v>3.7429000000000001</v>
      </c>
      <c r="G3380">
        <v>785.98</v>
      </c>
      <c r="H3380">
        <v>1.4551000000000001</v>
      </c>
    </row>
    <row r="3381" spans="1:8" x14ac:dyDescent="0.25">
      <c r="B3381">
        <v>1.4588000000000001</v>
      </c>
      <c r="C3381">
        <v>335</v>
      </c>
      <c r="D3381">
        <v>130</v>
      </c>
      <c r="E3381">
        <v>0.26534999999999997</v>
      </c>
      <c r="F3381">
        <v>3.7686000000000002</v>
      </c>
      <c r="G3381">
        <v>788.91</v>
      </c>
      <c r="H3381">
        <v>1.4588000000000001</v>
      </c>
    </row>
    <row r="3382" spans="1:8" x14ac:dyDescent="0.25">
      <c r="B3382">
        <v>1.4623999999999999</v>
      </c>
      <c r="C3382">
        <v>340</v>
      </c>
      <c r="D3382">
        <v>130</v>
      </c>
      <c r="E3382">
        <v>0.26356000000000002</v>
      </c>
      <c r="F3382">
        <v>3.7942</v>
      </c>
      <c r="G3382">
        <v>791.84</v>
      </c>
      <c r="H3382">
        <v>1.4623999999999999</v>
      </c>
    </row>
    <row r="3383" spans="1:8" x14ac:dyDescent="0.25">
      <c r="B3383">
        <v>1.4661</v>
      </c>
      <c r="C3383">
        <v>345</v>
      </c>
      <c r="D3383">
        <v>130</v>
      </c>
      <c r="E3383">
        <v>0.26179000000000002</v>
      </c>
      <c r="F3383">
        <v>3.8197999999999999</v>
      </c>
      <c r="G3383">
        <v>794.77</v>
      </c>
      <c r="H3383">
        <v>1.4661</v>
      </c>
    </row>
    <row r="3384" spans="1:8" x14ac:dyDescent="0.25">
      <c r="B3384">
        <v>1.4697</v>
      </c>
      <c r="C3384">
        <v>350</v>
      </c>
      <c r="D3384">
        <v>130</v>
      </c>
      <c r="E3384">
        <v>0.26005</v>
      </c>
      <c r="F3384">
        <v>3.8454000000000002</v>
      </c>
      <c r="G3384">
        <v>797.71</v>
      </c>
      <c r="H3384">
        <v>1.4697</v>
      </c>
    </row>
    <row r="3386" spans="1:8" x14ac:dyDescent="0.25">
      <c r="A3386">
        <v>135</v>
      </c>
      <c r="B3386">
        <v>9.6637000000000001E-2</v>
      </c>
      <c r="C3386">
        <v>0</v>
      </c>
      <c r="D3386">
        <v>135</v>
      </c>
      <c r="E3386">
        <v>41.37</v>
      </c>
      <c r="F3386">
        <v>2.4171999999999999E-2</v>
      </c>
      <c r="G3386">
        <v>43.012999999999998</v>
      </c>
      <c r="H3386">
        <v>9.6637000000000001E-2</v>
      </c>
    </row>
    <row r="3387" spans="1:8" x14ac:dyDescent="0.25">
      <c r="B3387">
        <v>0.10834000000000001</v>
      </c>
      <c r="C3387">
        <v>5</v>
      </c>
      <c r="D3387">
        <v>135</v>
      </c>
      <c r="E3387">
        <v>41.143999999999998</v>
      </c>
      <c r="F3387">
        <v>2.4305E-2</v>
      </c>
      <c r="G3387">
        <v>48.423999999999999</v>
      </c>
      <c r="H3387">
        <v>0.10834000000000001</v>
      </c>
    </row>
    <row r="3388" spans="1:8" x14ac:dyDescent="0.25">
      <c r="B3388">
        <v>0.11996</v>
      </c>
      <c r="C3388">
        <v>10</v>
      </c>
      <c r="D3388">
        <v>135</v>
      </c>
      <c r="E3388">
        <v>40.915999999999997</v>
      </c>
      <c r="F3388">
        <v>2.444E-2</v>
      </c>
      <c r="G3388">
        <v>53.850999999999999</v>
      </c>
      <c r="H3388">
        <v>0.11996</v>
      </c>
    </row>
    <row r="3389" spans="1:8" x14ac:dyDescent="0.25">
      <c r="B3389">
        <v>0.13149</v>
      </c>
      <c r="C3389">
        <v>15</v>
      </c>
      <c r="D3389">
        <v>135</v>
      </c>
      <c r="E3389">
        <v>40.686</v>
      </c>
      <c r="F3389">
        <v>2.4579E-2</v>
      </c>
      <c r="G3389">
        <v>59.295000000000002</v>
      </c>
      <c r="H3389">
        <v>0.13149</v>
      </c>
    </row>
    <row r="3390" spans="1:8" x14ac:dyDescent="0.25">
      <c r="B3390">
        <v>0.14294000000000001</v>
      </c>
      <c r="C3390">
        <v>20</v>
      </c>
      <c r="D3390">
        <v>135</v>
      </c>
      <c r="E3390">
        <v>40.453000000000003</v>
      </c>
      <c r="F3390">
        <v>2.4719999999999999E-2</v>
      </c>
      <c r="G3390">
        <v>64.756</v>
      </c>
      <c r="H3390">
        <v>0.14294000000000001</v>
      </c>
    </row>
    <row r="3391" spans="1:8" x14ac:dyDescent="0.25">
      <c r="B3391">
        <v>0.15429999999999999</v>
      </c>
      <c r="C3391">
        <v>25</v>
      </c>
      <c r="D3391">
        <v>135</v>
      </c>
      <c r="E3391">
        <v>40.219000000000001</v>
      </c>
      <c r="F3391">
        <v>2.4864000000000001E-2</v>
      </c>
      <c r="G3391">
        <v>70.233999999999995</v>
      </c>
      <c r="H3391">
        <v>0.15429999999999999</v>
      </c>
    </row>
    <row r="3392" spans="1:8" x14ac:dyDescent="0.25">
      <c r="B3392">
        <v>0.16558</v>
      </c>
      <c r="C3392">
        <v>30</v>
      </c>
      <c r="D3392">
        <v>135</v>
      </c>
      <c r="E3392">
        <v>39.981999999999999</v>
      </c>
      <c r="F3392">
        <v>2.5010999999999999E-2</v>
      </c>
      <c r="G3392">
        <v>75.73</v>
      </c>
      <c r="H3392">
        <v>0.16558</v>
      </c>
    </row>
    <row r="3393" spans="2:8" x14ac:dyDescent="0.25">
      <c r="B3393">
        <v>0.17677999999999999</v>
      </c>
      <c r="C3393">
        <v>35</v>
      </c>
      <c r="D3393">
        <v>135</v>
      </c>
      <c r="E3393">
        <v>39.743000000000002</v>
      </c>
      <c r="F3393">
        <v>2.5162E-2</v>
      </c>
      <c r="G3393">
        <v>81.244</v>
      </c>
      <c r="H3393">
        <v>0.17677999999999999</v>
      </c>
    </row>
    <row r="3394" spans="2:8" x14ac:dyDescent="0.25">
      <c r="B3394">
        <v>0.18790999999999999</v>
      </c>
      <c r="C3394">
        <v>40</v>
      </c>
      <c r="D3394">
        <v>135</v>
      </c>
      <c r="E3394">
        <v>39.500999999999998</v>
      </c>
      <c r="F3394">
        <v>2.5316000000000002E-2</v>
      </c>
      <c r="G3394">
        <v>86.778000000000006</v>
      </c>
      <c r="H3394">
        <v>0.18790999999999999</v>
      </c>
    </row>
    <row r="3395" spans="2:8" x14ac:dyDescent="0.25">
      <c r="B3395">
        <v>0.19897000000000001</v>
      </c>
      <c r="C3395">
        <v>45</v>
      </c>
      <c r="D3395">
        <v>135</v>
      </c>
      <c r="E3395">
        <v>39.256999999999998</v>
      </c>
      <c r="F3395">
        <v>2.5472999999999999E-2</v>
      </c>
      <c r="G3395">
        <v>92.331000000000003</v>
      </c>
      <c r="H3395">
        <v>0.19897000000000001</v>
      </c>
    </row>
    <row r="3396" spans="2:8" x14ac:dyDescent="0.25">
      <c r="B3396">
        <v>0.20996000000000001</v>
      </c>
      <c r="C3396">
        <v>50</v>
      </c>
      <c r="D3396">
        <v>135</v>
      </c>
      <c r="E3396">
        <v>39.01</v>
      </c>
      <c r="F3396">
        <v>2.5634000000000001E-2</v>
      </c>
      <c r="G3396">
        <v>97.903999999999996</v>
      </c>
      <c r="H3396">
        <v>0.20996000000000001</v>
      </c>
    </row>
    <row r="3397" spans="2:8" x14ac:dyDescent="0.25">
      <c r="B3397">
        <v>0.22089</v>
      </c>
      <c r="C3397">
        <v>55</v>
      </c>
      <c r="D3397">
        <v>135</v>
      </c>
      <c r="E3397">
        <v>38.761000000000003</v>
      </c>
      <c r="F3397">
        <v>2.5798999999999999E-2</v>
      </c>
      <c r="G3397">
        <v>103.5</v>
      </c>
      <c r="H3397">
        <v>0.22089</v>
      </c>
    </row>
    <row r="3398" spans="2:8" x14ac:dyDescent="0.25">
      <c r="B3398">
        <v>0.23175000000000001</v>
      </c>
      <c r="C3398">
        <v>60</v>
      </c>
      <c r="D3398">
        <v>135</v>
      </c>
      <c r="E3398">
        <v>38.508000000000003</v>
      </c>
      <c r="F3398">
        <v>2.5968000000000001E-2</v>
      </c>
      <c r="G3398">
        <v>109.12</v>
      </c>
      <c r="H3398">
        <v>0.23175000000000001</v>
      </c>
    </row>
    <row r="3399" spans="2:8" x14ac:dyDescent="0.25">
      <c r="B3399">
        <v>0.24254999999999999</v>
      </c>
      <c r="C3399">
        <v>65</v>
      </c>
      <c r="D3399">
        <v>135</v>
      </c>
      <c r="E3399">
        <v>38.253</v>
      </c>
      <c r="F3399">
        <v>2.6141999999999999E-2</v>
      </c>
      <c r="G3399">
        <v>114.76</v>
      </c>
      <c r="H3399">
        <v>0.24254999999999999</v>
      </c>
    </row>
    <row r="3400" spans="2:8" x14ac:dyDescent="0.25">
      <c r="B3400">
        <v>0.25330000000000003</v>
      </c>
      <c r="C3400">
        <v>70</v>
      </c>
      <c r="D3400">
        <v>135</v>
      </c>
      <c r="E3400">
        <v>37.994</v>
      </c>
      <c r="F3400">
        <v>2.632E-2</v>
      </c>
      <c r="G3400">
        <v>120.43</v>
      </c>
      <c r="H3400">
        <v>0.25330000000000003</v>
      </c>
    </row>
    <row r="3401" spans="2:8" x14ac:dyDescent="0.25">
      <c r="B3401">
        <v>1.2123999999999999</v>
      </c>
      <c r="C3401">
        <v>75</v>
      </c>
      <c r="D3401">
        <v>135</v>
      </c>
      <c r="E3401">
        <v>0.44991999999999999</v>
      </c>
      <c r="F3401">
        <v>2.2225999999999999</v>
      </c>
      <c r="G3401">
        <v>631</v>
      </c>
      <c r="H3401">
        <v>1.2123999999999999</v>
      </c>
    </row>
    <row r="3402" spans="2:8" x14ac:dyDescent="0.25">
      <c r="B3402">
        <v>1.2192000000000001</v>
      </c>
      <c r="C3402">
        <v>80</v>
      </c>
      <c r="D3402">
        <v>135</v>
      </c>
      <c r="E3402">
        <v>0.44341000000000003</v>
      </c>
      <c r="F3402">
        <v>2.2551999999999999</v>
      </c>
      <c r="G3402">
        <v>634.61</v>
      </c>
      <c r="H3402">
        <v>1.2192000000000001</v>
      </c>
    </row>
    <row r="3403" spans="2:8" x14ac:dyDescent="0.25">
      <c r="B3403">
        <v>1.2257</v>
      </c>
      <c r="C3403">
        <v>85</v>
      </c>
      <c r="D3403">
        <v>135</v>
      </c>
      <c r="E3403">
        <v>0.43719999999999998</v>
      </c>
      <c r="F3403">
        <v>2.2873000000000001</v>
      </c>
      <c r="G3403">
        <v>638.15</v>
      </c>
      <c r="H3403">
        <v>1.2257</v>
      </c>
    </row>
    <row r="3404" spans="2:8" x14ac:dyDescent="0.25">
      <c r="B3404">
        <v>1.232</v>
      </c>
      <c r="C3404">
        <v>90</v>
      </c>
      <c r="D3404">
        <v>135</v>
      </c>
      <c r="E3404">
        <v>0.43125000000000002</v>
      </c>
      <c r="F3404">
        <v>2.3188</v>
      </c>
      <c r="G3404">
        <v>641.62</v>
      </c>
      <c r="H3404">
        <v>1.232</v>
      </c>
    </row>
    <row r="3405" spans="2:8" x14ac:dyDescent="0.25">
      <c r="B3405">
        <v>1.2382</v>
      </c>
      <c r="C3405">
        <v>95</v>
      </c>
      <c r="D3405">
        <v>135</v>
      </c>
      <c r="E3405">
        <v>0.42554999999999998</v>
      </c>
      <c r="F3405">
        <v>2.3498999999999999</v>
      </c>
      <c r="G3405">
        <v>645.03</v>
      </c>
      <c r="H3405">
        <v>1.2382</v>
      </c>
    </row>
    <row r="3406" spans="2:8" x14ac:dyDescent="0.25">
      <c r="B3406">
        <v>1.2442</v>
      </c>
      <c r="C3406">
        <v>100</v>
      </c>
      <c r="D3406">
        <v>135</v>
      </c>
      <c r="E3406">
        <v>0.42007</v>
      </c>
      <c r="F3406">
        <v>2.3805999999999998</v>
      </c>
      <c r="G3406">
        <v>648.39</v>
      </c>
      <c r="H3406">
        <v>1.2442</v>
      </c>
    </row>
    <row r="3407" spans="2:8" x14ac:dyDescent="0.25">
      <c r="B3407">
        <v>1.2501</v>
      </c>
      <c r="C3407">
        <v>105</v>
      </c>
      <c r="D3407">
        <v>135</v>
      </c>
      <c r="E3407">
        <v>0.4148</v>
      </c>
      <c r="F3407">
        <v>2.4108000000000001</v>
      </c>
      <c r="G3407">
        <v>651.71</v>
      </c>
      <c r="H3407">
        <v>1.2501</v>
      </c>
    </row>
    <row r="3408" spans="2:8" x14ac:dyDescent="0.25">
      <c r="B3408">
        <v>1.2559</v>
      </c>
      <c r="C3408">
        <v>110</v>
      </c>
      <c r="D3408">
        <v>135</v>
      </c>
      <c r="E3408">
        <v>0.40971999999999997</v>
      </c>
      <c r="F3408">
        <v>2.4407000000000001</v>
      </c>
      <c r="G3408">
        <v>654.99</v>
      </c>
      <c r="H3408">
        <v>1.2559</v>
      </c>
    </row>
    <row r="3409" spans="2:8" x14ac:dyDescent="0.25">
      <c r="B3409">
        <v>1.2616000000000001</v>
      </c>
      <c r="C3409">
        <v>115</v>
      </c>
      <c r="D3409">
        <v>135</v>
      </c>
      <c r="E3409">
        <v>0.40481</v>
      </c>
      <c r="F3409">
        <v>2.4702999999999999</v>
      </c>
      <c r="G3409">
        <v>658.22</v>
      </c>
      <c r="H3409">
        <v>1.2616000000000001</v>
      </c>
    </row>
    <row r="3410" spans="2:8" x14ac:dyDescent="0.25">
      <c r="B3410">
        <v>1.2670999999999999</v>
      </c>
      <c r="C3410">
        <v>120</v>
      </c>
      <c r="D3410">
        <v>135</v>
      </c>
      <c r="E3410">
        <v>0.40006999999999998</v>
      </c>
      <c r="F3410">
        <v>2.4994999999999998</v>
      </c>
      <c r="G3410">
        <v>661.43</v>
      </c>
      <c r="H3410">
        <v>1.2670999999999999</v>
      </c>
    </row>
    <row r="3411" spans="2:8" x14ac:dyDescent="0.25">
      <c r="B3411">
        <v>1.2726</v>
      </c>
      <c r="C3411">
        <v>125</v>
      </c>
      <c r="D3411">
        <v>135</v>
      </c>
      <c r="E3411">
        <v>0.39549000000000001</v>
      </c>
      <c r="F3411">
        <v>2.5285000000000002</v>
      </c>
      <c r="G3411">
        <v>664.6</v>
      </c>
      <c r="H3411">
        <v>1.2726</v>
      </c>
    </row>
    <row r="3412" spans="2:8" x14ac:dyDescent="0.25">
      <c r="B3412">
        <v>1.2779</v>
      </c>
      <c r="C3412">
        <v>130</v>
      </c>
      <c r="D3412">
        <v>135</v>
      </c>
      <c r="E3412">
        <v>0.39105000000000001</v>
      </c>
      <c r="F3412">
        <v>2.5571999999999999</v>
      </c>
      <c r="G3412">
        <v>667.74</v>
      </c>
      <c r="H3412">
        <v>1.2779</v>
      </c>
    </row>
    <row r="3413" spans="2:8" x14ac:dyDescent="0.25">
      <c r="B3413">
        <v>1.2831999999999999</v>
      </c>
      <c r="C3413">
        <v>135</v>
      </c>
      <c r="D3413">
        <v>135</v>
      </c>
      <c r="E3413">
        <v>0.38673999999999997</v>
      </c>
      <c r="F3413">
        <v>2.5857000000000001</v>
      </c>
      <c r="G3413">
        <v>670.86</v>
      </c>
      <c r="H3413">
        <v>1.2831999999999999</v>
      </c>
    </row>
    <row r="3414" spans="2:8" x14ac:dyDescent="0.25">
      <c r="B3414">
        <v>1.2884</v>
      </c>
      <c r="C3414">
        <v>140</v>
      </c>
      <c r="D3414">
        <v>135</v>
      </c>
      <c r="E3414">
        <v>0.38256000000000001</v>
      </c>
      <c r="F3414">
        <v>2.6139999999999999</v>
      </c>
      <c r="G3414">
        <v>673.95</v>
      </c>
      <c r="H3414">
        <v>1.2884</v>
      </c>
    </row>
    <row r="3415" spans="2:8" x14ac:dyDescent="0.25">
      <c r="B3415">
        <v>1.2935000000000001</v>
      </c>
      <c r="C3415">
        <v>145</v>
      </c>
      <c r="D3415">
        <v>135</v>
      </c>
      <c r="E3415">
        <v>0.3785</v>
      </c>
      <c r="F3415">
        <v>2.6419999999999999</v>
      </c>
      <c r="G3415">
        <v>677.03</v>
      </c>
      <c r="H3415">
        <v>1.2935000000000001</v>
      </c>
    </row>
    <row r="3416" spans="2:8" x14ac:dyDescent="0.25">
      <c r="B3416">
        <v>1.2985</v>
      </c>
      <c r="C3416">
        <v>150</v>
      </c>
      <c r="D3416">
        <v>135</v>
      </c>
      <c r="E3416">
        <v>0.37454999999999999</v>
      </c>
      <c r="F3416">
        <v>2.6698</v>
      </c>
      <c r="G3416">
        <v>680.08</v>
      </c>
      <c r="H3416">
        <v>1.2985</v>
      </c>
    </row>
    <row r="3417" spans="2:8" x14ac:dyDescent="0.25">
      <c r="B3417">
        <v>1.3035000000000001</v>
      </c>
      <c r="C3417">
        <v>155</v>
      </c>
      <c r="D3417">
        <v>135</v>
      </c>
      <c r="E3417">
        <v>0.37070999999999998</v>
      </c>
      <c r="F3417">
        <v>2.6974999999999998</v>
      </c>
      <c r="G3417">
        <v>683.12</v>
      </c>
      <c r="H3417">
        <v>1.3035000000000001</v>
      </c>
    </row>
    <row r="3418" spans="2:8" x14ac:dyDescent="0.25">
      <c r="B3418">
        <v>1.3084</v>
      </c>
      <c r="C3418">
        <v>160</v>
      </c>
      <c r="D3418">
        <v>135</v>
      </c>
      <c r="E3418">
        <v>0.36697999999999997</v>
      </c>
      <c r="F3418">
        <v>2.7250000000000001</v>
      </c>
      <c r="G3418">
        <v>686.14</v>
      </c>
      <c r="H3418">
        <v>1.3084</v>
      </c>
    </row>
    <row r="3419" spans="2:8" x14ac:dyDescent="0.25">
      <c r="B3419">
        <v>1.3131999999999999</v>
      </c>
      <c r="C3419">
        <v>165</v>
      </c>
      <c r="D3419">
        <v>135</v>
      </c>
      <c r="E3419">
        <v>0.36332999999999999</v>
      </c>
      <c r="F3419">
        <v>2.7523</v>
      </c>
      <c r="G3419">
        <v>689.15</v>
      </c>
      <c r="H3419">
        <v>1.3131999999999999</v>
      </c>
    </row>
    <row r="3420" spans="2:8" x14ac:dyDescent="0.25">
      <c r="B3420">
        <v>1.3180000000000001</v>
      </c>
      <c r="C3420">
        <v>170</v>
      </c>
      <c r="D3420">
        <v>135</v>
      </c>
      <c r="E3420">
        <v>0.35977999999999999</v>
      </c>
      <c r="F3420">
        <v>2.7795000000000001</v>
      </c>
      <c r="G3420">
        <v>692.14</v>
      </c>
      <c r="H3420">
        <v>1.3180000000000001</v>
      </c>
    </row>
    <row r="3421" spans="2:8" x14ac:dyDescent="0.25">
      <c r="B3421">
        <v>1.3227</v>
      </c>
      <c r="C3421">
        <v>175</v>
      </c>
      <c r="D3421">
        <v>135</v>
      </c>
      <c r="E3421">
        <v>0.35632000000000003</v>
      </c>
      <c r="F3421">
        <v>2.8065000000000002</v>
      </c>
      <c r="G3421">
        <v>695.13</v>
      </c>
      <c r="H3421">
        <v>1.3227</v>
      </c>
    </row>
    <row r="3422" spans="2:8" x14ac:dyDescent="0.25">
      <c r="B3422">
        <v>1.3273999999999999</v>
      </c>
      <c r="C3422">
        <v>180</v>
      </c>
      <c r="D3422">
        <v>135</v>
      </c>
      <c r="E3422">
        <v>0.35293999999999998</v>
      </c>
      <c r="F3422">
        <v>2.8334000000000001</v>
      </c>
      <c r="G3422">
        <v>698.1</v>
      </c>
      <c r="H3422">
        <v>1.3273999999999999</v>
      </c>
    </row>
    <row r="3423" spans="2:8" x14ac:dyDescent="0.25">
      <c r="B3423">
        <v>1.3320000000000001</v>
      </c>
      <c r="C3423">
        <v>185</v>
      </c>
      <c r="D3423">
        <v>135</v>
      </c>
      <c r="E3423">
        <v>0.34963</v>
      </c>
      <c r="F3423">
        <v>2.8601000000000001</v>
      </c>
      <c r="G3423">
        <v>701.06</v>
      </c>
      <c r="H3423">
        <v>1.3320000000000001</v>
      </c>
    </row>
    <row r="3424" spans="2:8" x14ac:dyDescent="0.25">
      <c r="B3424">
        <v>1.3365</v>
      </c>
      <c r="C3424">
        <v>190</v>
      </c>
      <c r="D3424">
        <v>135</v>
      </c>
      <c r="E3424">
        <v>0.34641</v>
      </c>
      <c r="F3424">
        <v>2.8868</v>
      </c>
      <c r="G3424">
        <v>704.02</v>
      </c>
      <c r="H3424">
        <v>1.3365</v>
      </c>
    </row>
    <row r="3425" spans="2:8" x14ac:dyDescent="0.25">
      <c r="B3425">
        <v>1.3411</v>
      </c>
      <c r="C3425">
        <v>195</v>
      </c>
      <c r="D3425">
        <v>135</v>
      </c>
      <c r="E3425">
        <v>0.34325</v>
      </c>
      <c r="F3425">
        <v>2.9133</v>
      </c>
      <c r="G3425">
        <v>706.96</v>
      </c>
      <c r="H3425">
        <v>1.3411</v>
      </c>
    </row>
    <row r="3426" spans="2:8" x14ac:dyDescent="0.25">
      <c r="B3426">
        <v>1.3454999999999999</v>
      </c>
      <c r="C3426">
        <v>200</v>
      </c>
      <c r="D3426">
        <v>135</v>
      </c>
      <c r="E3426">
        <v>0.34016999999999997</v>
      </c>
      <c r="F3426">
        <v>2.9397000000000002</v>
      </c>
      <c r="G3426">
        <v>709.9</v>
      </c>
      <c r="H3426">
        <v>1.3454999999999999</v>
      </c>
    </row>
    <row r="3427" spans="2:8" x14ac:dyDescent="0.25">
      <c r="B3427">
        <v>1.35</v>
      </c>
      <c r="C3427">
        <v>205</v>
      </c>
      <c r="D3427">
        <v>135</v>
      </c>
      <c r="E3427">
        <v>0.33715000000000001</v>
      </c>
      <c r="F3427">
        <v>2.9660000000000002</v>
      </c>
      <c r="G3427">
        <v>712.84</v>
      </c>
      <c r="H3427">
        <v>1.35</v>
      </c>
    </row>
    <row r="3428" spans="2:8" x14ac:dyDescent="0.25">
      <c r="B3428">
        <v>1.3544</v>
      </c>
      <c r="C3428">
        <v>210</v>
      </c>
      <c r="D3428">
        <v>135</v>
      </c>
      <c r="E3428">
        <v>0.3342</v>
      </c>
      <c r="F3428">
        <v>2.9923000000000002</v>
      </c>
      <c r="G3428">
        <v>715.77</v>
      </c>
      <c r="H3428">
        <v>1.3544</v>
      </c>
    </row>
    <row r="3429" spans="2:8" x14ac:dyDescent="0.25">
      <c r="B3429">
        <v>1.3587</v>
      </c>
      <c r="C3429">
        <v>215</v>
      </c>
      <c r="D3429">
        <v>135</v>
      </c>
      <c r="E3429">
        <v>0.33129999999999998</v>
      </c>
      <c r="F3429">
        <v>3.0184000000000002</v>
      </c>
      <c r="G3429">
        <v>718.69</v>
      </c>
      <c r="H3429">
        <v>1.3587</v>
      </c>
    </row>
    <row r="3430" spans="2:8" x14ac:dyDescent="0.25">
      <c r="B3430">
        <v>1.363</v>
      </c>
      <c r="C3430">
        <v>220</v>
      </c>
      <c r="D3430">
        <v>135</v>
      </c>
      <c r="E3430">
        <v>0.32846999999999998</v>
      </c>
      <c r="F3430">
        <v>3.0444</v>
      </c>
      <c r="G3430">
        <v>721.61</v>
      </c>
      <c r="H3430">
        <v>1.363</v>
      </c>
    </row>
    <row r="3431" spans="2:8" x14ac:dyDescent="0.25">
      <c r="B3431">
        <v>1.3673</v>
      </c>
      <c r="C3431">
        <v>225</v>
      </c>
      <c r="D3431">
        <v>135</v>
      </c>
      <c r="E3431">
        <v>0.32569999999999999</v>
      </c>
      <c r="F3431">
        <v>3.0703999999999998</v>
      </c>
      <c r="G3431">
        <v>724.52</v>
      </c>
      <c r="H3431">
        <v>1.3673</v>
      </c>
    </row>
    <row r="3432" spans="2:8" x14ac:dyDescent="0.25">
      <c r="B3432">
        <v>1.3714999999999999</v>
      </c>
      <c r="C3432">
        <v>230</v>
      </c>
      <c r="D3432">
        <v>135</v>
      </c>
      <c r="E3432">
        <v>0.32296999999999998</v>
      </c>
      <c r="F3432">
        <v>3.0962000000000001</v>
      </c>
      <c r="G3432">
        <v>727.44</v>
      </c>
      <c r="H3432">
        <v>1.3714999999999999</v>
      </c>
    </row>
    <row r="3433" spans="2:8" x14ac:dyDescent="0.25">
      <c r="B3433">
        <v>1.3756999999999999</v>
      </c>
      <c r="C3433">
        <v>235</v>
      </c>
      <c r="D3433">
        <v>135</v>
      </c>
      <c r="E3433">
        <v>0.32030999999999998</v>
      </c>
      <c r="F3433">
        <v>3.1219999999999999</v>
      </c>
      <c r="G3433">
        <v>730.35</v>
      </c>
      <c r="H3433">
        <v>1.3756999999999999</v>
      </c>
    </row>
    <row r="3434" spans="2:8" x14ac:dyDescent="0.25">
      <c r="B3434">
        <v>1.3798999999999999</v>
      </c>
      <c r="C3434">
        <v>240</v>
      </c>
      <c r="D3434">
        <v>135</v>
      </c>
      <c r="E3434">
        <v>0.31768999999999997</v>
      </c>
      <c r="F3434">
        <v>3.1476999999999999</v>
      </c>
      <c r="G3434">
        <v>733.26</v>
      </c>
      <c r="H3434">
        <v>1.3798999999999999</v>
      </c>
    </row>
    <row r="3435" spans="2:8" x14ac:dyDescent="0.25">
      <c r="B3435">
        <v>1.3839999999999999</v>
      </c>
      <c r="C3435">
        <v>245</v>
      </c>
      <c r="D3435">
        <v>135</v>
      </c>
      <c r="E3435">
        <v>0.31512000000000001</v>
      </c>
      <c r="F3435">
        <v>3.1734</v>
      </c>
      <c r="G3435">
        <v>736.17</v>
      </c>
      <c r="H3435">
        <v>1.3839999999999999</v>
      </c>
    </row>
    <row r="3436" spans="2:8" x14ac:dyDescent="0.25">
      <c r="B3436">
        <v>1.3882000000000001</v>
      </c>
      <c r="C3436">
        <v>250</v>
      </c>
      <c r="D3436">
        <v>135</v>
      </c>
      <c r="E3436">
        <v>0.31259999999999999</v>
      </c>
      <c r="F3436">
        <v>3.1989999999999998</v>
      </c>
      <c r="G3436">
        <v>739.07</v>
      </c>
      <c r="H3436">
        <v>1.3882000000000001</v>
      </c>
    </row>
    <row r="3437" spans="2:8" x14ac:dyDescent="0.25">
      <c r="B3437">
        <v>1.3922000000000001</v>
      </c>
      <c r="C3437">
        <v>255</v>
      </c>
      <c r="D3437">
        <v>135</v>
      </c>
      <c r="E3437">
        <v>0.31013000000000002</v>
      </c>
      <c r="F3437">
        <v>3.2244999999999999</v>
      </c>
      <c r="G3437">
        <v>741.98</v>
      </c>
      <c r="H3437">
        <v>1.3922000000000001</v>
      </c>
    </row>
    <row r="3438" spans="2:8" x14ac:dyDescent="0.25">
      <c r="B3438">
        <v>1.3963000000000001</v>
      </c>
      <c r="C3438">
        <v>260</v>
      </c>
      <c r="D3438">
        <v>135</v>
      </c>
      <c r="E3438">
        <v>0.30769999999999997</v>
      </c>
      <c r="F3438">
        <v>3.2498999999999998</v>
      </c>
      <c r="G3438">
        <v>744.88</v>
      </c>
      <c r="H3438">
        <v>1.3963000000000001</v>
      </c>
    </row>
    <row r="3439" spans="2:8" x14ac:dyDescent="0.25">
      <c r="B3439">
        <v>1.4003000000000001</v>
      </c>
      <c r="C3439">
        <v>265</v>
      </c>
      <c r="D3439">
        <v>135</v>
      </c>
      <c r="E3439">
        <v>0.30531000000000003</v>
      </c>
      <c r="F3439">
        <v>3.2753000000000001</v>
      </c>
      <c r="G3439">
        <v>747.79</v>
      </c>
      <c r="H3439">
        <v>1.4003000000000001</v>
      </c>
    </row>
    <row r="3440" spans="2:8" x14ac:dyDescent="0.25">
      <c r="B3440">
        <v>1.4043000000000001</v>
      </c>
      <c r="C3440">
        <v>270</v>
      </c>
      <c r="D3440">
        <v>135</v>
      </c>
      <c r="E3440">
        <v>0.30297000000000002</v>
      </c>
      <c r="F3440">
        <v>3.3007</v>
      </c>
      <c r="G3440">
        <v>750.69</v>
      </c>
      <c r="H3440">
        <v>1.4043000000000001</v>
      </c>
    </row>
    <row r="3441" spans="2:8" x14ac:dyDescent="0.25">
      <c r="B3441">
        <v>1.4083000000000001</v>
      </c>
      <c r="C3441">
        <v>275</v>
      </c>
      <c r="D3441">
        <v>135</v>
      </c>
      <c r="E3441">
        <v>0.30065999999999998</v>
      </c>
      <c r="F3441">
        <v>3.3260000000000001</v>
      </c>
      <c r="G3441">
        <v>753.6</v>
      </c>
      <c r="H3441">
        <v>1.4083000000000001</v>
      </c>
    </row>
    <row r="3442" spans="2:8" x14ac:dyDescent="0.25">
      <c r="B3442">
        <v>1.4121999999999999</v>
      </c>
      <c r="C3442">
        <v>280</v>
      </c>
      <c r="D3442">
        <v>135</v>
      </c>
      <c r="E3442">
        <v>0.2984</v>
      </c>
      <c r="F3442">
        <v>3.3512</v>
      </c>
      <c r="G3442">
        <v>756.51</v>
      </c>
      <c r="H3442">
        <v>1.4121999999999999</v>
      </c>
    </row>
    <row r="3443" spans="2:8" x14ac:dyDescent="0.25">
      <c r="B3443">
        <v>1.4160999999999999</v>
      </c>
      <c r="C3443">
        <v>285</v>
      </c>
      <c r="D3443">
        <v>135</v>
      </c>
      <c r="E3443">
        <v>0.29616999999999999</v>
      </c>
      <c r="F3443">
        <v>3.3763999999999998</v>
      </c>
      <c r="G3443">
        <v>759.42</v>
      </c>
      <c r="H3443">
        <v>1.4160999999999999</v>
      </c>
    </row>
    <row r="3444" spans="2:8" x14ac:dyDescent="0.25">
      <c r="B3444">
        <v>1.42</v>
      </c>
      <c r="C3444">
        <v>290</v>
      </c>
      <c r="D3444">
        <v>135</v>
      </c>
      <c r="E3444">
        <v>0.29398999999999997</v>
      </c>
      <c r="F3444">
        <v>3.4015</v>
      </c>
      <c r="G3444">
        <v>762.33</v>
      </c>
      <c r="H3444">
        <v>1.42</v>
      </c>
    </row>
    <row r="3445" spans="2:8" x14ac:dyDescent="0.25">
      <c r="B3445">
        <v>1.4238999999999999</v>
      </c>
      <c r="C3445">
        <v>295</v>
      </c>
      <c r="D3445">
        <v>135</v>
      </c>
      <c r="E3445">
        <v>0.29182999999999998</v>
      </c>
      <c r="F3445">
        <v>3.4266000000000001</v>
      </c>
      <c r="G3445">
        <v>765.24</v>
      </c>
      <c r="H3445">
        <v>1.4238999999999999</v>
      </c>
    </row>
    <row r="3446" spans="2:8" x14ac:dyDescent="0.25">
      <c r="B3446">
        <v>1.4278</v>
      </c>
      <c r="C3446">
        <v>300</v>
      </c>
      <c r="D3446">
        <v>135</v>
      </c>
      <c r="E3446">
        <v>0.28971999999999998</v>
      </c>
      <c r="F3446">
        <v>3.4517000000000002</v>
      </c>
      <c r="G3446">
        <v>768.15</v>
      </c>
      <c r="H3446">
        <v>1.4278</v>
      </c>
    </row>
    <row r="3447" spans="2:8" x14ac:dyDescent="0.25">
      <c r="B3447">
        <v>1.4316</v>
      </c>
      <c r="C3447">
        <v>305</v>
      </c>
      <c r="D3447">
        <v>135</v>
      </c>
      <c r="E3447">
        <v>0.28763</v>
      </c>
      <c r="F3447">
        <v>3.4767000000000001</v>
      </c>
      <c r="G3447">
        <v>771.07</v>
      </c>
      <c r="H3447">
        <v>1.4316</v>
      </c>
    </row>
    <row r="3448" spans="2:8" x14ac:dyDescent="0.25">
      <c r="B3448">
        <v>1.4354</v>
      </c>
      <c r="C3448">
        <v>310</v>
      </c>
      <c r="D3448">
        <v>135</v>
      </c>
      <c r="E3448">
        <v>0.28558</v>
      </c>
      <c r="F3448">
        <v>3.5015999999999998</v>
      </c>
      <c r="G3448">
        <v>773.99</v>
      </c>
      <c r="H3448">
        <v>1.4354</v>
      </c>
    </row>
    <row r="3449" spans="2:8" x14ac:dyDescent="0.25">
      <c r="B3449">
        <v>1.4392</v>
      </c>
      <c r="C3449">
        <v>315</v>
      </c>
      <c r="D3449">
        <v>135</v>
      </c>
      <c r="E3449">
        <v>0.28355999999999998</v>
      </c>
      <c r="F3449">
        <v>3.5265</v>
      </c>
      <c r="G3449">
        <v>776.91</v>
      </c>
      <c r="H3449">
        <v>1.4392</v>
      </c>
    </row>
    <row r="3450" spans="2:8" x14ac:dyDescent="0.25">
      <c r="B3450">
        <v>1.4429000000000001</v>
      </c>
      <c r="C3450">
        <v>320</v>
      </c>
      <c r="D3450">
        <v>135</v>
      </c>
      <c r="E3450">
        <v>0.28158</v>
      </c>
      <c r="F3450">
        <v>3.5514000000000001</v>
      </c>
      <c r="G3450">
        <v>779.83</v>
      </c>
      <c r="H3450">
        <v>1.4429000000000001</v>
      </c>
    </row>
    <row r="3451" spans="2:8" x14ac:dyDescent="0.25">
      <c r="B3451">
        <v>1.4467000000000001</v>
      </c>
      <c r="C3451">
        <v>325</v>
      </c>
      <c r="D3451">
        <v>135</v>
      </c>
      <c r="E3451">
        <v>0.27961999999999998</v>
      </c>
      <c r="F3451">
        <v>3.5762999999999998</v>
      </c>
      <c r="G3451">
        <v>782.76</v>
      </c>
      <c r="H3451">
        <v>1.4467000000000001</v>
      </c>
    </row>
    <row r="3452" spans="2:8" x14ac:dyDescent="0.25">
      <c r="B3452">
        <v>1.4503999999999999</v>
      </c>
      <c r="C3452">
        <v>330</v>
      </c>
      <c r="D3452">
        <v>135</v>
      </c>
      <c r="E3452">
        <v>0.27768999999999999</v>
      </c>
      <c r="F3452">
        <v>3.6011000000000002</v>
      </c>
      <c r="G3452">
        <v>785.69</v>
      </c>
      <c r="H3452">
        <v>1.4503999999999999</v>
      </c>
    </row>
    <row r="3453" spans="2:8" x14ac:dyDescent="0.25">
      <c r="B3453">
        <v>1.4540999999999999</v>
      </c>
      <c r="C3453">
        <v>335</v>
      </c>
      <c r="D3453">
        <v>135</v>
      </c>
      <c r="E3453">
        <v>0.27579999999999999</v>
      </c>
      <c r="F3453">
        <v>3.6259000000000001</v>
      </c>
      <c r="G3453">
        <v>788.62</v>
      </c>
      <c r="H3453">
        <v>1.4540999999999999</v>
      </c>
    </row>
    <row r="3454" spans="2:8" x14ac:dyDescent="0.25">
      <c r="B3454">
        <v>1.4578</v>
      </c>
      <c r="C3454">
        <v>340</v>
      </c>
      <c r="D3454">
        <v>135</v>
      </c>
      <c r="E3454">
        <v>0.27393000000000001</v>
      </c>
      <c r="F3454">
        <v>3.6505999999999998</v>
      </c>
      <c r="G3454">
        <v>791.56</v>
      </c>
      <c r="H3454">
        <v>1.4578</v>
      </c>
    </row>
    <row r="3455" spans="2:8" x14ac:dyDescent="0.25">
      <c r="B3455">
        <v>1.4614</v>
      </c>
      <c r="C3455">
        <v>345</v>
      </c>
      <c r="D3455">
        <v>135</v>
      </c>
      <c r="E3455">
        <v>0.27209</v>
      </c>
      <c r="F3455">
        <v>3.6753</v>
      </c>
      <c r="G3455">
        <v>794.5</v>
      </c>
      <c r="H3455">
        <v>1.4614</v>
      </c>
    </row>
    <row r="3456" spans="2:8" x14ac:dyDescent="0.25">
      <c r="B3456">
        <v>1.4651000000000001</v>
      </c>
      <c r="C3456">
        <v>350</v>
      </c>
      <c r="D3456">
        <v>135</v>
      </c>
      <c r="E3456">
        <v>0.27027000000000001</v>
      </c>
      <c r="F3456">
        <v>3.7</v>
      </c>
      <c r="G3456">
        <v>797.44</v>
      </c>
      <c r="H3456">
        <v>1.4651000000000001</v>
      </c>
    </row>
    <row r="3458" spans="1:8" x14ac:dyDescent="0.25">
      <c r="A3458">
        <v>140</v>
      </c>
      <c r="B3458">
        <v>9.6613000000000004E-2</v>
      </c>
      <c r="C3458">
        <v>0</v>
      </c>
      <c r="D3458">
        <v>140</v>
      </c>
      <c r="E3458">
        <v>41.371000000000002</v>
      </c>
      <c r="F3458">
        <v>2.4171000000000002E-2</v>
      </c>
      <c r="G3458">
        <v>43.024000000000001</v>
      </c>
      <c r="H3458">
        <v>9.6613000000000004E-2</v>
      </c>
    </row>
    <row r="3459" spans="1:8" x14ac:dyDescent="0.25">
      <c r="B3459">
        <v>0.10832</v>
      </c>
      <c r="C3459">
        <v>5</v>
      </c>
      <c r="D3459">
        <v>140</v>
      </c>
      <c r="E3459">
        <v>41.145000000000003</v>
      </c>
      <c r="F3459">
        <v>2.4303999999999999E-2</v>
      </c>
      <c r="G3459">
        <v>48.435000000000002</v>
      </c>
      <c r="H3459">
        <v>0.10832</v>
      </c>
    </row>
    <row r="3460" spans="1:8" x14ac:dyDescent="0.25">
      <c r="B3460">
        <v>0.11994</v>
      </c>
      <c r="C3460">
        <v>10</v>
      </c>
      <c r="D3460">
        <v>140</v>
      </c>
      <c r="E3460">
        <v>40.917000000000002</v>
      </c>
      <c r="F3460">
        <v>2.444E-2</v>
      </c>
      <c r="G3460">
        <v>53.862000000000002</v>
      </c>
      <c r="H3460">
        <v>0.11994</v>
      </c>
    </row>
    <row r="3461" spans="1:8" x14ac:dyDescent="0.25">
      <c r="B3461">
        <v>0.13147</v>
      </c>
      <c r="C3461">
        <v>15</v>
      </c>
      <c r="D3461">
        <v>140</v>
      </c>
      <c r="E3461">
        <v>40.686999999999998</v>
      </c>
      <c r="F3461">
        <v>2.4577999999999999E-2</v>
      </c>
      <c r="G3461">
        <v>59.305</v>
      </c>
      <c r="H3461">
        <v>0.13147</v>
      </c>
    </row>
    <row r="3462" spans="1:8" x14ac:dyDescent="0.25">
      <c r="B3462">
        <v>0.14291000000000001</v>
      </c>
      <c r="C3462">
        <v>20</v>
      </c>
      <c r="D3462">
        <v>140</v>
      </c>
      <c r="E3462">
        <v>40.454999999999998</v>
      </c>
      <c r="F3462">
        <v>2.4719000000000001E-2</v>
      </c>
      <c r="G3462">
        <v>64.766000000000005</v>
      </c>
      <c r="H3462">
        <v>0.14291000000000001</v>
      </c>
    </row>
    <row r="3463" spans="1:8" x14ac:dyDescent="0.25">
      <c r="B3463">
        <v>0.15426999999999999</v>
      </c>
      <c r="C3463">
        <v>25</v>
      </c>
      <c r="D3463">
        <v>140</v>
      </c>
      <c r="E3463">
        <v>40.22</v>
      </c>
      <c r="F3463">
        <v>2.4863E-2</v>
      </c>
      <c r="G3463">
        <v>70.244</v>
      </c>
      <c r="H3463">
        <v>0.15426999999999999</v>
      </c>
    </row>
    <row r="3464" spans="1:8" x14ac:dyDescent="0.25">
      <c r="B3464">
        <v>0.16555</v>
      </c>
      <c r="C3464">
        <v>30</v>
      </c>
      <c r="D3464">
        <v>140</v>
      </c>
      <c r="E3464">
        <v>39.984000000000002</v>
      </c>
      <c r="F3464">
        <v>2.5010000000000001E-2</v>
      </c>
      <c r="G3464">
        <v>75.739999999999995</v>
      </c>
      <c r="H3464">
        <v>0.16555</v>
      </c>
    </row>
    <row r="3465" spans="1:8" x14ac:dyDescent="0.25">
      <c r="B3465">
        <v>0.17676</v>
      </c>
      <c r="C3465">
        <v>35</v>
      </c>
      <c r="D3465">
        <v>140</v>
      </c>
      <c r="E3465">
        <v>39.744999999999997</v>
      </c>
      <c r="F3465">
        <v>2.5160999999999999E-2</v>
      </c>
      <c r="G3465">
        <v>81.254000000000005</v>
      </c>
      <c r="H3465">
        <v>0.17676</v>
      </c>
    </row>
    <row r="3466" spans="1:8" x14ac:dyDescent="0.25">
      <c r="B3466">
        <v>0.18787999999999999</v>
      </c>
      <c r="C3466">
        <v>40</v>
      </c>
      <c r="D3466">
        <v>140</v>
      </c>
      <c r="E3466">
        <v>39.503</v>
      </c>
      <c r="F3466">
        <v>2.5315000000000001E-2</v>
      </c>
      <c r="G3466">
        <v>86.787000000000006</v>
      </c>
      <c r="H3466">
        <v>0.18787999999999999</v>
      </c>
    </row>
    <row r="3467" spans="1:8" x14ac:dyDescent="0.25">
      <c r="B3467">
        <v>0.19894000000000001</v>
      </c>
      <c r="C3467">
        <v>45</v>
      </c>
      <c r="D3467">
        <v>140</v>
      </c>
      <c r="E3467">
        <v>39.259</v>
      </c>
      <c r="F3467">
        <v>2.5472000000000002E-2</v>
      </c>
      <c r="G3467">
        <v>92.338999999999999</v>
      </c>
      <c r="H3467">
        <v>0.19894000000000001</v>
      </c>
    </row>
    <row r="3468" spans="1:8" x14ac:dyDescent="0.25">
      <c r="B3468">
        <v>0.20993000000000001</v>
      </c>
      <c r="C3468">
        <v>50</v>
      </c>
      <c r="D3468">
        <v>140</v>
      </c>
      <c r="E3468">
        <v>39.012</v>
      </c>
      <c r="F3468">
        <v>2.5633E-2</v>
      </c>
      <c r="G3468">
        <v>97.912999999999997</v>
      </c>
      <c r="H3468">
        <v>0.20993000000000001</v>
      </c>
    </row>
    <row r="3469" spans="1:8" x14ac:dyDescent="0.25">
      <c r="B3469">
        <v>0.22084999999999999</v>
      </c>
      <c r="C3469">
        <v>55</v>
      </c>
      <c r="D3469">
        <v>140</v>
      </c>
      <c r="E3469">
        <v>38.762999999999998</v>
      </c>
      <c r="F3469">
        <v>2.5798000000000001E-2</v>
      </c>
      <c r="G3469">
        <v>103.51</v>
      </c>
      <c r="H3469">
        <v>0.22084999999999999</v>
      </c>
    </row>
    <row r="3470" spans="1:8" x14ac:dyDescent="0.25">
      <c r="B3470">
        <v>0.23172000000000001</v>
      </c>
      <c r="C3470">
        <v>60</v>
      </c>
      <c r="D3470">
        <v>140</v>
      </c>
      <c r="E3470">
        <v>38.51</v>
      </c>
      <c r="F3470">
        <v>2.5967E-2</v>
      </c>
      <c r="G3470">
        <v>109.12</v>
      </c>
      <c r="H3470">
        <v>0.23172000000000001</v>
      </c>
    </row>
    <row r="3471" spans="1:8" x14ac:dyDescent="0.25">
      <c r="B3471">
        <v>0.24252000000000001</v>
      </c>
      <c r="C3471">
        <v>65</v>
      </c>
      <c r="D3471">
        <v>140</v>
      </c>
      <c r="E3471">
        <v>38.253999999999998</v>
      </c>
      <c r="F3471">
        <v>2.6141000000000001E-2</v>
      </c>
      <c r="G3471">
        <v>114.77</v>
      </c>
      <c r="H3471">
        <v>0.24252000000000001</v>
      </c>
    </row>
    <row r="3472" spans="1:8" x14ac:dyDescent="0.25">
      <c r="B3472">
        <v>0.25327</v>
      </c>
      <c r="C3472">
        <v>70</v>
      </c>
      <c r="D3472">
        <v>140</v>
      </c>
      <c r="E3472">
        <v>37.994999999999997</v>
      </c>
      <c r="F3472">
        <v>2.6318999999999999E-2</v>
      </c>
      <c r="G3472">
        <v>120.43</v>
      </c>
      <c r="H3472">
        <v>0.25327</v>
      </c>
    </row>
    <row r="3473" spans="2:8" x14ac:dyDescent="0.25">
      <c r="B3473">
        <v>1.2063999999999999</v>
      </c>
      <c r="C3473">
        <v>75</v>
      </c>
      <c r="D3473">
        <v>140</v>
      </c>
      <c r="E3473">
        <v>0.46904000000000001</v>
      </c>
      <c r="F3473">
        <v>2.1320000000000001</v>
      </c>
      <c r="G3473">
        <v>629.79</v>
      </c>
      <c r="H3473">
        <v>1.2063999999999999</v>
      </c>
    </row>
    <row r="3474" spans="2:8" x14ac:dyDescent="0.25">
      <c r="B3474">
        <v>1.2132000000000001</v>
      </c>
      <c r="C3474">
        <v>80</v>
      </c>
      <c r="D3474">
        <v>140</v>
      </c>
      <c r="E3474">
        <v>0.46211999999999998</v>
      </c>
      <c r="F3474">
        <v>2.1640000000000001</v>
      </c>
      <c r="G3474">
        <v>633.46</v>
      </c>
      <c r="H3474">
        <v>1.2132000000000001</v>
      </c>
    </row>
    <row r="3475" spans="2:8" x14ac:dyDescent="0.25">
      <c r="B3475">
        <v>1.2199</v>
      </c>
      <c r="C3475">
        <v>85</v>
      </c>
      <c r="D3475">
        <v>140</v>
      </c>
      <c r="E3475">
        <v>0.45551999999999998</v>
      </c>
      <c r="F3475">
        <v>2.1953</v>
      </c>
      <c r="G3475">
        <v>637.04999999999995</v>
      </c>
      <c r="H3475">
        <v>1.2199</v>
      </c>
    </row>
    <row r="3476" spans="2:8" x14ac:dyDescent="0.25">
      <c r="B3476">
        <v>1.2262999999999999</v>
      </c>
      <c r="C3476">
        <v>90</v>
      </c>
      <c r="D3476">
        <v>140</v>
      </c>
      <c r="E3476">
        <v>0.44921</v>
      </c>
      <c r="F3476">
        <v>2.2261000000000002</v>
      </c>
      <c r="G3476">
        <v>640.57000000000005</v>
      </c>
      <c r="H3476">
        <v>1.2262999999999999</v>
      </c>
    </row>
    <row r="3477" spans="2:8" x14ac:dyDescent="0.25">
      <c r="B3477">
        <v>1.2325999999999999</v>
      </c>
      <c r="C3477">
        <v>95</v>
      </c>
      <c r="D3477">
        <v>140</v>
      </c>
      <c r="E3477">
        <v>0.44317000000000001</v>
      </c>
      <c r="F3477">
        <v>2.2565</v>
      </c>
      <c r="G3477">
        <v>644.03</v>
      </c>
      <c r="H3477">
        <v>1.2325999999999999</v>
      </c>
    </row>
    <row r="3478" spans="2:8" x14ac:dyDescent="0.25">
      <c r="B3478">
        <v>1.2386999999999999</v>
      </c>
      <c r="C3478">
        <v>100</v>
      </c>
      <c r="D3478">
        <v>140</v>
      </c>
      <c r="E3478">
        <v>0.43736999999999998</v>
      </c>
      <c r="F3478">
        <v>2.2864</v>
      </c>
      <c r="G3478">
        <v>647.44000000000005</v>
      </c>
      <c r="H3478">
        <v>1.2386999999999999</v>
      </c>
    </row>
    <row r="3479" spans="2:8" x14ac:dyDescent="0.25">
      <c r="B3479">
        <v>1.2445999999999999</v>
      </c>
      <c r="C3479">
        <v>105</v>
      </c>
      <c r="D3479">
        <v>140</v>
      </c>
      <c r="E3479">
        <v>0.43180000000000002</v>
      </c>
      <c r="F3479">
        <v>2.3159000000000001</v>
      </c>
      <c r="G3479">
        <v>650.79</v>
      </c>
      <c r="H3479">
        <v>1.2445999999999999</v>
      </c>
    </row>
    <row r="3480" spans="2:8" x14ac:dyDescent="0.25">
      <c r="B3480">
        <v>1.2504999999999999</v>
      </c>
      <c r="C3480">
        <v>110</v>
      </c>
      <c r="D3480">
        <v>140</v>
      </c>
      <c r="E3480">
        <v>0.42643999999999999</v>
      </c>
      <c r="F3480">
        <v>2.3450000000000002</v>
      </c>
      <c r="G3480">
        <v>654.11</v>
      </c>
      <c r="H3480">
        <v>1.2504999999999999</v>
      </c>
    </row>
    <row r="3481" spans="2:8" x14ac:dyDescent="0.25">
      <c r="B3481">
        <v>1.2562</v>
      </c>
      <c r="C3481">
        <v>115</v>
      </c>
      <c r="D3481">
        <v>140</v>
      </c>
      <c r="E3481">
        <v>0.42126000000000002</v>
      </c>
      <c r="F3481">
        <v>2.3738000000000001</v>
      </c>
      <c r="G3481">
        <v>657.38</v>
      </c>
      <c r="H3481">
        <v>1.2562</v>
      </c>
    </row>
    <row r="3482" spans="2:8" x14ac:dyDescent="0.25">
      <c r="B3482">
        <v>1.2618</v>
      </c>
      <c r="C3482">
        <v>120</v>
      </c>
      <c r="D3482">
        <v>140</v>
      </c>
      <c r="E3482">
        <v>0.41626999999999997</v>
      </c>
      <c r="F3482">
        <v>2.4022999999999999</v>
      </c>
      <c r="G3482">
        <v>660.61</v>
      </c>
      <c r="H3482">
        <v>1.2618</v>
      </c>
    </row>
    <row r="3483" spans="2:8" x14ac:dyDescent="0.25">
      <c r="B3483">
        <v>1.2673000000000001</v>
      </c>
      <c r="C3483">
        <v>125</v>
      </c>
      <c r="D3483">
        <v>140</v>
      </c>
      <c r="E3483">
        <v>0.41143999999999997</v>
      </c>
      <c r="F3483">
        <v>2.4304999999999999</v>
      </c>
      <c r="G3483">
        <v>663.81</v>
      </c>
      <c r="H3483">
        <v>1.2673000000000001</v>
      </c>
    </row>
    <row r="3484" spans="2:8" x14ac:dyDescent="0.25">
      <c r="B3484">
        <v>1.2726999999999999</v>
      </c>
      <c r="C3484">
        <v>130</v>
      </c>
      <c r="D3484">
        <v>140</v>
      </c>
      <c r="E3484">
        <v>0.40676000000000001</v>
      </c>
      <c r="F3484">
        <v>2.4584000000000001</v>
      </c>
      <c r="G3484">
        <v>666.98</v>
      </c>
      <c r="H3484">
        <v>1.2726999999999999</v>
      </c>
    </row>
    <row r="3485" spans="2:8" x14ac:dyDescent="0.25">
      <c r="B3485">
        <v>1.278</v>
      </c>
      <c r="C3485">
        <v>135</v>
      </c>
      <c r="D3485">
        <v>140</v>
      </c>
      <c r="E3485">
        <v>0.40223999999999999</v>
      </c>
      <c r="F3485">
        <v>2.4861</v>
      </c>
      <c r="G3485">
        <v>670.13</v>
      </c>
      <c r="H3485">
        <v>1.278</v>
      </c>
    </row>
    <row r="3486" spans="2:8" x14ac:dyDescent="0.25">
      <c r="B3486">
        <v>1.2831999999999999</v>
      </c>
      <c r="C3486">
        <v>140</v>
      </c>
      <c r="D3486">
        <v>140</v>
      </c>
      <c r="E3486">
        <v>0.39784000000000003</v>
      </c>
      <c r="F3486">
        <v>2.5135999999999998</v>
      </c>
      <c r="G3486">
        <v>673.25</v>
      </c>
      <c r="H3486">
        <v>1.2831999999999999</v>
      </c>
    </row>
    <row r="3487" spans="2:8" x14ac:dyDescent="0.25">
      <c r="B3487">
        <v>1.2884</v>
      </c>
      <c r="C3487">
        <v>145</v>
      </c>
      <c r="D3487">
        <v>140</v>
      </c>
      <c r="E3487">
        <v>0.39357999999999999</v>
      </c>
      <c r="F3487">
        <v>2.5407999999999999</v>
      </c>
      <c r="G3487">
        <v>676.34</v>
      </c>
      <c r="H3487">
        <v>1.2884</v>
      </c>
    </row>
    <row r="3488" spans="2:8" x14ac:dyDescent="0.25">
      <c r="B3488">
        <v>1.2934000000000001</v>
      </c>
      <c r="C3488">
        <v>150</v>
      </c>
      <c r="D3488">
        <v>140</v>
      </c>
      <c r="E3488">
        <v>0.38943</v>
      </c>
      <c r="F3488">
        <v>2.5678000000000001</v>
      </c>
      <c r="G3488">
        <v>679.42</v>
      </c>
      <c r="H3488">
        <v>1.2934000000000001</v>
      </c>
    </row>
    <row r="3489" spans="2:8" x14ac:dyDescent="0.25">
      <c r="B3489">
        <v>1.2984</v>
      </c>
      <c r="C3489">
        <v>155</v>
      </c>
      <c r="D3489">
        <v>140</v>
      </c>
      <c r="E3489">
        <v>0.38540000000000002</v>
      </c>
      <c r="F3489">
        <v>2.5947</v>
      </c>
      <c r="G3489">
        <v>682.48</v>
      </c>
      <c r="H3489">
        <v>1.2984</v>
      </c>
    </row>
    <row r="3490" spans="2:8" x14ac:dyDescent="0.25">
      <c r="B3490">
        <v>1.3033999999999999</v>
      </c>
      <c r="C3490">
        <v>160</v>
      </c>
      <c r="D3490">
        <v>140</v>
      </c>
      <c r="E3490">
        <v>0.38147999999999999</v>
      </c>
      <c r="F3490">
        <v>2.6214</v>
      </c>
      <c r="G3490">
        <v>685.52</v>
      </c>
      <c r="H3490">
        <v>1.3033999999999999</v>
      </c>
    </row>
    <row r="3491" spans="2:8" x14ac:dyDescent="0.25">
      <c r="B3491">
        <v>1.3082</v>
      </c>
      <c r="C3491">
        <v>165</v>
      </c>
      <c r="D3491">
        <v>140</v>
      </c>
      <c r="E3491">
        <v>0.37766</v>
      </c>
      <c r="F3491">
        <v>2.6478999999999999</v>
      </c>
      <c r="G3491">
        <v>688.55</v>
      </c>
      <c r="H3491">
        <v>1.3082</v>
      </c>
    </row>
    <row r="3492" spans="2:8" x14ac:dyDescent="0.25">
      <c r="B3492">
        <v>1.3129999999999999</v>
      </c>
      <c r="C3492">
        <v>170</v>
      </c>
      <c r="D3492">
        <v>140</v>
      </c>
      <c r="E3492">
        <v>0.37393999999999999</v>
      </c>
      <c r="F3492">
        <v>2.6741999999999999</v>
      </c>
      <c r="G3492">
        <v>691.56</v>
      </c>
      <c r="H3492">
        <v>1.3129999999999999</v>
      </c>
    </row>
    <row r="3493" spans="2:8" x14ac:dyDescent="0.25">
      <c r="B3493">
        <v>1.3178000000000001</v>
      </c>
      <c r="C3493">
        <v>175</v>
      </c>
      <c r="D3493">
        <v>140</v>
      </c>
      <c r="E3493">
        <v>0.37030999999999997</v>
      </c>
      <c r="F3493">
        <v>2.7004000000000001</v>
      </c>
      <c r="G3493">
        <v>694.56</v>
      </c>
      <c r="H3493">
        <v>1.3178000000000001</v>
      </c>
    </row>
    <row r="3494" spans="2:8" x14ac:dyDescent="0.25">
      <c r="B3494">
        <v>1.3225</v>
      </c>
      <c r="C3494">
        <v>180</v>
      </c>
      <c r="D3494">
        <v>140</v>
      </c>
      <c r="E3494">
        <v>0.36676999999999998</v>
      </c>
      <c r="F3494">
        <v>2.7265000000000001</v>
      </c>
      <c r="G3494">
        <v>697.54</v>
      </c>
      <c r="H3494">
        <v>1.3225</v>
      </c>
    </row>
    <row r="3495" spans="2:8" x14ac:dyDescent="0.25">
      <c r="B3495">
        <v>1.3270999999999999</v>
      </c>
      <c r="C3495">
        <v>185</v>
      </c>
      <c r="D3495">
        <v>140</v>
      </c>
      <c r="E3495">
        <v>0.36331000000000002</v>
      </c>
      <c r="F3495">
        <v>2.7524000000000002</v>
      </c>
      <c r="G3495">
        <v>700.52</v>
      </c>
      <c r="H3495">
        <v>1.3270999999999999</v>
      </c>
    </row>
    <row r="3496" spans="2:8" x14ac:dyDescent="0.25">
      <c r="B3496">
        <v>1.3317000000000001</v>
      </c>
      <c r="C3496">
        <v>190</v>
      </c>
      <c r="D3496">
        <v>140</v>
      </c>
      <c r="E3496">
        <v>0.35993999999999998</v>
      </c>
      <c r="F3496">
        <v>2.7783000000000002</v>
      </c>
      <c r="G3496">
        <v>703.49</v>
      </c>
      <c r="H3496">
        <v>1.3317000000000001</v>
      </c>
    </row>
    <row r="3497" spans="2:8" x14ac:dyDescent="0.25">
      <c r="B3497">
        <v>1.3362000000000001</v>
      </c>
      <c r="C3497">
        <v>195</v>
      </c>
      <c r="D3497">
        <v>140</v>
      </c>
      <c r="E3497">
        <v>0.35664000000000001</v>
      </c>
      <c r="F3497">
        <v>2.8039999999999998</v>
      </c>
      <c r="G3497">
        <v>706.45</v>
      </c>
      <c r="H3497">
        <v>1.3362000000000001</v>
      </c>
    </row>
    <row r="3498" spans="2:8" x14ac:dyDescent="0.25">
      <c r="B3498">
        <v>1.3407</v>
      </c>
      <c r="C3498">
        <v>200</v>
      </c>
      <c r="D3498">
        <v>140</v>
      </c>
      <c r="E3498">
        <v>0.35341</v>
      </c>
      <c r="F3498">
        <v>2.8296000000000001</v>
      </c>
      <c r="G3498">
        <v>709.4</v>
      </c>
      <c r="H3498">
        <v>1.3407</v>
      </c>
    </row>
    <row r="3499" spans="2:8" x14ac:dyDescent="0.25">
      <c r="B3499">
        <v>1.3452</v>
      </c>
      <c r="C3499">
        <v>205</v>
      </c>
      <c r="D3499">
        <v>140</v>
      </c>
      <c r="E3499">
        <v>0.35026000000000002</v>
      </c>
      <c r="F3499">
        <v>2.8551000000000002</v>
      </c>
      <c r="G3499">
        <v>712.35</v>
      </c>
      <c r="H3499">
        <v>1.3452</v>
      </c>
    </row>
    <row r="3500" spans="2:8" x14ac:dyDescent="0.25">
      <c r="B3500">
        <v>1.3495999999999999</v>
      </c>
      <c r="C3500">
        <v>210</v>
      </c>
      <c r="D3500">
        <v>140</v>
      </c>
      <c r="E3500">
        <v>0.34716999999999998</v>
      </c>
      <c r="F3500">
        <v>2.8803999999999998</v>
      </c>
      <c r="G3500">
        <v>715.29</v>
      </c>
      <c r="H3500">
        <v>1.3495999999999999</v>
      </c>
    </row>
    <row r="3501" spans="2:8" x14ac:dyDescent="0.25">
      <c r="B3501">
        <v>1.3540000000000001</v>
      </c>
      <c r="C3501">
        <v>215</v>
      </c>
      <c r="D3501">
        <v>140</v>
      </c>
      <c r="E3501">
        <v>0.34415000000000001</v>
      </c>
      <c r="F3501">
        <v>2.9056999999999999</v>
      </c>
      <c r="G3501">
        <v>718.23</v>
      </c>
      <c r="H3501">
        <v>1.3540000000000001</v>
      </c>
    </row>
    <row r="3502" spans="2:8" x14ac:dyDescent="0.25">
      <c r="B3502">
        <v>1.3583000000000001</v>
      </c>
      <c r="C3502">
        <v>220</v>
      </c>
      <c r="D3502">
        <v>140</v>
      </c>
      <c r="E3502">
        <v>0.34118999999999999</v>
      </c>
      <c r="F3502">
        <v>2.931</v>
      </c>
      <c r="G3502">
        <v>721.16</v>
      </c>
      <c r="H3502">
        <v>1.3583000000000001</v>
      </c>
    </row>
    <row r="3503" spans="2:8" x14ac:dyDescent="0.25">
      <c r="B3503">
        <v>1.3626</v>
      </c>
      <c r="C3503">
        <v>225</v>
      </c>
      <c r="D3503">
        <v>140</v>
      </c>
      <c r="E3503">
        <v>0.33828999999999998</v>
      </c>
      <c r="F3503">
        <v>2.9561000000000002</v>
      </c>
      <c r="G3503">
        <v>724.08</v>
      </c>
      <c r="H3503">
        <v>1.3626</v>
      </c>
    </row>
    <row r="3504" spans="2:8" x14ac:dyDescent="0.25">
      <c r="B3504">
        <v>1.3668</v>
      </c>
      <c r="C3504">
        <v>230</v>
      </c>
      <c r="D3504">
        <v>140</v>
      </c>
      <c r="E3504">
        <v>0.33544000000000002</v>
      </c>
      <c r="F3504">
        <v>2.9811000000000001</v>
      </c>
      <c r="G3504">
        <v>727.01</v>
      </c>
      <c r="H3504">
        <v>1.3668</v>
      </c>
    </row>
    <row r="3505" spans="2:8" x14ac:dyDescent="0.25">
      <c r="B3505">
        <v>1.371</v>
      </c>
      <c r="C3505">
        <v>235</v>
      </c>
      <c r="D3505">
        <v>140</v>
      </c>
      <c r="E3505">
        <v>0.33266000000000001</v>
      </c>
      <c r="F3505">
        <v>3.0061</v>
      </c>
      <c r="G3505">
        <v>729.93</v>
      </c>
      <c r="H3505">
        <v>1.371</v>
      </c>
    </row>
    <row r="3506" spans="2:8" x14ac:dyDescent="0.25">
      <c r="B3506">
        <v>1.3752</v>
      </c>
      <c r="C3506">
        <v>240</v>
      </c>
      <c r="D3506">
        <v>140</v>
      </c>
      <c r="E3506">
        <v>0.32993</v>
      </c>
      <c r="F3506">
        <v>3.0310000000000001</v>
      </c>
      <c r="G3506">
        <v>732.84</v>
      </c>
      <c r="H3506">
        <v>1.3752</v>
      </c>
    </row>
    <row r="3507" spans="2:8" x14ac:dyDescent="0.25">
      <c r="B3507">
        <v>1.3794</v>
      </c>
      <c r="C3507">
        <v>245</v>
      </c>
      <c r="D3507">
        <v>140</v>
      </c>
      <c r="E3507">
        <v>0.32724999999999999</v>
      </c>
      <c r="F3507">
        <v>3.0558000000000001</v>
      </c>
      <c r="G3507">
        <v>735.76</v>
      </c>
      <c r="H3507">
        <v>1.3794</v>
      </c>
    </row>
    <row r="3508" spans="2:8" x14ac:dyDescent="0.25">
      <c r="B3508">
        <v>1.3835</v>
      </c>
      <c r="C3508">
        <v>250</v>
      </c>
      <c r="D3508">
        <v>140</v>
      </c>
      <c r="E3508">
        <v>0.32462000000000002</v>
      </c>
      <c r="F3508">
        <v>3.0806</v>
      </c>
      <c r="G3508">
        <v>738.68</v>
      </c>
      <c r="H3508">
        <v>1.3835</v>
      </c>
    </row>
    <row r="3509" spans="2:8" x14ac:dyDescent="0.25">
      <c r="B3509">
        <v>1.3875999999999999</v>
      </c>
      <c r="C3509">
        <v>255</v>
      </c>
      <c r="D3509">
        <v>140</v>
      </c>
      <c r="E3509">
        <v>0.32203999999999999</v>
      </c>
      <c r="F3509">
        <v>3.1052</v>
      </c>
      <c r="G3509">
        <v>741.59</v>
      </c>
      <c r="H3509">
        <v>1.3875999999999999</v>
      </c>
    </row>
    <row r="3510" spans="2:8" x14ac:dyDescent="0.25">
      <c r="B3510">
        <v>1.3916999999999999</v>
      </c>
      <c r="C3510">
        <v>260</v>
      </c>
      <c r="D3510">
        <v>140</v>
      </c>
      <c r="E3510">
        <v>0.31950000000000001</v>
      </c>
      <c r="F3510">
        <v>3.1299000000000001</v>
      </c>
      <c r="G3510">
        <v>744.5</v>
      </c>
      <c r="H3510">
        <v>1.3916999999999999</v>
      </c>
    </row>
    <row r="3511" spans="2:8" x14ac:dyDescent="0.25">
      <c r="B3511">
        <v>1.3956999999999999</v>
      </c>
      <c r="C3511">
        <v>265</v>
      </c>
      <c r="D3511">
        <v>140</v>
      </c>
      <c r="E3511">
        <v>0.31701000000000001</v>
      </c>
      <c r="F3511">
        <v>3.1543999999999999</v>
      </c>
      <c r="G3511">
        <v>747.42</v>
      </c>
      <c r="H3511">
        <v>1.3956999999999999</v>
      </c>
    </row>
    <row r="3512" spans="2:8" x14ac:dyDescent="0.25">
      <c r="B3512">
        <v>1.3996999999999999</v>
      </c>
      <c r="C3512">
        <v>270</v>
      </c>
      <c r="D3512">
        <v>140</v>
      </c>
      <c r="E3512">
        <v>0.31457000000000002</v>
      </c>
      <c r="F3512">
        <v>3.1789999999999998</v>
      </c>
      <c r="G3512">
        <v>750.33</v>
      </c>
      <c r="H3512">
        <v>1.3996999999999999</v>
      </c>
    </row>
    <row r="3513" spans="2:8" x14ac:dyDescent="0.25">
      <c r="B3513">
        <v>1.4036999999999999</v>
      </c>
      <c r="C3513">
        <v>275</v>
      </c>
      <c r="D3513">
        <v>140</v>
      </c>
      <c r="E3513">
        <v>0.31217</v>
      </c>
      <c r="F3513">
        <v>3.2033999999999998</v>
      </c>
      <c r="G3513">
        <v>753.24</v>
      </c>
      <c r="H3513">
        <v>1.4036999999999999</v>
      </c>
    </row>
    <row r="3514" spans="2:8" x14ac:dyDescent="0.25">
      <c r="B3514">
        <v>1.4076</v>
      </c>
      <c r="C3514">
        <v>280</v>
      </c>
      <c r="D3514">
        <v>140</v>
      </c>
      <c r="E3514">
        <v>0.30980999999999997</v>
      </c>
      <c r="F3514">
        <v>3.2277999999999998</v>
      </c>
      <c r="G3514">
        <v>756.16</v>
      </c>
      <c r="H3514">
        <v>1.4076</v>
      </c>
    </row>
    <row r="3515" spans="2:8" x14ac:dyDescent="0.25">
      <c r="B3515">
        <v>1.4116</v>
      </c>
      <c r="C3515">
        <v>285</v>
      </c>
      <c r="D3515">
        <v>140</v>
      </c>
      <c r="E3515">
        <v>0.30748999999999999</v>
      </c>
      <c r="F3515">
        <v>3.2522000000000002</v>
      </c>
      <c r="G3515">
        <v>759.07</v>
      </c>
      <c r="H3515">
        <v>1.4116</v>
      </c>
    </row>
    <row r="3516" spans="2:8" x14ac:dyDescent="0.25">
      <c r="B3516">
        <v>1.4155</v>
      </c>
      <c r="C3516">
        <v>290</v>
      </c>
      <c r="D3516">
        <v>140</v>
      </c>
      <c r="E3516">
        <v>0.30520999999999998</v>
      </c>
      <c r="F3516">
        <v>3.2765</v>
      </c>
      <c r="G3516">
        <v>761.99</v>
      </c>
      <c r="H3516">
        <v>1.4155</v>
      </c>
    </row>
    <row r="3517" spans="2:8" x14ac:dyDescent="0.25">
      <c r="B3517">
        <v>1.4193</v>
      </c>
      <c r="C3517">
        <v>295</v>
      </c>
      <c r="D3517">
        <v>140</v>
      </c>
      <c r="E3517">
        <v>0.30296000000000001</v>
      </c>
      <c r="F3517">
        <v>3.3007</v>
      </c>
      <c r="G3517">
        <v>764.91</v>
      </c>
      <c r="H3517">
        <v>1.4193</v>
      </c>
    </row>
    <row r="3518" spans="2:8" x14ac:dyDescent="0.25">
      <c r="B3518">
        <v>1.4232</v>
      </c>
      <c r="C3518">
        <v>300</v>
      </c>
      <c r="D3518">
        <v>140</v>
      </c>
      <c r="E3518">
        <v>0.30076000000000003</v>
      </c>
      <c r="F3518">
        <v>3.3250000000000002</v>
      </c>
      <c r="G3518">
        <v>767.83</v>
      </c>
      <c r="H3518">
        <v>1.4232</v>
      </c>
    </row>
    <row r="3519" spans="2:8" x14ac:dyDescent="0.25">
      <c r="B3519">
        <v>1.427</v>
      </c>
      <c r="C3519">
        <v>305</v>
      </c>
      <c r="D3519">
        <v>140</v>
      </c>
      <c r="E3519">
        <v>0.29859000000000002</v>
      </c>
      <c r="F3519">
        <v>3.3491</v>
      </c>
      <c r="G3519">
        <v>770.75</v>
      </c>
      <c r="H3519">
        <v>1.427</v>
      </c>
    </row>
    <row r="3520" spans="2:8" x14ac:dyDescent="0.25">
      <c r="B3520">
        <v>1.4308000000000001</v>
      </c>
      <c r="C3520">
        <v>310</v>
      </c>
      <c r="D3520">
        <v>140</v>
      </c>
      <c r="E3520">
        <v>0.29644999999999999</v>
      </c>
      <c r="F3520">
        <v>3.3733</v>
      </c>
      <c r="G3520">
        <v>773.67</v>
      </c>
      <c r="H3520">
        <v>1.4308000000000001</v>
      </c>
    </row>
    <row r="3521" spans="1:8" x14ac:dyDescent="0.25">
      <c r="B3521">
        <v>1.4346000000000001</v>
      </c>
      <c r="C3521">
        <v>315</v>
      </c>
      <c r="D3521">
        <v>140</v>
      </c>
      <c r="E3521">
        <v>0.29435</v>
      </c>
      <c r="F3521">
        <v>3.3974000000000002</v>
      </c>
      <c r="G3521">
        <v>776.6</v>
      </c>
      <c r="H3521">
        <v>1.4346000000000001</v>
      </c>
    </row>
    <row r="3522" spans="1:8" x14ac:dyDescent="0.25">
      <c r="B3522">
        <v>1.4383999999999999</v>
      </c>
      <c r="C3522">
        <v>320</v>
      </c>
      <c r="D3522">
        <v>140</v>
      </c>
      <c r="E3522">
        <v>0.29227999999999998</v>
      </c>
      <c r="F3522">
        <v>3.4214000000000002</v>
      </c>
      <c r="G3522">
        <v>779.53</v>
      </c>
      <c r="H3522">
        <v>1.4383999999999999</v>
      </c>
    </row>
    <row r="3523" spans="1:8" x14ac:dyDescent="0.25">
      <c r="B3523">
        <v>1.4420999999999999</v>
      </c>
      <c r="C3523">
        <v>325</v>
      </c>
      <c r="D3523">
        <v>140</v>
      </c>
      <c r="E3523">
        <v>0.29024</v>
      </c>
      <c r="F3523">
        <v>3.4453999999999998</v>
      </c>
      <c r="G3523">
        <v>782.46</v>
      </c>
      <c r="H3523">
        <v>1.4420999999999999</v>
      </c>
    </row>
    <row r="3524" spans="1:8" x14ac:dyDescent="0.25">
      <c r="B3524">
        <v>1.4459</v>
      </c>
      <c r="C3524">
        <v>330</v>
      </c>
      <c r="D3524">
        <v>140</v>
      </c>
      <c r="E3524">
        <v>0.28822999999999999</v>
      </c>
      <c r="F3524">
        <v>3.4693999999999998</v>
      </c>
      <c r="G3524">
        <v>785.4</v>
      </c>
      <c r="H3524">
        <v>1.4459</v>
      </c>
    </row>
    <row r="3525" spans="1:8" x14ac:dyDescent="0.25">
      <c r="B3525">
        <v>1.4496</v>
      </c>
      <c r="C3525">
        <v>335</v>
      </c>
      <c r="D3525">
        <v>140</v>
      </c>
      <c r="E3525">
        <v>0.28626000000000001</v>
      </c>
      <c r="F3525">
        <v>3.4933000000000001</v>
      </c>
      <c r="G3525">
        <v>788.33</v>
      </c>
      <c r="H3525">
        <v>1.4496</v>
      </c>
    </row>
    <row r="3526" spans="1:8" x14ac:dyDescent="0.25">
      <c r="B3526">
        <v>1.4533</v>
      </c>
      <c r="C3526">
        <v>340</v>
      </c>
      <c r="D3526">
        <v>140</v>
      </c>
      <c r="E3526">
        <v>0.28431000000000001</v>
      </c>
      <c r="F3526">
        <v>3.5173000000000001</v>
      </c>
      <c r="G3526">
        <v>791.28</v>
      </c>
      <c r="H3526">
        <v>1.4533</v>
      </c>
    </row>
    <row r="3527" spans="1:8" x14ac:dyDescent="0.25">
      <c r="B3527">
        <v>1.4569000000000001</v>
      </c>
      <c r="C3527">
        <v>345</v>
      </c>
      <c r="D3527">
        <v>140</v>
      </c>
      <c r="E3527">
        <v>0.28239999999999998</v>
      </c>
      <c r="F3527">
        <v>3.5411000000000001</v>
      </c>
      <c r="G3527">
        <v>794.22</v>
      </c>
      <c r="H3527">
        <v>1.4569000000000001</v>
      </c>
    </row>
    <row r="3528" spans="1:8" x14ac:dyDescent="0.25">
      <c r="B3528">
        <v>1.4605999999999999</v>
      </c>
      <c r="C3528">
        <v>350</v>
      </c>
      <c r="D3528">
        <v>140</v>
      </c>
      <c r="E3528">
        <v>0.28050999999999998</v>
      </c>
      <c r="F3528">
        <v>3.5649999999999999</v>
      </c>
      <c r="G3528">
        <v>797.17</v>
      </c>
      <c r="H3528">
        <v>1.4605999999999999</v>
      </c>
    </row>
    <row r="3530" spans="1:8" x14ac:dyDescent="0.25">
      <c r="A3530">
        <v>145</v>
      </c>
      <c r="B3530">
        <v>9.6588999999999994E-2</v>
      </c>
      <c r="C3530">
        <v>0</v>
      </c>
      <c r="D3530">
        <v>145</v>
      </c>
      <c r="E3530">
        <v>41.372</v>
      </c>
      <c r="F3530">
        <v>2.4171000000000002E-2</v>
      </c>
      <c r="G3530">
        <v>43.034999999999997</v>
      </c>
      <c r="H3530">
        <v>9.6588999999999994E-2</v>
      </c>
    </row>
    <row r="3531" spans="1:8" x14ac:dyDescent="0.25">
      <c r="B3531">
        <v>0.10829999999999999</v>
      </c>
      <c r="C3531">
        <v>5</v>
      </c>
      <c r="D3531">
        <v>145</v>
      </c>
      <c r="E3531">
        <v>41.146000000000001</v>
      </c>
      <c r="F3531">
        <v>2.4303000000000002E-2</v>
      </c>
      <c r="G3531">
        <v>48.445999999999998</v>
      </c>
      <c r="H3531">
        <v>0.10829999999999999</v>
      </c>
    </row>
    <row r="3532" spans="1:8" x14ac:dyDescent="0.25">
      <c r="B3532">
        <v>0.11991</v>
      </c>
      <c r="C3532">
        <v>10</v>
      </c>
      <c r="D3532">
        <v>145</v>
      </c>
      <c r="E3532">
        <v>40.917999999999999</v>
      </c>
      <c r="F3532">
        <v>2.4438999999999999E-2</v>
      </c>
      <c r="G3532">
        <v>53.872</v>
      </c>
      <c r="H3532">
        <v>0.11991</v>
      </c>
    </row>
    <row r="3533" spans="1:8" x14ac:dyDescent="0.25">
      <c r="B3533">
        <v>0.13144</v>
      </c>
      <c r="C3533">
        <v>15</v>
      </c>
      <c r="D3533">
        <v>145</v>
      </c>
      <c r="E3533">
        <v>40.688000000000002</v>
      </c>
      <c r="F3533">
        <v>2.4577000000000002E-2</v>
      </c>
      <c r="G3533">
        <v>59.316000000000003</v>
      </c>
      <c r="H3533">
        <v>0.13144</v>
      </c>
    </row>
    <row r="3534" spans="1:8" x14ac:dyDescent="0.25">
      <c r="B3534">
        <v>0.14288000000000001</v>
      </c>
      <c r="C3534">
        <v>20</v>
      </c>
      <c r="D3534">
        <v>145</v>
      </c>
      <c r="E3534">
        <v>40.456000000000003</v>
      </c>
      <c r="F3534">
        <v>2.4718E-2</v>
      </c>
      <c r="G3534">
        <v>64.775999999999996</v>
      </c>
      <c r="H3534">
        <v>0.14288000000000001</v>
      </c>
    </row>
    <row r="3535" spans="1:8" x14ac:dyDescent="0.25">
      <c r="B3535">
        <v>0.15423999999999999</v>
      </c>
      <c r="C3535">
        <v>25</v>
      </c>
      <c r="D3535">
        <v>145</v>
      </c>
      <c r="E3535">
        <v>40.222000000000001</v>
      </c>
      <c r="F3535">
        <v>2.4861999999999999E-2</v>
      </c>
      <c r="G3535">
        <v>70.254000000000005</v>
      </c>
      <c r="H3535">
        <v>0.15423999999999999</v>
      </c>
    </row>
    <row r="3536" spans="1:8" x14ac:dyDescent="0.25">
      <c r="B3536">
        <v>0.16552</v>
      </c>
      <c r="C3536">
        <v>30</v>
      </c>
      <c r="D3536">
        <v>145</v>
      </c>
      <c r="E3536">
        <v>39.984999999999999</v>
      </c>
      <c r="F3536">
        <v>2.5009E-2</v>
      </c>
      <c r="G3536">
        <v>75.748999999999995</v>
      </c>
      <c r="H3536">
        <v>0.16552</v>
      </c>
    </row>
    <row r="3537" spans="2:8" x14ac:dyDescent="0.25">
      <c r="B3537">
        <v>0.17673</v>
      </c>
      <c r="C3537">
        <v>35</v>
      </c>
      <c r="D3537">
        <v>145</v>
      </c>
      <c r="E3537">
        <v>39.746000000000002</v>
      </c>
      <c r="F3537">
        <v>2.5159999999999998E-2</v>
      </c>
      <c r="G3537">
        <v>81.263000000000005</v>
      </c>
      <c r="H3537">
        <v>0.17673</v>
      </c>
    </row>
    <row r="3538" spans="2:8" x14ac:dyDescent="0.25">
      <c r="B3538">
        <v>0.18786</v>
      </c>
      <c r="C3538">
        <v>40</v>
      </c>
      <c r="D3538">
        <v>145</v>
      </c>
      <c r="E3538">
        <v>39.505000000000003</v>
      </c>
      <c r="F3538">
        <v>2.5314E-2</v>
      </c>
      <c r="G3538">
        <v>86.796000000000006</v>
      </c>
      <c r="H3538">
        <v>0.18786</v>
      </c>
    </row>
    <row r="3539" spans="2:8" x14ac:dyDescent="0.25">
      <c r="B3539">
        <v>0.19891</v>
      </c>
      <c r="C3539">
        <v>45</v>
      </c>
      <c r="D3539">
        <v>145</v>
      </c>
      <c r="E3539">
        <v>39.261000000000003</v>
      </c>
      <c r="F3539">
        <v>2.5471000000000001E-2</v>
      </c>
      <c r="G3539">
        <v>92.347999999999999</v>
      </c>
      <c r="H3539">
        <v>0.19891</v>
      </c>
    </row>
    <row r="3540" spans="2:8" x14ac:dyDescent="0.25">
      <c r="B3540">
        <v>0.2099</v>
      </c>
      <c r="C3540">
        <v>50</v>
      </c>
      <c r="D3540">
        <v>145</v>
      </c>
      <c r="E3540">
        <v>39.014000000000003</v>
      </c>
      <c r="F3540">
        <v>2.5631999999999999E-2</v>
      </c>
      <c r="G3540">
        <v>97.921000000000006</v>
      </c>
      <c r="H3540">
        <v>0.2099</v>
      </c>
    </row>
    <row r="3541" spans="2:8" x14ac:dyDescent="0.25">
      <c r="B3541">
        <v>0.22081999999999999</v>
      </c>
      <c r="C3541">
        <v>55</v>
      </c>
      <c r="D3541">
        <v>145</v>
      </c>
      <c r="E3541">
        <v>38.764000000000003</v>
      </c>
      <c r="F3541">
        <v>2.5797E-2</v>
      </c>
      <c r="G3541">
        <v>103.52</v>
      </c>
      <c r="H3541">
        <v>0.22081999999999999</v>
      </c>
    </row>
    <row r="3542" spans="2:8" x14ac:dyDescent="0.25">
      <c r="B3542">
        <v>0.23168</v>
      </c>
      <c r="C3542">
        <v>60</v>
      </c>
      <c r="D3542">
        <v>145</v>
      </c>
      <c r="E3542">
        <v>38.512</v>
      </c>
      <c r="F3542">
        <v>2.5965999999999999E-2</v>
      </c>
      <c r="G3542">
        <v>109.13</v>
      </c>
      <c r="H3542">
        <v>0.23168</v>
      </c>
    </row>
    <row r="3543" spans="2:8" x14ac:dyDescent="0.25">
      <c r="B3543">
        <v>0.24249000000000001</v>
      </c>
      <c r="C3543">
        <v>65</v>
      </c>
      <c r="D3543">
        <v>145</v>
      </c>
      <c r="E3543">
        <v>38.256</v>
      </c>
      <c r="F3543">
        <v>2.6138999999999999E-2</v>
      </c>
      <c r="G3543">
        <v>114.77</v>
      </c>
      <c r="H3543">
        <v>0.24249000000000001</v>
      </c>
    </row>
    <row r="3544" spans="2:8" x14ac:dyDescent="0.25">
      <c r="B3544">
        <v>0.25323000000000001</v>
      </c>
      <c r="C3544">
        <v>70</v>
      </c>
      <c r="D3544">
        <v>145</v>
      </c>
      <c r="E3544">
        <v>37.997</v>
      </c>
      <c r="F3544">
        <v>2.6318000000000001E-2</v>
      </c>
      <c r="G3544">
        <v>120.44</v>
      </c>
      <c r="H3544">
        <v>0.25323000000000001</v>
      </c>
    </row>
    <row r="3545" spans="2:8" x14ac:dyDescent="0.25">
      <c r="B3545">
        <v>0.26393</v>
      </c>
      <c r="C3545">
        <v>75</v>
      </c>
      <c r="D3545">
        <v>145</v>
      </c>
      <c r="E3545">
        <v>37.734999999999999</v>
      </c>
      <c r="F3545">
        <v>2.6501E-2</v>
      </c>
      <c r="G3545">
        <v>126.13</v>
      </c>
      <c r="H3545">
        <v>0.26393</v>
      </c>
    </row>
    <row r="3546" spans="2:8" x14ac:dyDescent="0.25">
      <c r="B3546">
        <v>1.2074</v>
      </c>
      <c r="C3546">
        <v>80</v>
      </c>
      <c r="D3546">
        <v>145</v>
      </c>
      <c r="E3546">
        <v>0.48103000000000001</v>
      </c>
      <c r="F3546">
        <v>2.0789</v>
      </c>
      <c r="G3546">
        <v>632.29</v>
      </c>
      <c r="H3546">
        <v>1.2074</v>
      </c>
    </row>
    <row r="3547" spans="2:8" x14ac:dyDescent="0.25">
      <c r="B3547">
        <v>1.2141999999999999</v>
      </c>
      <c r="C3547">
        <v>85</v>
      </c>
      <c r="D3547">
        <v>145</v>
      </c>
      <c r="E3547">
        <v>0.47403000000000001</v>
      </c>
      <c r="F3547">
        <v>2.1095999999999999</v>
      </c>
      <c r="G3547">
        <v>635.94000000000005</v>
      </c>
      <c r="H3547">
        <v>1.2141999999999999</v>
      </c>
    </row>
    <row r="3548" spans="2:8" x14ac:dyDescent="0.25">
      <c r="B3548">
        <v>1.2206999999999999</v>
      </c>
      <c r="C3548">
        <v>90</v>
      </c>
      <c r="D3548">
        <v>145</v>
      </c>
      <c r="E3548">
        <v>0.46734999999999999</v>
      </c>
      <c r="F3548">
        <v>2.1396999999999999</v>
      </c>
      <c r="G3548">
        <v>639.51</v>
      </c>
      <c r="H3548">
        <v>1.2206999999999999</v>
      </c>
    </row>
    <row r="3549" spans="2:8" x14ac:dyDescent="0.25">
      <c r="B3549">
        <v>1.2271000000000001</v>
      </c>
      <c r="C3549">
        <v>95</v>
      </c>
      <c r="D3549">
        <v>145</v>
      </c>
      <c r="E3549">
        <v>0.46095000000000003</v>
      </c>
      <c r="F3549">
        <v>2.1694</v>
      </c>
      <c r="G3549">
        <v>643.02</v>
      </c>
      <c r="H3549">
        <v>1.2271000000000001</v>
      </c>
    </row>
    <row r="3550" spans="2:8" x14ac:dyDescent="0.25">
      <c r="B3550">
        <v>1.2332000000000001</v>
      </c>
      <c r="C3550">
        <v>100</v>
      </c>
      <c r="D3550">
        <v>145</v>
      </c>
      <c r="E3550">
        <v>0.45483000000000001</v>
      </c>
      <c r="F3550">
        <v>2.1985999999999999</v>
      </c>
      <c r="G3550">
        <v>646.47</v>
      </c>
      <c r="H3550">
        <v>1.2332000000000001</v>
      </c>
    </row>
    <row r="3551" spans="2:8" x14ac:dyDescent="0.25">
      <c r="B3551">
        <v>1.2393000000000001</v>
      </c>
      <c r="C3551">
        <v>105</v>
      </c>
      <c r="D3551">
        <v>145</v>
      </c>
      <c r="E3551">
        <v>0.44895000000000002</v>
      </c>
      <c r="F3551">
        <v>2.2273999999999998</v>
      </c>
      <c r="G3551">
        <v>649.87</v>
      </c>
      <c r="H3551">
        <v>1.2393000000000001</v>
      </c>
    </row>
    <row r="3552" spans="2:8" x14ac:dyDescent="0.25">
      <c r="B3552">
        <v>1.2452000000000001</v>
      </c>
      <c r="C3552">
        <v>110</v>
      </c>
      <c r="D3552">
        <v>145</v>
      </c>
      <c r="E3552">
        <v>0.44329000000000002</v>
      </c>
      <c r="F3552">
        <v>2.2559</v>
      </c>
      <c r="G3552">
        <v>653.22</v>
      </c>
      <c r="H3552">
        <v>1.2452000000000001</v>
      </c>
    </row>
    <row r="3553" spans="2:8" x14ac:dyDescent="0.25">
      <c r="B3553">
        <v>1.2509999999999999</v>
      </c>
      <c r="C3553">
        <v>115</v>
      </c>
      <c r="D3553">
        <v>145</v>
      </c>
      <c r="E3553">
        <v>0.43784000000000001</v>
      </c>
      <c r="F3553">
        <v>2.2839</v>
      </c>
      <c r="G3553">
        <v>656.52</v>
      </c>
      <c r="H3553">
        <v>1.2509999999999999</v>
      </c>
    </row>
    <row r="3554" spans="2:8" x14ac:dyDescent="0.25">
      <c r="B3554">
        <v>1.2565999999999999</v>
      </c>
      <c r="C3554">
        <v>120</v>
      </c>
      <c r="D3554">
        <v>145</v>
      </c>
      <c r="E3554">
        <v>0.43258000000000002</v>
      </c>
      <c r="F3554">
        <v>2.3117000000000001</v>
      </c>
      <c r="G3554">
        <v>659.79</v>
      </c>
      <c r="H3554">
        <v>1.2565999999999999</v>
      </c>
    </row>
    <row r="3555" spans="2:8" x14ac:dyDescent="0.25">
      <c r="B3555">
        <v>1.2622</v>
      </c>
      <c r="C3555">
        <v>125</v>
      </c>
      <c r="D3555">
        <v>145</v>
      </c>
      <c r="E3555">
        <v>0.42749999999999999</v>
      </c>
      <c r="F3555">
        <v>2.3391999999999999</v>
      </c>
      <c r="G3555">
        <v>663.02</v>
      </c>
      <c r="H3555">
        <v>1.2622</v>
      </c>
    </row>
    <row r="3556" spans="2:8" x14ac:dyDescent="0.25">
      <c r="B3556">
        <v>1.2676000000000001</v>
      </c>
      <c r="C3556">
        <v>130</v>
      </c>
      <c r="D3556">
        <v>145</v>
      </c>
      <c r="E3556">
        <v>0.42259000000000002</v>
      </c>
      <c r="F3556">
        <v>2.3664000000000001</v>
      </c>
      <c r="G3556">
        <v>666.22</v>
      </c>
      <c r="H3556">
        <v>1.2676000000000001</v>
      </c>
    </row>
    <row r="3557" spans="2:8" x14ac:dyDescent="0.25">
      <c r="B3557">
        <v>1.2729999999999999</v>
      </c>
      <c r="C3557">
        <v>135</v>
      </c>
      <c r="D3557">
        <v>145</v>
      </c>
      <c r="E3557">
        <v>0.41782999999999998</v>
      </c>
      <c r="F3557">
        <v>2.3933</v>
      </c>
      <c r="G3557">
        <v>669.39</v>
      </c>
      <c r="H3557">
        <v>1.2729999999999999</v>
      </c>
    </row>
    <row r="3558" spans="2:8" x14ac:dyDescent="0.25">
      <c r="B3558">
        <v>1.2782</v>
      </c>
      <c r="C3558">
        <v>140</v>
      </c>
      <c r="D3558">
        <v>145</v>
      </c>
      <c r="E3558">
        <v>0.41321999999999998</v>
      </c>
      <c r="F3558">
        <v>2.42</v>
      </c>
      <c r="G3558">
        <v>672.54</v>
      </c>
      <c r="H3558">
        <v>1.2782</v>
      </c>
    </row>
    <row r="3559" spans="2:8" x14ac:dyDescent="0.25">
      <c r="B3559">
        <v>1.2834000000000001</v>
      </c>
      <c r="C3559">
        <v>145</v>
      </c>
      <c r="D3559">
        <v>145</v>
      </c>
      <c r="E3559">
        <v>0.40873999999999999</v>
      </c>
      <c r="F3559">
        <v>2.4464999999999999</v>
      </c>
      <c r="G3559">
        <v>675.66</v>
      </c>
      <c r="H3559">
        <v>1.2834000000000001</v>
      </c>
    </row>
    <row r="3560" spans="2:8" x14ac:dyDescent="0.25">
      <c r="B3560">
        <v>1.2885</v>
      </c>
      <c r="C3560">
        <v>150</v>
      </c>
      <c r="D3560">
        <v>145</v>
      </c>
      <c r="E3560">
        <v>0.40439999999999998</v>
      </c>
      <c r="F3560">
        <v>2.4727999999999999</v>
      </c>
      <c r="G3560">
        <v>678.75</v>
      </c>
      <c r="H3560">
        <v>1.2885</v>
      </c>
    </row>
    <row r="3561" spans="2:8" x14ac:dyDescent="0.25">
      <c r="B3561">
        <v>1.2936000000000001</v>
      </c>
      <c r="C3561">
        <v>155</v>
      </c>
      <c r="D3561">
        <v>145</v>
      </c>
      <c r="E3561">
        <v>0.40017000000000003</v>
      </c>
      <c r="F3561">
        <v>2.4988999999999999</v>
      </c>
      <c r="G3561">
        <v>681.83</v>
      </c>
      <c r="H3561">
        <v>1.2936000000000001</v>
      </c>
    </row>
    <row r="3562" spans="2:8" x14ac:dyDescent="0.25">
      <c r="B3562">
        <v>1.2985</v>
      </c>
      <c r="C3562">
        <v>160</v>
      </c>
      <c r="D3562">
        <v>145</v>
      </c>
      <c r="E3562">
        <v>0.39606000000000002</v>
      </c>
      <c r="F3562">
        <v>2.5247999999999999</v>
      </c>
      <c r="G3562">
        <v>684.89</v>
      </c>
      <c r="H3562">
        <v>1.2985</v>
      </c>
    </row>
    <row r="3563" spans="2:8" x14ac:dyDescent="0.25">
      <c r="B3563">
        <v>1.3033999999999999</v>
      </c>
      <c r="C3563">
        <v>165</v>
      </c>
      <c r="D3563">
        <v>145</v>
      </c>
      <c r="E3563">
        <v>0.39206000000000002</v>
      </c>
      <c r="F3563">
        <v>2.5506000000000002</v>
      </c>
      <c r="G3563">
        <v>687.94</v>
      </c>
      <c r="H3563">
        <v>1.3033999999999999</v>
      </c>
    </row>
    <row r="3564" spans="2:8" x14ac:dyDescent="0.25">
      <c r="B3564">
        <v>1.3082</v>
      </c>
      <c r="C3564">
        <v>170</v>
      </c>
      <c r="D3564">
        <v>145</v>
      </c>
      <c r="E3564">
        <v>0.38817000000000002</v>
      </c>
      <c r="F3564">
        <v>2.5762</v>
      </c>
      <c r="G3564">
        <v>690.97</v>
      </c>
      <c r="H3564">
        <v>1.3082</v>
      </c>
    </row>
    <row r="3565" spans="2:8" x14ac:dyDescent="0.25">
      <c r="B3565">
        <v>1.3129999999999999</v>
      </c>
      <c r="C3565">
        <v>175</v>
      </c>
      <c r="D3565">
        <v>145</v>
      </c>
      <c r="E3565">
        <v>0.38436999999999999</v>
      </c>
      <c r="F3565">
        <v>2.6017000000000001</v>
      </c>
      <c r="G3565">
        <v>693.98</v>
      </c>
      <c r="H3565">
        <v>1.3129999999999999</v>
      </c>
    </row>
    <row r="3566" spans="2:8" x14ac:dyDescent="0.25">
      <c r="B3566">
        <v>1.3177000000000001</v>
      </c>
      <c r="C3566">
        <v>180</v>
      </c>
      <c r="D3566">
        <v>145</v>
      </c>
      <c r="E3566">
        <v>0.38067000000000001</v>
      </c>
      <c r="F3566">
        <v>2.6269999999999998</v>
      </c>
      <c r="G3566">
        <v>696.99</v>
      </c>
      <c r="H3566">
        <v>1.3177000000000001</v>
      </c>
    </row>
    <row r="3567" spans="2:8" x14ac:dyDescent="0.25">
      <c r="B3567">
        <v>1.3224</v>
      </c>
      <c r="C3567">
        <v>185</v>
      </c>
      <c r="D3567">
        <v>145</v>
      </c>
      <c r="E3567">
        <v>0.37705</v>
      </c>
      <c r="F3567">
        <v>2.6522000000000001</v>
      </c>
      <c r="G3567">
        <v>699.98</v>
      </c>
      <c r="H3567">
        <v>1.3224</v>
      </c>
    </row>
    <row r="3568" spans="2:8" x14ac:dyDescent="0.25">
      <c r="B3568">
        <v>1.327</v>
      </c>
      <c r="C3568">
        <v>190</v>
      </c>
      <c r="D3568">
        <v>145</v>
      </c>
      <c r="E3568">
        <v>0.37352000000000002</v>
      </c>
      <c r="F3568">
        <v>2.6772</v>
      </c>
      <c r="G3568">
        <v>702.96</v>
      </c>
      <c r="H3568">
        <v>1.327</v>
      </c>
    </row>
    <row r="3569" spans="2:8" x14ac:dyDescent="0.25">
      <c r="B3569">
        <v>1.3315999999999999</v>
      </c>
      <c r="C3569">
        <v>195</v>
      </c>
      <c r="D3569">
        <v>145</v>
      </c>
      <c r="E3569">
        <v>0.37007000000000001</v>
      </c>
      <c r="F3569">
        <v>2.7021999999999999</v>
      </c>
      <c r="G3569">
        <v>705.94</v>
      </c>
      <c r="H3569">
        <v>1.3315999999999999</v>
      </c>
    </row>
    <row r="3570" spans="2:8" x14ac:dyDescent="0.25">
      <c r="B3570">
        <v>1.3361000000000001</v>
      </c>
      <c r="C3570">
        <v>200</v>
      </c>
      <c r="D3570">
        <v>145</v>
      </c>
      <c r="E3570">
        <v>0.36670000000000003</v>
      </c>
      <c r="F3570">
        <v>2.7269999999999999</v>
      </c>
      <c r="G3570">
        <v>708.9</v>
      </c>
      <c r="H3570">
        <v>1.3361000000000001</v>
      </c>
    </row>
    <row r="3571" spans="2:8" x14ac:dyDescent="0.25">
      <c r="B3571">
        <v>1.3405</v>
      </c>
      <c r="C3571">
        <v>205</v>
      </c>
      <c r="D3571">
        <v>145</v>
      </c>
      <c r="E3571">
        <v>0.36341000000000001</v>
      </c>
      <c r="F3571">
        <v>2.7517</v>
      </c>
      <c r="G3571">
        <v>711.86</v>
      </c>
      <c r="H3571">
        <v>1.3405</v>
      </c>
    </row>
    <row r="3572" spans="2:8" x14ac:dyDescent="0.25">
      <c r="B3572">
        <v>1.345</v>
      </c>
      <c r="C3572">
        <v>210</v>
      </c>
      <c r="D3572">
        <v>145</v>
      </c>
      <c r="E3572">
        <v>0.36019000000000001</v>
      </c>
      <c r="F3572">
        <v>2.7763</v>
      </c>
      <c r="G3572">
        <v>714.81</v>
      </c>
      <c r="H3572">
        <v>1.345</v>
      </c>
    </row>
    <row r="3573" spans="2:8" x14ac:dyDescent="0.25">
      <c r="B3573">
        <v>1.3492999999999999</v>
      </c>
      <c r="C3573">
        <v>215</v>
      </c>
      <c r="D3573">
        <v>145</v>
      </c>
      <c r="E3573">
        <v>0.35703000000000001</v>
      </c>
      <c r="F3573">
        <v>2.8008999999999999</v>
      </c>
      <c r="G3573">
        <v>717.76</v>
      </c>
      <c r="H3573">
        <v>1.3492999999999999</v>
      </c>
    </row>
    <row r="3574" spans="2:8" x14ac:dyDescent="0.25">
      <c r="B3574">
        <v>1.3536999999999999</v>
      </c>
      <c r="C3574">
        <v>220</v>
      </c>
      <c r="D3574">
        <v>145</v>
      </c>
      <c r="E3574">
        <v>0.35393999999999998</v>
      </c>
      <c r="F3574">
        <v>2.8252999999999999</v>
      </c>
      <c r="G3574">
        <v>720.7</v>
      </c>
      <c r="H3574">
        <v>1.3536999999999999</v>
      </c>
    </row>
    <row r="3575" spans="2:8" x14ac:dyDescent="0.25">
      <c r="B3575">
        <v>1.3580000000000001</v>
      </c>
      <c r="C3575">
        <v>225</v>
      </c>
      <c r="D3575">
        <v>145</v>
      </c>
      <c r="E3575">
        <v>0.35092000000000001</v>
      </c>
      <c r="F3575">
        <v>2.8496999999999999</v>
      </c>
      <c r="G3575">
        <v>723.64</v>
      </c>
      <c r="H3575">
        <v>1.3580000000000001</v>
      </c>
    </row>
    <row r="3576" spans="2:8" x14ac:dyDescent="0.25">
      <c r="B3576">
        <v>1.3623000000000001</v>
      </c>
      <c r="C3576">
        <v>230</v>
      </c>
      <c r="D3576">
        <v>145</v>
      </c>
      <c r="E3576">
        <v>0.34794999999999998</v>
      </c>
      <c r="F3576">
        <v>2.8740000000000001</v>
      </c>
      <c r="G3576">
        <v>726.57</v>
      </c>
      <c r="H3576">
        <v>1.3623000000000001</v>
      </c>
    </row>
    <row r="3577" spans="2:8" x14ac:dyDescent="0.25">
      <c r="B3577">
        <v>1.3665</v>
      </c>
      <c r="C3577">
        <v>235</v>
      </c>
      <c r="D3577">
        <v>145</v>
      </c>
      <c r="E3577">
        <v>0.34505000000000002</v>
      </c>
      <c r="F3577">
        <v>2.8980999999999999</v>
      </c>
      <c r="G3577">
        <v>729.5</v>
      </c>
      <c r="H3577">
        <v>1.3665</v>
      </c>
    </row>
    <row r="3578" spans="2:8" x14ac:dyDescent="0.25">
      <c r="B3578">
        <v>1.3707</v>
      </c>
      <c r="C3578">
        <v>240</v>
      </c>
      <c r="D3578">
        <v>145</v>
      </c>
      <c r="E3578">
        <v>0.3422</v>
      </c>
      <c r="F3578">
        <v>2.9222999999999999</v>
      </c>
      <c r="G3578">
        <v>732.43</v>
      </c>
      <c r="H3578">
        <v>1.3707</v>
      </c>
    </row>
    <row r="3579" spans="2:8" x14ac:dyDescent="0.25">
      <c r="B3579">
        <v>1.3749</v>
      </c>
      <c r="C3579">
        <v>245</v>
      </c>
      <c r="D3579">
        <v>145</v>
      </c>
      <c r="E3579">
        <v>0.33940999999999999</v>
      </c>
      <c r="F3579">
        <v>2.9462999999999999</v>
      </c>
      <c r="G3579">
        <v>735.35</v>
      </c>
      <c r="H3579">
        <v>1.3749</v>
      </c>
    </row>
    <row r="3580" spans="2:8" x14ac:dyDescent="0.25">
      <c r="B3580">
        <v>1.379</v>
      </c>
      <c r="C3580">
        <v>250</v>
      </c>
      <c r="D3580">
        <v>145</v>
      </c>
      <c r="E3580">
        <v>0.33667000000000002</v>
      </c>
      <c r="F3580">
        <v>2.9702999999999999</v>
      </c>
      <c r="G3580">
        <v>738.28</v>
      </c>
      <c r="H3580">
        <v>1.379</v>
      </c>
    </row>
    <row r="3581" spans="2:8" x14ac:dyDescent="0.25">
      <c r="B3581">
        <v>1.3831</v>
      </c>
      <c r="C3581">
        <v>255</v>
      </c>
      <c r="D3581">
        <v>145</v>
      </c>
      <c r="E3581">
        <v>0.33398</v>
      </c>
      <c r="F3581">
        <v>2.9942000000000002</v>
      </c>
      <c r="G3581">
        <v>741.2</v>
      </c>
      <c r="H3581">
        <v>1.3831</v>
      </c>
    </row>
    <row r="3582" spans="2:8" x14ac:dyDescent="0.25">
      <c r="B3582">
        <v>1.3872</v>
      </c>
      <c r="C3582">
        <v>260</v>
      </c>
      <c r="D3582">
        <v>145</v>
      </c>
      <c r="E3582">
        <v>0.33134000000000002</v>
      </c>
      <c r="F3582">
        <v>3.0181</v>
      </c>
      <c r="G3582">
        <v>744.12</v>
      </c>
      <c r="H3582">
        <v>1.3872</v>
      </c>
    </row>
    <row r="3583" spans="2:8" x14ac:dyDescent="0.25">
      <c r="B3583">
        <v>1.3912</v>
      </c>
      <c r="C3583">
        <v>265</v>
      </c>
      <c r="D3583">
        <v>145</v>
      </c>
      <c r="E3583">
        <v>0.32873999999999998</v>
      </c>
      <c r="F3583">
        <v>3.0419</v>
      </c>
      <c r="G3583">
        <v>747.04</v>
      </c>
      <c r="H3583">
        <v>1.3912</v>
      </c>
    </row>
    <row r="3584" spans="2:8" x14ac:dyDescent="0.25">
      <c r="B3584">
        <v>1.3952</v>
      </c>
      <c r="C3584">
        <v>270</v>
      </c>
      <c r="D3584">
        <v>145</v>
      </c>
      <c r="E3584">
        <v>0.32619999999999999</v>
      </c>
      <c r="F3584">
        <v>3.0655999999999999</v>
      </c>
      <c r="G3584">
        <v>749.96</v>
      </c>
      <c r="H3584">
        <v>1.3952</v>
      </c>
    </row>
    <row r="3585" spans="2:8" x14ac:dyDescent="0.25">
      <c r="B3585">
        <v>1.3992</v>
      </c>
      <c r="C3585">
        <v>275</v>
      </c>
      <c r="D3585">
        <v>145</v>
      </c>
      <c r="E3585">
        <v>0.32369999999999999</v>
      </c>
      <c r="F3585">
        <v>3.0893000000000002</v>
      </c>
      <c r="G3585">
        <v>752.88</v>
      </c>
      <c r="H3585">
        <v>1.3992</v>
      </c>
    </row>
    <row r="3586" spans="2:8" x14ac:dyDescent="0.25">
      <c r="B3586">
        <v>1.4032</v>
      </c>
      <c r="C3586">
        <v>280</v>
      </c>
      <c r="D3586">
        <v>145</v>
      </c>
      <c r="E3586">
        <v>0.32124000000000003</v>
      </c>
      <c r="F3586">
        <v>3.1128999999999998</v>
      </c>
      <c r="G3586">
        <v>755.81</v>
      </c>
      <c r="H3586">
        <v>1.4032</v>
      </c>
    </row>
    <row r="3587" spans="2:8" x14ac:dyDescent="0.25">
      <c r="B3587">
        <v>1.4071</v>
      </c>
      <c r="C3587">
        <v>285</v>
      </c>
      <c r="D3587">
        <v>145</v>
      </c>
      <c r="E3587">
        <v>0.31881999999999999</v>
      </c>
      <c r="F3587">
        <v>3.1364999999999998</v>
      </c>
      <c r="G3587">
        <v>758.73</v>
      </c>
      <c r="H3587">
        <v>1.4071</v>
      </c>
    </row>
    <row r="3588" spans="2:8" x14ac:dyDescent="0.25">
      <c r="B3588">
        <v>1.411</v>
      </c>
      <c r="C3588">
        <v>290</v>
      </c>
      <c r="D3588">
        <v>145</v>
      </c>
      <c r="E3588">
        <v>0.31645000000000001</v>
      </c>
      <c r="F3588">
        <v>3.1600999999999999</v>
      </c>
      <c r="G3588">
        <v>761.65</v>
      </c>
      <c r="H3588">
        <v>1.411</v>
      </c>
    </row>
    <row r="3589" spans="2:8" x14ac:dyDescent="0.25">
      <c r="B3589">
        <v>1.4149</v>
      </c>
      <c r="C3589">
        <v>295</v>
      </c>
      <c r="D3589">
        <v>145</v>
      </c>
      <c r="E3589">
        <v>0.31412000000000001</v>
      </c>
      <c r="F3589">
        <v>3.1835</v>
      </c>
      <c r="G3589">
        <v>764.57</v>
      </c>
      <c r="H3589">
        <v>1.4149</v>
      </c>
    </row>
    <row r="3590" spans="2:8" x14ac:dyDescent="0.25">
      <c r="B3590">
        <v>1.4188000000000001</v>
      </c>
      <c r="C3590">
        <v>300</v>
      </c>
      <c r="D3590">
        <v>145</v>
      </c>
      <c r="E3590">
        <v>0.31181999999999999</v>
      </c>
      <c r="F3590">
        <v>3.2069999999999999</v>
      </c>
      <c r="G3590">
        <v>767.5</v>
      </c>
      <c r="H3590">
        <v>1.4188000000000001</v>
      </c>
    </row>
    <row r="3591" spans="2:8" x14ac:dyDescent="0.25">
      <c r="B3591">
        <v>1.4226000000000001</v>
      </c>
      <c r="C3591">
        <v>305</v>
      </c>
      <c r="D3591">
        <v>145</v>
      </c>
      <c r="E3591">
        <v>0.30956</v>
      </c>
      <c r="F3591">
        <v>3.2303999999999999</v>
      </c>
      <c r="G3591">
        <v>770.43</v>
      </c>
      <c r="H3591">
        <v>1.4226000000000001</v>
      </c>
    </row>
    <row r="3592" spans="2:8" x14ac:dyDescent="0.25">
      <c r="B3592">
        <v>1.4263999999999999</v>
      </c>
      <c r="C3592">
        <v>310</v>
      </c>
      <c r="D3592">
        <v>145</v>
      </c>
      <c r="E3592">
        <v>0.30734</v>
      </c>
      <c r="F3592">
        <v>3.2536999999999998</v>
      </c>
      <c r="G3592">
        <v>773.36</v>
      </c>
      <c r="H3592">
        <v>1.4263999999999999</v>
      </c>
    </row>
    <row r="3593" spans="2:8" x14ac:dyDescent="0.25">
      <c r="B3593">
        <v>1.4301999999999999</v>
      </c>
      <c r="C3593">
        <v>315</v>
      </c>
      <c r="D3593">
        <v>145</v>
      </c>
      <c r="E3593">
        <v>0.30514999999999998</v>
      </c>
      <c r="F3593">
        <v>3.2770999999999999</v>
      </c>
      <c r="G3593">
        <v>776.29</v>
      </c>
      <c r="H3593">
        <v>1.4301999999999999</v>
      </c>
    </row>
    <row r="3594" spans="2:8" x14ac:dyDescent="0.25">
      <c r="B3594">
        <v>1.4339999999999999</v>
      </c>
      <c r="C3594">
        <v>320</v>
      </c>
      <c r="D3594">
        <v>145</v>
      </c>
      <c r="E3594">
        <v>0.30299999999999999</v>
      </c>
      <c r="F3594">
        <v>3.3003</v>
      </c>
      <c r="G3594">
        <v>779.23</v>
      </c>
      <c r="H3594">
        <v>1.4339999999999999</v>
      </c>
    </row>
    <row r="3595" spans="2:8" x14ac:dyDescent="0.25">
      <c r="B3595">
        <v>1.4378</v>
      </c>
      <c r="C3595">
        <v>325</v>
      </c>
      <c r="D3595">
        <v>145</v>
      </c>
      <c r="E3595">
        <v>0.30087999999999998</v>
      </c>
      <c r="F3595">
        <v>3.3235999999999999</v>
      </c>
      <c r="G3595">
        <v>782.16</v>
      </c>
      <c r="H3595">
        <v>1.4378</v>
      </c>
    </row>
    <row r="3596" spans="2:8" x14ac:dyDescent="0.25">
      <c r="B3596">
        <v>1.4415</v>
      </c>
      <c r="C3596">
        <v>330</v>
      </c>
      <c r="D3596">
        <v>145</v>
      </c>
      <c r="E3596">
        <v>0.29879</v>
      </c>
      <c r="F3596">
        <v>3.3468</v>
      </c>
      <c r="G3596">
        <v>785.1</v>
      </c>
      <c r="H3596">
        <v>1.4415</v>
      </c>
    </row>
    <row r="3597" spans="2:8" x14ac:dyDescent="0.25">
      <c r="B3597">
        <v>1.4452</v>
      </c>
      <c r="C3597">
        <v>335</v>
      </c>
      <c r="D3597">
        <v>145</v>
      </c>
      <c r="E3597">
        <v>0.29674</v>
      </c>
      <c r="F3597">
        <v>3.37</v>
      </c>
      <c r="G3597">
        <v>788.05</v>
      </c>
      <c r="H3597">
        <v>1.4452</v>
      </c>
    </row>
    <row r="3598" spans="2:8" x14ac:dyDescent="0.25">
      <c r="B3598">
        <v>1.4489000000000001</v>
      </c>
      <c r="C3598">
        <v>340</v>
      </c>
      <c r="D3598">
        <v>145</v>
      </c>
      <c r="E3598">
        <v>0.29471999999999998</v>
      </c>
      <c r="F3598">
        <v>3.3931</v>
      </c>
      <c r="G3598">
        <v>790.99</v>
      </c>
      <c r="H3598">
        <v>1.4489000000000001</v>
      </c>
    </row>
    <row r="3599" spans="2:8" x14ac:dyDescent="0.25">
      <c r="B3599">
        <v>1.4525999999999999</v>
      </c>
      <c r="C3599">
        <v>345</v>
      </c>
      <c r="D3599">
        <v>145</v>
      </c>
      <c r="E3599">
        <v>0.29271999999999998</v>
      </c>
      <c r="F3599">
        <v>3.4161999999999999</v>
      </c>
      <c r="G3599">
        <v>793.94</v>
      </c>
      <c r="H3599">
        <v>1.4525999999999999</v>
      </c>
    </row>
    <row r="3600" spans="2:8" x14ac:dyDescent="0.25">
      <c r="B3600">
        <v>1.4562999999999999</v>
      </c>
      <c r="C3600">
        <v>350</v>
      </c>
      <c r="D3600">
        <v>145</v>
      </c>
      <c r="E3600">
        <v>0.29076000000000002</v>
      </c>
      <c r="F3600">
        <v>3.4392999999999998</v>
      </c>
      <c r="G3600">
        <v>796.9</v>
      </c>
      <c r="H3600">
        <v>1.4562999999999999</v>
      </c>
    </row>
    <row r="3602" spans="1:8" x14ac:dyDescent="0.25">
      <c r="A3602">
        <v>150</v>
      </c>
      <c r="B3602">
        <v>9.6563999999999997E-2</v>
      </c>
      <c r="C3602">
        <v>0</v>
      </c>
      <c r="D3602">
        <v>150</v>
      </c>
      <c r="E3602">
        <v>41.374000000000002</v>
      </c>
      <c r="F3602">
        <v>2.4170000000000001E-2</v>
      </c>
      <c r="G3602">
        <v>43.045999999999999</v>
      </c>
      <c r="H3602">
        <v>9.6563999999999997E-2</v>
      </c>
    </row>
    <row r="3603" spans="1:8" x14ac:dyDescent="0.25">
      <c r="B3603">
        <v>0.10827000000000001</v>
      </c>
      <c r="C3603">
        <v>5</v>
      </c>
      <c r="D3603">
        <v>150</v>
      </c>
      <c r="E3603">
        <v>41.148000000000003</v>
      </c>
      <c r="F3603">
        <v>2.4303000000000002E-2</v>
      </c>
      <c r="G3603">
        <v>48.457000000000001</v>
      </c>
      <c r="H3603">
        <v>0.10827000000000001</v>
      </c>
    </row>
    <row r="3604" spans="1:8" x14ac:dyDescent="0.25">
      <c r="B3604">
        <v>0.11989</v>
      </c>
      <c r="C3604">
        <v>10</v>
      </c>
      <c r="D3604">
        <v>150</v>
      </c>
      <c r="E3604">
        <v>40.92</v>
      </c>
      <c r="F3604">
        <v>2.4438000000000001E-2</v>
      </c>
      <c r="G3604">
        <v>53.883000000000003</v>
      </c>
      <c r="H3604">
        <v>0.11989</v>
      </c>
    </row>
    <row r="3605" spans="1:8" x14ac:dyDescent="0.25">
      <c r="B3605">
        <v>0.13141</v>
      </c>
      <c r="C3605">
        <v>15</v>
      </c>
      <c r="D3605">
        <v>150</v>
      </c>
      <c r="E3605">
        <v>40.69</v>
      </c>
      <c r="F3605">
        <v>2.4576000000000001E-2</v>
      </c>
      <c r="G3605">
        <v>59.326000000000001</v>
      </c>
      <c r="H3605">
        <v>0.13141</v>
      </c>
    </row>
    <row r="3606" spans="1:8" x14ac:dyDescent="0.25">
      <c r="B3606">
        <v>0.14285999999999999</v>
      </c>
      <c r="C3606">
        <v>20</v>
      </c>
      <c r="D3606">
        <v>150</v>
      </c>
      <c r="E3606">
        <v>40.457999999999998</v>
      </c>
      <c r="F3606">
        <v>2.4716999999999999E-2</v>
      </c>
      <c r="G3606">
        <v>64.786000000000001</v>
      </c>
      <c r="H3606">
        <v>0.14285999999999999</v>
      </c>
    </row>
    <row r="3607" spans="1:8" x14ac:dyDescent="0.25">
      <c r="B3607">
        <v>0.15422</v>
      </c>
      <c r="C3607">
        <v>25</v>
      </c>
      <c r="D3607">
        <v>150</v>
      </c>
      <c r="E3607">
        <v>40.222999999999999</v>
      </c>
      <c r="F3607">
        <v>2.4861000000000001E-2</v>
      </c>
      <c r="G3607">
        <v>70.263999999999996</v>
      </c>
      <c r="H3607">
        <v>0.15422</v>
      </c>
    </row>
    <row r="3608" spans="1:8" x14ac:dyDescent="0.25">
      <c r="B3608">
        <v>0.16550000000000001</v>
      </c>
      <c r="C3608">
        <v>30</v>
      </c>
      <c r="D3608">
        <v>150</v>
      </c>
      <c r="E3608">
        <v>39.987000000000002</v>
      </c>
      <c r="F3608">
        <v>2.5007999999999999E-2</v>
      </c>
      <c r="G3608">
        <v>75.759</v>
      </c>
      <c r="H3608">
        <v>0.16550000000000001</v>
      </c>
    </row>
    <row r="3609" spans="1:8" x14ac:dyDescent="0.25">
      <c r="B3609">
        <v>0.1767</v>
      </c>
      <c r="C3609">
        <v>35</v>
      </c>
      <c r="D3609">
        <v>150</v>
      </c>
      <c r="E3609">
        <v>39.747999999999998</v>
      </c>
      <c r="F3609">
        <v>2.5159000000000001E-2</v>
      </c>
      <c r="G3609">
        <v>81.272000000000006</v>
      </c>
      <c r="H3609">
        <v>0.1767</v>
      </c>
    </row>
    <row r="3610" spans="1:8" x14ac:dyDescent="0.25">
      <c r="B3610">
        <v>0.18783</v>
      </c>
      <c r="C3610">
        <v>40</v>
      </c>
      <c r="D3610">
        <v>150</v>
      </c>
      <c r="E3610">
        <v>39.506</v>
      </c>
      <c r="F3610">
        <v>2.5312000000000001E-2</v>
      </c>
      <c r="G3610">
        <v>86.805000000000007</v>
      </c>
      <c r="H3610">
        <v>0.18783</v>
      </c>
    </row>
    <row r="3611" spans="1:8" x14ac:dyDescent="0.25">
      <c r="B3611">
        <v>0.19888</v>
      </c>
      <c r="C3611">
        <v>45</v>
      </c>
      <c r="D3611">
        <v>150</v>
      </c>
      <c r="E3611">
        <v>39.262</v>
      </c>
      <c r="F3611">
        <v>2.547E-2</v>
      </c>
      <c r="G3611">
        <v>92.356999999999999</v>
      </c>
      <c r="H3611">
        <v>0.19888</v>
      </c>
    </row>
    <row r="3612" spans="1:8" x14ac:dyDescent="0.25">
      <c r="B3612">
        <v>0.20987</v>
      </c>
      <c r="C3612">
        <v>50</v>
      </c>
      <c r="D3612">
        <v>150</v>
      </c>
      <c r="E3612">
        <v>39.015999999999998</v>
      </c>
      <c r="F3612">
        <v>2.5631000000000001E-2</v>
      </c>
      <c r="G3612">
        <v>97.929000000000002</v>
      </c>
      <c r="H3612">
        <v>0.20987</v>
      </c>
    </row>
    <row r="3613" spans="1:8" x14ac:dyDescent="0.25">
      <c r="B3613">
        <v>0.22078999999999999</v>
      </c>
      <c r="C3613">
        <v>55</v>
      </c>
      <c r="D3613">
        <v>150</v>
      </c>
      <c r="E3613">
        <v>38.765999999999998</v>
      </c>
      <c r="F3613">
        <v>2.5795999999999999E-2</v>
      </c>
      <c r="G3613">
        <v>103.52</v>
      </c>
      <c r="H3613">
        <v>0.22078999999999999</v>
      </c>
    </row>
    <row r="3614" spans="1:8" x14ac:dyDescent="0.25">
      <c r="B3614">
        <v>0.23164999999999999</v>
      </c>
      <c r="C3614">
        <v>60</v>
      </c>
      <c r="D3614">
        <v>150</v>
      </c>
      <c r="E3614">
        <v>38.514000000000003</v>
      </c>
      <c r="F3614">
        <v>2.5964999999999998E-2</v>
      </c>
      <c r="G3614">
        <v>109.14</v>
      </c>
      <c r="H3614">
        <v>0.23164999999999999</v>
      </c>
    </row>
    <row r="3615" spans="1:8" x14ac:dyDescent="0.25">
      <c r="B3615">
        <v>0.24245</v>
      </c>
      <c r="C3615">
        <v>65</v>
      </c>
      <c r="D3615">
        <v>150</v>
      </c>
      <c r="E3615">
        <v>38.258000000000003</v>
      </c>
      <c r="F3615">
        <v>2.6138000000000002E-2</v>
      </c>
      <c r="G3615">
        <v>114.78</v>
      </c>
      <c r="H3615">
        <v>0.24245</v>
      </c>
    </row>
    <row r="3616" spans="1:8" x14ac:dyDescent="0.25">
      <c r="B3616">
        <v>0.25319999999999998</v>
      </c>
      <c r="C3616">
        <v>70</v>
      </c>
      <c r="D3616">
        <v>150</v>
      </c>
      <c r="E3616">
        <v>37.999000000000002</v>
      </c>
      <c r="F3616">
        <v>2.6315999999999999E-2</v>
      </c>
      <c r="G3616">
        <v>120.45</v>
      </c>
      <c r="H3616">
        <v>0.25319999999999998</v>
      </c>
    </row>
    <row r="3617" spans="2:8" x14ac:dyDescent="0.25">
      <c r="B3617">
        <v>0.26390000000000002</v>
      </c>
      <c r="C3617">
        <v>75</v>
      </c>
      <c r="D3617">
        <v>150</v>
      </c>
      <c r="E3617">
        <v>37.737000000000002</v>
      </c>
      <c r="F3617">
        <v>2.6499000000000002E-2</v>
      </c>
      <c r="G3617">
        <v>126.14</v>
      </c>
      <c r="H3617">
        <v>0.26390000000000002</v>
      </c>
    </row>
    <row r="3618" spans="2:8" x14ac:dyDescent="0.25">
      <c r="B3618">
        <v>1.2017</v>
      </c>
      <c r="C3618">
        <v>80</v>
      </c>
      <c r="D3618">
        <v>150</v>
      </c>
      <c r="E3618">
        <v>0.50017</v>
      </c>
      <c r="F3618">
        <v>1.9993000000000001</v>
      </c>
      <c r="G3618">
        <v>631.11</v>
      </c>
      <c r="H3618">
        <v>1.2017</v>
      </c>
    </row>
    <row r="3619" spans="2:8" x14ac:dyDescent="0.25">
      <c r="B3619">
        <v>1.2085999999999999</v>
      </c>
      <c r="C3619">
        <v>85</v>
      </c>
      <c r="D3619">
        <v>150</v>
      </c>
      <c r="E3619">
        <v>0.49275000000000002</v>
      </c>
      <c r="F3619">
        <v>2.0293999999999999</v>
      </c>
      <c r="G3619">
        <v>634.82000000000005</v>
      </c>
      <c r="H3619">
        <v>1.2085999999999999</v>
      </c>
    </row>
    <row r="3620" spans="2:8" x14ac:dyDescent="0.25">
      <c r="B3620">
        <v>1.2152000000000001</v>
      </c>
      <c r="C3620">
        <v>90</v>
      </c>
      <c r="D3620">
        <v>150</v>
      </c>
      <c r="E3620">
        <v>0.48566999999999999</v>
      </c>
      <c r="F3620">
        <v>2.0590000000000002</v>
      </c>
      <c r="G3620">
        <v>638.45000000000005</v>
      </c>
      <c r="H3620">
        <v>1.2152000000000001</v>
      </c>
    </row>
    <row r="3621" spans="2:8" x14ac:dyDescent="0.25">
      <c r="B3621">
        <v>1.2217</v>
      </c>
      <c r="C3621">
        <v>95</v>
      </c>
      <c r="D3621">
        <v>150</v>
      </c>
      <c r="E3621">
        <v>0.47891</v>
      </c>
      <c r="F3621">
        <v>2.0880999999999998</v>
      </c>
      <c r="G3621">
        <v>642</v>
      </c>
      <c r="H3621">
        <v>1.2217</v>
      </c>
    </row>
    <row r="3622" spans="2:8" x14ac:dyDescent="0.25">
      <c r="B3622">
        <v>1.2279</v>
      </c>
      <c r="C3622">
        <v>100</v>
      </c>
      <c r="D3622">
        <v>150</v>
      </c>
      <c r="E3622">
        <v>0.47244000000000003</v>
      </c>
      <c r="F3622">
        <v>2.1166999999999998</v>
      </c>
      <c r="G3622">
        <v>645.5</v>
      </c>
      <c r="H3622">
        <v>1.2279</v>
      </c>
    </row>
    <row r="3623" spans="2:8" x14ac:dyDescent="0.25">
      <c r="B3623">
        <v>1.234</v>
      </c>
      <c r="C3623">
        <v>105</v>
      </c>
      <c r="D3623">
        <v>150</v>
      </c>
      <c r="E3623">
        <v>0.46623999999999999</v>
      </c>
      <c r="F3623">
        <v>2.1448</v>
      </c>
      <c r="G3623">
        <v>648.94000000000005</v>
      </c>
      <c r="H3623">
        <v>1.234</v>
      </c>
    </row>
    <row r="3624" spans="2:8" x14ac:dyDescent="0.25">
      <c r="B3624">
        <v>1.24</v>
      </c>
      <c r="C3624">
        <v>110</v>
      </c>
      <c r="D3624">
        <v>150</v>
      </c>
      <c r="E3624">
        <v>0.46028000000000002</v>
      </c>
      <c r="F3624">
        <v>2.1726000000000001</v>
      </c>
      <c r="G3624">
        <v>652.32000000000005</v>
      </c>
      <c r="H3624">
        <v>1.24</v>
      </c>
    </row>
    <row r="3625" spans="2:8" x14ac:dyDescent="0.25">
      <c r="B3625">
        <v>1.2459</v>
      </c>
      <c r="C3625">
        <v>115</v>
      </c>
      <c r="D3625">
        <v>150</v>
      </c>
      <c r="E3625">
        <v>0.45454</v>
      </c>
      <c r="F3625">
        <v>2.2000000000000002</v>
      </c>
      <c r="G3625">
        <v>655.66</v>
      </c>
      <c r="H3625">
        <v>1.2459</v>
      </c>
    </row>
    <row r="3626" spans="2:8" x14ac:dyDescent="0.25">
      <c r="B3626">
        <v>1.2516</v>
      </c>
      <c r="C3626">
        <v>120</v>
      </c>
      <c r="D3626">
        <v>150</v>
      </c>
      <c r="E3626">
        <v>0.44901000000000002</v>
      </c>
      <c r="F3626">
        <v>2.2271000000000001</v>
      </c>
      <c r="G3626">
        <v>658.96</v>
      </c>
      <c r="H3626">
        <v>1.2516</v>
      </c>
    </row>
    <row r="3627" spans="2:8" x14ac:dyDescent="0.25">
      <c r="B3627">
        <v>1.2572000000000001</v>
      </c>
      <c r="C3627">
        <v>125</v>
      </c>
      <c r="D3627">
        <v>150</v>
      </c>
      <c r="E3627">
        <v>0.44367000000000001</v>
      </c>
      <c r="F3627">
        <v>2.2538999999999998</v>
      </c>
      <c r="G3627">
        <v>662.23</v>
      </c>
      <c r="H3627">
        <v>1.2572000000000001</v>
      </c>
    </row>
    <row r="3628" spans="2:8" x14ac:dyDescent="0.25">
      <c r="B3628">
        <v>1.2626999999999999</v>
      </c>
      <c r="C3628">
        <v>130</v>
      </c>
      <c r="D3628">
        <v>150</v>
      </c>
      <c r="E3628">
        <v>0.43851000000000001</v>
      </c>
      <c r="F3628">
        <v>2.2804000000000002</v>
      </c>
      <c r="G3628">
        <v>665.45</v>
      </c>
      <c r="H3628">
        <v>1.2626999999999999</v>
      </c>
    </row>
    <row r="3629" spans="2:8" x14ac:dyDescent="0.25">
      <c r="B3629">
        <v>1.2681</v>
      </c>
      <c r="C3629">
        <v>135</v>
      </c>
      <c r="D3629">
        <v>150</v>
      </c>
      <c r="E3629">
        <v>0.43352000000000002</v>
      </c>
      <c r="F3629">
        <v>2.3067000000000002</v>
      </c>
      <c r="G3629">
        <v>668.65</v>
      </c>
      <c r="H3629">
        <v>1.2681</v>
      </c>
    </row>
    <row r="3630" spans="2:8" x14ac:dyDescent="0.25">
      <c r="B3630">
        <v>1.2734000000000001</v>
      </c>
      <c r="C3630">
        <v>140</v>
      </c>
      <c r="D3630">
        <v>150</v>
      </c>
      <c r="E3630">
        <v>0.42868000000000001</v>
      </c>
      <c r="F3630">
        <v>2.3327</v>
      </c>
      <c r="G3630">
        <v>671.82</v>
      </c>
      <c r="H3630">
        <v>1.2734000000000001</v>
      </c>
    </row>
    <row r="3631" spans="2:8" x14ac:dyDescent="0.25">
      <c r="B3631">
        <v>1.2786</v>
      </c>
      <c r="C3631">
        <v>145</v>
      </c>
      <c r="D3631">
        <v>150</v>
      </c>
      <c r="E3631">
        <v>0.42398999999999998</v>
      </c>
      <c r="F3631">
        <v>2.3584999999999998</v>
      </c>
      <c r="G3631">
        <v>674.96</v>
      </c>
      <c r="H3631">
        <v>1.2786</v>
      </c>
    </row>
    <row r="3632" spans="2:8" x14ac:dyDescent="0.25">
      <c r="B3632">
        <v>1.2837000000000001</v>
      </c>
      <c r="C3632">
        <v>150</v>
      </c>
      <c r="D3632">
        <v>150</v>
      </c>
      <c r="E3632">
        <v>0.41943999999999998</v>
      </c>
      <c r="F3632">
        <v>2.3841000000000001</v>
      </c>
      <c r="G3632">
        <v>678.09</v>
      </c>
      <c r="H3632">
        <v>1.2837000000000001</v>
      </c>
    </row>
    <row r="3633" spans="2:8" x14ac:dyDescent="0.25">
      <c r="B3633">
        <v>1.2887999999999999</v>
      </c>
      <c r="C3633">
        <v>155</v>
      </c>
      <c r="D3633">
        <v>150</v>
      </c>
      <c r="E3633">
        <v>0.41502</v>
      </c>
      <c r="F3633">
        <v>2.4095</v>
      </c>
      <c r="G3633">
        <v>681.19</v>
      </c>
      <c r="H3633">
        <v>1.2887999999999999</v>
      </c>
    </row>
    <row r="3634" spans="2:8" x14ac:dyDescent="0.25">
      <c r="B3634">
        <v>1.2938000000000001</v>
      </c>
      <c r="C3634">
        <v>160</v>
      </c>
      <c r="D3634">
        <v>150</v>
      </c>
      <c r="E3634">
        <v>0.41071999999999997</v>
      </c>
      <c r="F3634">
        <v>2.4348000000000001</v>
      </c>
      <c r="G3634">
        <v>684.27</v>
      </c>
      <c r="H3634">
        <v>1.2938000000000001</v>
      </c>
    </row>
    <row r="3635" spans="2:8" x14ac:dyDescent="0.25">
      <c r="B3635">
        <v>1.2987</v>
      </c>
      <c r="C3635">
        <v>165</v>
      </c>
      <c r="D3635">
        <v>150</v>
      </c>
      <c r="E3635">
        <v>0.40654000000000001</v>
      </c>
      <c r="F3635">
        <v>2.4598</v>
      </c>
      <c r="G3635">
        <v>687.33</v>
      </c>
      <c r="H3635">
        <v>1.2987</v>
      </c>
    </row>
    <row r="3636" spans="2:8" x14ac:dyDescent="0.25">
      <c r="B3636">
        <v>1.3036000000000001</v>
      </c>
      <c r="C3636">
        <v>170</v>
      </c>
      <c r="D3636">
        <v>150</v>
      </c>
      <c r="E3636">
        <v>0.40245999999999998</v>
      </c>
      <c r="F3636">
        <v>2.4847000000000001</v>
      </c>
      <c r="G3636">
        <v>690.38</v>
      </c>
      <c r="H3636">
        <v>1.3036000000000001</v>
      </c>
    </row>
    <row r="3637" spans="2:8" x14ac:dyDescent="0.25">
      <c r="B3637">
        <v>1.3084</v>
      </c>
      <c r="C3637">
        <v>175</v>
      </c>
      <c r="D3637">
        <v>150</v>
      </c>
      <c r="E3637">
        <v>0.39849000000000001</v>
      </c>
      <c r="F3637">
        <v>2.5095000000000001</v>
      </c>
      <c r="G3637">
        <v>693.41</v>
      </c>
      <c r="H3637">
        <v>1.3084</v>
      </c>
    </row>
    <row r="3638" spans="2:8" x14ac:dyDescent="0.25">
      <c r="B3638">
        <v>1.3130999999999999</v>
      </c>
      <c r="C3638">
        <v>180</v>
      </c>
      <c r="D3638">
        <v>150</v>
      </c>
      <c r="E3638">
        <v>0.39462000000000003</v>
      </c>
      <c r="F3638">
        <v>2.5341</v>
      </c>
      <c r="G3638">
        <v>696.43</v>
      </c>
      <c r="H3638">
        <v>1.3130999999999999</v>
      </c>
    </row>
    <row r="3639" spans="2:8" x14ac:dyDescent="0.25">
      <c r="B3639">
        <v>1.3178000000000001</v>
      </c>
      <c r="C3639">
        <v>185</v>
      </c>
      <c r="D3639">
        <v>150</v>
      </c>
      <c r="E3639">
        <v>0.39084999999999998</v>
      </c>
      <c r="F3639">
        <v>2.5585</v>
      </c>
      <c r="G3639">
        <v>699.44</v>
      </c>
      <c r="H3639">
        <v>1.3178000000000001</v>
      </c>
    </row>
    <row r="3640" spans="2:8" x14ac:dyDescent="0.25">
      <c r="B3640">
        <v>1.3224</v>
      </c>
      <c r="C3640">
        <v>190</v>
      </c>
      <c r="D3640">
        <v>150</v>
      </c>
      <c r="E3640">
        <v>0.38716</v>
      </c>
      <c r="F3640">
        <v>2.5829</v>
      </c>
      <c r="G3640">
        <v>702.43</v>
      </c>
      <c r="H3640">
        <v>1.3224</v>
      </c>
    </row>
    <row r="3641" spans="2:8" x14ac:dyDescent="0.25">
      <c r="B3641">
        <v>1.327</v>
      </c>
      <c r="C3641">
        <v>195</v>
      </c>
      <c r="D3641">
        <v>150</v>
      </c>
      <c r="E3641">
        <v>0.38357000000000002</v>
      </c>
      <c r="F3641">
        <v>2.6071</v>
      </c>
      <c r="G3641">
        <v>705.42</v>
      </c>
      <c r="H3641">
        <v>1.327</v>
      </c>
    </row>
    <row r="3642" spans="2:8" x14ac:dyDescent="0.25">
      <c r="B3642">
        <v>1.3314999999999999</v>
      </c>
      <c r="C3642">
        <v>200</v>
      </c>
      <c r="D3642">
        <v>150</v>
      </c>
      <c r="E3642">
        <v>0.38005</v>
      </c>
      <c r="F3642">
        <v>2.6312000000000002</v>
      </c>
      <c r="G3642">
        <v>708.4</v>
      </c>
      <c r="H3642">
        <v>1.3314999999999999</v>
      </c>
    </row>
    <row r="3643" spans="2:8" x14ac:dyDescent="0.25">
      <c r="B3643">
        <v>1.3360000000000001</v>
      </c>
      <c r="C3643">
        <v>205</v>
      </c>
      <c r="D3643">
        <v>150</v>
      </c>
      <c r="E3643">
        <v>0.37661</v>
      </c>
      <c r="F3643">
        <v>2.6553</v>
      </c>
      <c r="G3643">
        <v>711.37</v>
      </c>
      <c r="H3643">
        <v>1.3360000000000001</v>
      </c>
    </row>
    <row r="3644" spans="2:8" x14ac:dyDescent="0.25">
      <c r="B3644">
        <v>1.3405</v>
      </c>
      <c r="C3644">
        <v>210</v>
      </c>
      <c r="D3644">
        <v>150</v>
      </c>
      <c r="E3644">
        <v>0.37325000000000003</v>
      </c>
      <c r="F3644">
        <v>2.6791999999999998</v>
      </c>
      <c r="G3644">
        <v>714.34</v>
      </c>
      <c r="H3644">
        <v>1.3405</v>
      </c>
    </row>
    <row r="3645" spans="2:8" x14ac:dyDescent="0.25">
      <c r="B3645">
        <v>1.3449</v>
      </c>
      <c r="C3645">
        <v>215</v>
      </c>
      <c r="D3645">
        <v>150</v>
      </c>
      <c r="E3645">
        <v>0.36996000000000001</v>
      </c>
      <c r="F3645">
        <v>2.7029999999999998</v>
      </c>
      <c r="G3645">
        <v>717.29</v>
      </c>
      <c r="H3645">
        <v>1.3449</v>
      </c>
    </row>
    <row r="3646" spans="2:8" x14ac:dyDescent="0.25">
      <c r="B3646">
        <v>1.3492</v>
      </c>
      <c r="C3646">
        <v>220</v>
      </c>
      <c r="D3646">
        <v>150</v>
      </c>
      <c r="E3646">
        <v>0.36674000000000001</v>
      </c>
      <c r="F3646">
        <v>2.7267000000000001</v>
      </c>
      <c r="G3646">
        <v>720.25</v>
      </c>
      <c r="H3646">
        <v>1.3492</v>
      </c>
    </row>
    <row r="3647" spans="2:8" x14ac:dyDescent="0.25">
      <c r="B3647">
        <v>1.3535999999999999</v>
      </c>
      <c r="C3647">
        <v>225</v>
      </c>
      <c r="D3647">
        <v>150</v>
      </c>
      <c r="E3647">
        <v>0.36359000000000002</v>
      </c>
      <c r="F3647">
        <v>2.7504</v>
      </c>
      <c r="G3647">
        <v>723.19</v>
      </c>
      <c r="H3647">
        <v>1.3535999999999999</v>
      </c>
    </row>
    <row r="3648" spans="2:8" x14ac:dyDescent="0.25">
      <c r="B3648">
        <v>1.3577999999999999</v>
      </c>
      <c r="C3648">
        <v>230</v>
      </c>
      <c r="D3648">
        <v>150</v>
      </c>
      <c r="E3648">
        <v>0.36049999999999999</v>
      </c>
      <c r="F3648">
        <v>2.7738999999999998</v>
      </c>
      <c r="G3648">
        <v>726.14</v>
      </c>
      <c r="H3648">
        <v>1.3577999999999999</v>
      </c>
    </row>
    <row r="3649" spans="2:8" x14ac:dyDescent="0.25">
      <c r="B3649">
        <v>1.3621000000000001</v>
      </c>
      <c r="C3649">
        <v>235</v>
      </c>
      <c r="D3649">
        <v>150</v>
      </c>
      <c r="E3649">
        <v>0.35748000000000002</v>
      </c>
      <c r="F3649">
        <v>2.7974000000000001</v>
      </c>
      <c r="G3649">
        <v>729.08</v>
      </c>
      <c r="H3649">
        <v>1.3621000000000001</v>
      </c>
    </row>
    <row r="3650" spans="2:8" x14ac:dyDescent="0.25">
      <c r="B3650">
        <v>1.3663000000000001</v>
      </c>
      <c r="C3650">
        <v>240</v>
      </c>
      <c r="D3650">
        <v>150</v>
      </c>
      <c r="E3650">
        <v>0.35450999999999999</v>
      </c>
      <c r="F3650">
        <v>2.8208000000000002</v>
      </c>
      <c r="G3650">
        <v>732.01</v>
      </c>
      <c r="H3650">
        <v>1.3663000000000001</v>
      </c>
    </row>
    <row r="3651" spans="2:8" x14ac:dyDescent="0.25">
      <c r="B3651">
        <v>1.3705000000000001</v>
      </c>
      <c r="C3651">
        <v>245</v>
      </c>
      <c r="D3651">
        <v>150</v>
      </c>
      <c r="E3651">
        <v>0.35160000000000002</v>
      </c>
      <c r="F3651">
        <v>2.8441000000000001</v>
      </c>
      <c r="G3651">
        <v>734.95</v>
      </c>
      <c r="H3651">
        <v>1.3705000000000001</v>
      </c>
    </row>
    <row r="3652" spans="2:8" x14ac:dyDescent="0.25">
      <c r="B3652">
        <v>1.3746</v>
      </c>
      <c r="C3652">
        <v>250</v>
      </c>
      <c r="D3652">
        <v>150</v>
      </c>
      <c r="E3652">
        <v>0.34875</v>
      </c>
      <c r="F3652">
        <v>2.8673999999999999</v>
      </c>
      <c r="G3652">
        <v>737.88</v>
      </c>
      <c r="H3652">
        <v>1.3746</v>
      </c>
    </row>
    <row r="3653" spans="2:8" x14ac:dyDescent="0.25">
      <c r="B3653">
        <v>1.3787</v>
      </c>
      <c r="C3653">
        <v>255</v>
      </c>
      <c r="D3653">
        <v>150</v>
      </c>
      <c r="E3653">
        <v>0.34594999999999998</v>
      </c>
      <c r="F3653">
        <v>2.8906000000000001</v>
      </c>
      <c r="G3653">
        <v>740.81</v>
      </c>
      <c r="H3653">
        <v>1.3787</v>
      </c>
    </row>
    <row r="3654" spans="2:8" x14ac:dyDescent="0.25">
      <c r="B3654">
        <v>1.3828</v>
      </c>
      <c r="C3654">
        <v>260</v>
      </c>
      <c r="D3654">
        <v>150</v>
      </c>
      <c r="E3654">
        <v>0.34320000000000001</v>
      </c>
      <c r="F3654">
        <v>2.9137</v>
      </c>
      <c r="G3654">
        <v>743.74</v>
      </c>
      <c r="H3654">
        <v>1.3828</v>
      </c>
    </row>
    <row r="3655" spans="2:8" x14ac:dyDescent="0.25">
      <c r="B3655">
        <v>1.3869</v>
      </c>
      <c r="C3655">
        <v>265</v>
      </c>
      <c r="D3655">
        <v>150</v>
      </c>
      <c r="E3655">
        <v>0.34050000000000002</v>
      </c>
      <c r="F3655">
        <v>2.9367999999999999</v>
      </c>
      <c r="G3655">
        <v>746.67</v>
      </c>
      <c r="H3655">
        <v>1.3869</v>
      </c>
    </row>
    <row r="3656" spans="2:8" x14ac:dyDescent="0.25">
      <c r="B3656">
        <v>1.3909</v>
      </c>
      <c r="C3656">
        <v>270</v>
      </c>
      <c r="D3656">
        <v>150</v>
      </c>
      <c r="E3656">
        <v>0.33785999999999999</v>
      </c>
      <c r="F3656">
        <v>2.9598</v>
      </c>
      <c r="G3656">
        <v>749.6</v>
      </c>
      <c r="H3656">
        <v>1.3909</v>
      </c>
    </row>
    <row r="3657" spans="2:8" x14ac:dyDescent="0.25">
      <c r="B3657">
        <v>1.3949</v>
      </c>
      <c r="C3657">
        <v>275</v>
      </c>
      <c r="D3657">
        <v>150</v>
      </c>
      <c r="E3657">
        <v>0.33526</v>
      </c>
      <c r="F3657">
        <v>2.9828000000000001</v>
      </c>
      <c r="G3657">
        <v>752.53</v>
      </c>
      <c r="H3657">
        <v>1.3949</v>
      </c>
    </row>
    <row r="3658" spans="2:8" x14ac:dyDescent="0.25">
      <c r="B3658">
        <v>1.3989</v>
      </c>
      <c r="C3658">
        <v>280</v>
      </c>
      <c r="D3658">
        <v>150</v>
      </c>
      <c r="E3658">
        <v>0.3327</v>
      </c>
      <c r="F3658">
        <v>3.0057</v>
      </c>
      <c r="G3658">
        <v>755.45</v>
      </c>
      <c r="H3658">
        <v>1.3989</v>
      </c>
    </row>
    <row r="3659" spans="2:8" x14ac:dyDescent="0.25">
      <c r="B3659">
        <v>1.4028</v>
      </c>
      <c r="C3659">
        <v>285</v>
      </c>
      <c r="D3659">
        <v>150</v>
      </c>
      <c r="E3659">
        <v>0.33018999999999998</v>
      </c>
      <c r="F3659">
        <v>3.0286</v>
      </c>
      <c r="G3659">
        <v>758.38</v>
      </c>
      <c r="H3659">
        <v>1.4028</v>
      </c>
    </row>
    <row r="3660" spans="2:8" x14ac:dyDescent="0.25">
      <c r="B3660">
        <v>1.4067000000000001</v>
      </c>
      <c r="C3660">
        <v>290</v>
      </c>
      <c r="D3660">
        <v>150</v>
      </c>
      <c r="E3660">
        <v>0.32772000000000001</v>
      </c>
      <c r="F3660">
        <v>3.0514000000000001</v>
      </c>
      <c r="G3660">
        <v>761.31</v>
      </c>
      <c r="H3660">
        <v>1.4067000000000001</v>
      </c>
    </row>
    <row r="3661" spans="2:8" x14ac:dyDescent="0.25">
      <c r="B3661">
        <v>1.4106000000000001</v>
      </c>
      <c r="C3661">
        <v>295</v>
      </c>
      <c r="D3661">
        <v>150</v>
      </c>
      <c r="E3661">
        <v>0.32529000000000002</v>
      </c>
      <c r="F3661">
        <v>3.0741999999999998</v>
      </c>
      <c r="G3661">
        <v>764.24</v>
      </c>
      <c r="H3661">
        <v>1.4106000000000001</v>
      </c>
    </row>
    <row r="3662" spans="2:8" x14ac:dyDescent="0.25">
      <c r="B3662">
        <v>1.4145000000000001</v>
      </c>
      <c r="C3662">
        <v>300</v>
      </c>
      <c r="D3662">
        <v>150</v>
      </c>
      <c r="E3662">
        <v>0.32290999999999997</v>
      </c>
      <c r="F3662">
        <v>3.0969000000000002</v>
      </c>
      <c r="G3662">
        <v>767.18</v>
      </c>
      <c r="H3662">
        <v>1.4145000000000001</v>
      </c>
    </row>
    <row r="3663" spans="2:8" x14ac:dyDescent="0.25">
      <c r="B3663">
        <v>1.4184000000000001</v>
      </c>
      <c r="C3663">
        <v>305</v>
      </c>
      <c r="D3663">
        <v>150</v>
      </c>
      <c r="E3663">
        <v>0.32056000000000001</v>
      </c>
      <c r="F3663">
        <v>3.1196000000000002</v>
      </c>
      <c r="G3663">
        <v>770.11</v>
      </c>
      <c r="H3663">
        <v>1.4184000000000001</v>
      </c>
    </row>
    <row r="3664" spans="2:8" x14ac:dyDescent="0.25">
      <c r="B3664">
        <v>1.4221999999999999</v>
      </c>
      <c r="C3664">
        <v>310</v>
      </c>
      <c r="D3664">
        <v>150</v>
      </c>
      <c r="E3664">
        <v>0.31824999999999998</v>
      </c>
      <c r="F3664">
        <v>3.1421999999999999</v>
      </c>
      <c r="G3664">
        <v>773.04</v>
      </c>
      <c r="H3664">
        <v>1.4221999999999999</v>
      </c>
    </row>
    <row r="3665" spans="1:8" x14ac:dyDescent="0.25">
      <c r="B3665">
        <v>1.4259999999999999</v>
      </c>
      <c r="C3665">
        <v>315</v>
      </c>
      <c r="D3665">
        <v>150</v>
      </c>
      <c r="E3665">
        <v>0.31597999999999998</v>
      </c>
      <c r="F3665">
        <v>3.1648000000000001</v>
      </c>
      <c r="G3665">
        <v>775.98</v>
      </c>
      <c r="H3665">
        <v>1.4259999999999999</v>
      </c>
    </row>
    <row r="3666" spans="1:8" x14ac:dyDescent="0.25">
      <c r="B3666">
        <v>1.4298</v>
      </c>
      <c r="C3666">
        <v>320</v>
      </c>
      <c r="D3666">
        <v>150</v>
      </c>
      <c r="E3666">
        <v>0.31374000000000002</v>
      </c>
      <c r="F3666">
        <v>3.1873999999999998</v>
      </c>
      <c r="G3666">
        <v>778.92</v>
      </c>
      <c r="H3666">
        <v>1.4298</v>
      </c>
    </row>
    <row r="3667" spans="1:8" x14ac:dyDescent="0.25">
      <c r="B3667">
        <v>1.4335</v>
      </c>
      <c r="C3667">
        <v>325</v>
      </c>
      <c r="D3667">
        <v>150</v>
      </c>
      <c r="E3667">
        <v>0.31153999999999998</v>
      </c>
      <c r="F3667">
        <v>3.2099000000000002</v>
      </c>
      <c r="G3667">
        <v>781.87</v>
      </c>
      <c r="H3667">
        <v>1.4335</v>
      </c>
    </row>
    <row r="3668" spans="1:8" x14ac:dyDescent="0.25">
      <c r="B3668">
        <v>1.4373</v>
      </c>
      <c r="C3668">
        <v>330</v>
      </c>
      <c r="D3668">
        <v>150</v>
      </c>
      <c r="E3668">
        <v>0.30936999999999998</v>
      </c>
      <c r="F3668">
        <v>3.2324000000000002</v>
      </c>
      <c r="G3668">
        <v>784.81</v>
      </c>
      <c r="H3668">
        <v>1.4373</v>
      </c>
    </row>
    <row r="3669" spans="1:8" x14ac:dyDescent="0.25">
      <c r="B3669">
        <v>1.4410000000000001</v>
      </c>
      <c r="C3669">
        <v>335</v>
      </c>
      <c r="D3669">
        <v>150</v>
      </c>
      <c r="E3669">
        <v>0.30724000000000001</v>
      </c>
      <c r="F3669">
        <v>3.2547999999999999</v>
      </c>
      <c r="G3669">
        <v>787.76</v>
      </c>
      <c r="H3669">
        <v>1.4410000000000001</v>
      </c>
    </row>
    <row r="3670" spans="1:8" x14ac:dyDescent="0.25">
      <c r="B3670">
        <v>1.4447000000000001</v>
      </c>
      <c r="C3670">
        <v>340</v>
      </c>
      <c r="D3670">
        <v>150</v>
      </c>
      <c r="E3670">
        <v>0.30514000000000002</v>
      </c>
      <c r="F3670">
        <v>3.2772000000000001</v>
      </c>
      <c r="G3670">
        <v>790.71</v>
      </c>
      <c r="H3670">
        <v>1.4447000000000001</v>
      </c>
    </row>
    <row r="3671" spans="1:8" x14ac:dyDescent="0.25">
      <c r="B3671">
        <v>1.4483999999999999</v>
      </c>
      <c r="C3671">
        <v>345</v>
      </c>
      <c r="D3671">
        <v>150</v>
      </c>
      <c r="E3671">
        <v>0.30307000000000001</v>
      </c>
      <c r="F3671">
        <v>3.2995999999999999</v>
      </c>
      <c r="G3671">
        <v>793.67</v>
      </c>
      <c r="H3671">
        <v>1.4483999999999999</v>
      </c>
    </row>
    <row r="3672" spans="1:8" x14ac:dyDescent="0.25">
      <c r="B3672">
        <v>1.4520999999999999</v>
      </c>
      <c r="C3672">
        <v>350</v>
      </c>
      <c r="D3672">
        <v>150</v>
      </c>
      <c r="E3672">
        <v>0.30103000000000002</v>
      </c>
      <c r="F3672">
        <v>3.3220000000000001</v>
      </c>
      <c r="G3672">
        <v>796.62</v>
      </c>
      <c r="H3672">
        <v>1.4520999999999999</v>
      </c>
    </row>
    <row r="3674" spans="1:8" x14ac:dyDescent="0.25">
      <c r="A3674">
        <v>155</v>
      </c>
      <c r="B3674">
        <v>9.6540000000000001E-2</v>
      </c>
      <c r="C3674">
        <v>0</v>
      </c>
      <c r="D3674">
        <v>155</v>
      </c>
      <c r="E3674">
        <v>41.375</v>
      </c>
      <c r="F3674">
        <v>2.4169E-2</v>
      </c>
      <c r="G3674">
        <v>43.058</v>
      </c>
      <c r="H3674">
        <v>9.6540000000000001E-2</v>
      </c>
    </row>
    <row r="3675" spans="1:8" x14ac:dyDescent="0.25">
      <c r="B3675">
        <v>0.10825</v>
      </c>
      <c r="C3675">
        <v>5</v>
      </c>
      <c r="D3675">
        <v>155</v>
      </c>
      <c r="E3675">
        <v>41.149000000000001</v>
      </c>
      <c r="F3675">
        <v>2.4302000000000001E-2</v>
      </c>
      <c r="G3675">
        <v>48.466999999999999</v>
      </c>
      <c r="H3675">
        <v>0.10825</v>
      </c>
    </row>
    <row r="3676" spans="1:8" x14ac:dyDescent="0.25">
      <c r="B3676">
        <v>0.11985999999999999</v>
      </c>
      <c r="C3676">
        <v>10</v>
      </c>
      <c r="D3676">
        <v>155</v>
      </c>
      <c r="E3676">
        <v>40.920999999999999</v>
      </c>
      <c r="F3676">
        <v>2.4437E-2</v>
      </c>
      <c r="G3676">
        <v>53.893999999999998</v>
      </c>
      <c r="H3676">
        <v>0.11985999999999999</v>
      </c>
    </row>
    <row r="3677" spans="1:8" x14ac:dyDescent="0.25">
      <c r="B3677">
        <v>0.13139000000000001</v>
      </c>
      <c r="C3677">
        <v>15</v>
      </c>
      <c r="D3677">
        <v>155</v>
      </c>
      <c r="E3677">
        <v>40.691000000000003</v>
      </c>
      <c r="F3677">
        <v>2.4575E-2</v>
      </c>
      <c r="G3677">
        <v>59.337000000000003</v>
      </c>
      <c r="H3677">
        <v>0.13139000000000001</v>
      </c>
    </row>
    <row r="3678" spans="1:8" x14ac:dyDescent="0.25">
      <c r="B3678">
        <v>0.14283000000000001</v>
      </c>
      <c r="C3678">
        <v>20</v>
      </c>
      <c r="D3678">
        <v>155</v>
      </c>
      <c r="E3678">
        <v>40.459000000000003</v>
      </c>
      <c r="F3678">
        <v>2.4715999999999998E-2</v>
      </c>
      <c r="G3678">
        <v>64.796999999999997</v>
      </c>
      <c r="H3678">
        <v>0.14283000000000001</v>
      </c>
    </row>
    <row r="3679" spans="1:8" x14ac:dyDescent="0.25">
      <c r="B3679">
        <v>0.15418999999999999</v>
      </c>
      <c r="C3679">
        <v>25</v>
      </c>
      <c r="D3679">
        <v>155</v>
      </c>
      <c r="E3679">
        <v>40.225000000000001</v>
      </c>
      <c r="F3679">
        <v>2.486E-2</v>
      </c>
      <c r="G3679">
        <v>70.274000000000001</v>
      </c>
      <c r="H3679">
        <v>0.15418999999999999</v>
      </c>
    </row>
    <row r="3680" spans="1:8" x14ac:dyDescent="0.25">
      <c r="B3680">
        <v>0.16547000000000001</v>
      </c>
      <c r="C3680">
        <v>30</v>
      </c>
      <c r="D3680">
        <v>155</v>
      </c>
      <c r="E3680">
        <v>39.988</v>
      </c>
      <c r="F3680">
        <v>2.5007000000000001E-2</v>
      </c>
      <c r="G3680">
        <v>75.769000000000005</v>
      </c>
      <c r="H3680">
        <v>0.16547000000000001</v>
      </c>
    </row>
    <row r="3681" spans="2:8" x14ac:dyDescent="0.25">
      <c r="B3681">
        <v>0.17666999999999999</v>
      </c>
      <c r="C3681">
        <v>35</v>
      </c>
      <c r="D3681">
        <v>155</v>
      </c>
      <c r="E3681">
        <v>39.749000000000002</v>
      </c>
      <c r="F3681">
        <v>2.5158E-2</v>
      </c>
      <c r="G3681">
        <v>81.281999999999996</v>
      </c>
      <c r="H3681">
        <v>0.17666999999999999</v>
      </c>
    </row>
    <row r="3682" spans="2:8" x14ac:dyDescent="0.25">
      <c r="B3682">
        <v>0.18779999999999999</v>
      </c>
      <c r="C3682">
        <v>40</v>
      </c>
      <c r="D3682">
        <v>155</v>
      </c>
      <c r="E3682">
        <v>39.508000000000003</v>
      </c>
      <c r="F3682">
        <v>2.5311E-2</v>
      </c>
      <c r="G3682">
        <v>86.813999999999993</v>
      </c>
      <c r="H3682">
        <v>0.18779999999999999</v>
      </c>
    </row>
    <row r="3683" spans="2:8" x14ac:dyDescent="0.25">
      <c r="B3683">
        <v>0.19885</v>
      </c>
      <c r="C3683">
        <v>45</v>
      </c>
      <c r="D3683">
        <v>155</v>
      </c>
      <c r="E3683">
        <v>39.264000000000003</v>
      </c>
      <c r="F3683">
        <v>2.5468999999999999E-2</v>
      </c>
      <c r="G3683">
        <v>92.366</v>
      </c>
      <c r="H3683">
        <v>0.19885</v>
      </c>
    </row>
    <row r="3684" spans="2:8" x14ac:dyDescent="0.25">
      <c r="B3684">
        <v>0.20984</v>
      </c>
      <c r="C3684">
        <v>50</v>
      </c>
      <c r="D3684">
        <v>155</v>
      </c>
      <c r="E3684">
        <v>39.017000000000003</v>
      </c>
      <c r="F3684">
        <v>2.563E-2</v>
      </c>
      <c r="G3684">
        <v>97.938000000000002</v>
      </c>
      <c r="H3684">
        <v>0.20984</v>
      </c>
    </row>
    <row r="3685" spans="2:8" x14ac:dyDescent="0.25">
      <c r="B3685">
        <v>0.22076000000000001</v>
      </c>
      <c r="C3685">
        <v>55</v>
      </c>
      <c r="D3685">
        <v>155</v>
      </c>
      <c r="E3685">
        <v>38.768000000000001</v>
      </c>
      <c r="F3685">
        <v>2.5794999999999998E-2</v>
      </c>
      <c r="G3685">
        <v>103.53</v>
      </c>
      <c r="H3685">
        <v>0.22076000000000001</v>
      </c>
    </row>
    <row r="3686" spans="2:8" x14ac:dyDescent="0.25">
      <c r="B3686">
        <v>0.23161999999999999</v>
      </c>
      <c r="C3686">
        <v>60</v>
      </c>
      <c r="D3686">
        <v>155</v>
      </c>
      <c r="E3686">
        <v>38.515999999999998</v>
      </c>
      <c r="F3686">
        <v>2.5964000000000001E-2</v>
      </c>
      <c r="G3686">
        <v>109.15</v>
      </c>
      <c r="H3686">
        <v>0.23161999999999999</v>
      </c>
    </row>
    <row r="3687" spans="2:8" x14ac:dyDescent="0.25">
      <c r="B3687">
        <v>0.24242</v>
      </c>
      <c r="C3687">
        <v>65</v>
      </c>
      <c r="D3687">
        <v>155</v>
      </c>
      <c r="E3687">
        <v>38.26</v>
      </c>
      <c r="F3687">
        <v>2.6137000000000001E-2</v>
      </c>
      <c r="G3687">
        <v>114.79</v>
      </c>
      <c r="H3687">
        <v>0.24242</v>
      </c>
    </row>
    <row r="3688" spans="2:8" x14ac:dyDescent="0.25">
      <c r="B3688">
        <v>0.25317000000000001</v>
      </c>
      <c r="C3688">
        <v>70</v>
      </c>
      <c r="D3688">
        <v>155</v>
      </c>
      <c r="E3688">
        <v>38.000999999999998</v>
      </c>
      <c r="F3688">
        <v>2.6315000000000002E-2</v>
      </c>
      <c r="G3688">
        <v>120.45</v>
      </c>
      <c r="H3688">
        <v>0.25317000000000001</v>
      </c>
    </row>
    <row r="3689" spans="2:8" x14ac:dyDescent="0.25">
      <c r="B3689">
        <v>0.26385999999999998</v>
      </c>
      <c r="C3689">
        <v>75</v>
      </c>
      <c r="D3689">
        <v>155</v>
      </c>
      <c r="E3689">
        <v>37.738999999999997</v>
      </c>
      <c r="F3689">
        <v>2.6498000000000001E-2</v>
      </c>
      <c r="G3689">
        <v>126.14</v>
      </c>
      <c r="H3689">
        <v>0.26385999999999998</v>
      </c>
    </row>
    <row r="3690" spans="2:8" x14ac:dyDescent="0.25">
      <c r="B3690">
        <v>0.27450999999999998</v>
      </c>
      <c r="C3690">
        <v>80</v>
      </c>
      <c r="D3690">
        <v>155</v>
      </c>
      <c r="E3690">
        <v>37.472999999999999</v>
      </c>
      <c r="F3690">
        <v>2.6686000000000001E-2</v>
      </c>
      <c r="G3690">
        <v>131.86000000000001</v>
      </c>
      <c r="H3690">
        <v>0.27450999999999998</v>
      </c>
    </row>
    <row r="3691" spans="2:8" x14ac:dyDescent="0.25">
      <c r="B3691">
        <v>1.2031000000000001</v>
      </c>
      <c r="C3691">
        <v>85</v>
      </c>
      <c r="D3691">
        <v>155</v>
      </c>
      <c r="E3691">
        <v>0.51166999999999996</v>
      </c>
      <c r="F3691">
        <v>1.9543999999999999</v>
      </c>
      <c r="G3691">
        <v>633.67999999999995</v>
      </c>
      <c r="H3691">
        <v>1.2031000000000001</v>
      </c>
    </row>
    <row r="3692" spans="2:8" x14ac:dyDescent="0.25">
      <c r="B3692">
        <v>1.2098</v>
      </c>
      <c r="C3692">
        <v>90</v>
      </c>
      <c r="D3692">
        <v>155</v>
      </c>
      <c r="E3692">
        <v>0.50417999999999996</v>
      </c>
      <c r="F3692">
        <v>1.9834000000000001</v>
      </c>
      <c r="G3692">
        <v>637.36</v>
      </c>
      <c r="H3692">
        <v>1.2098</v>
      </c>
    </row>
    <row r="3693" spans="2:8" x14ac:dyDescent="0.25">
      <c r="B3693">
        <v>1.2163999999999999</v>
      </c>
      <c r="C3693">
        <v>95</v>
      </c>
      <c r="D3693">
        <v>155</v>
      </c>
      <c r="E3693">
        <v>0.49704999999999999</v>
      </c>
      <c r="F3693">
        <v>2.0118999999999998</v>
      </c>
      <c r="G3693">
        <v>640.97</v>
      </c>
      <c r="H3693">
        <v>1.2163999999999999</v>
      </c>
    </row>
    <row r="3694" spans="2:8" x14ac:dyDescent="0.25">
      <c r="B3694">
        <v>1.2226999999999999</v>
      </c>
      <c r="C3694">
        <v>100</v>
      </c>
      <c r="D3694">
        <v>155</v>
      </c>
      <c r="E3694">
        <v>0.49021999999999999</v>
      </c>
      <c r="F3694">
        <v>2.0398999999999998</v>
      </c>
      <c r="G3694">
        <v>644.51</v>
      </c>
      <c r="H3694">
        <v>1.2226999999999999</v>
      </c>
    </row>
    <row r="3695" spans="2:8" x14ac:dyDescent="0.25">
      <c r="B3695">
        <v>1.2289000000000001</v>
      </c>
      <c r="C3695">
        <v>105</v>
      </c>
      <c r="D3695">
        <v>155</v>
      </c>
      <c r="E3695">
        <v>0.48368</v>
      </c>
      <c r="F3695">
        <v>2.0674999999999999</v>
      </c>
      <c r="G3695">
        <v>647.99</v>
      </c>
      <c r="H3695">
        <v>1.2289000000000001</v>
      </c>
    </row>
    <row r="3696" spans="2:8" x14ac:dyDescent="0.25">
      <c r="B3696">
        <v>1.2350000000000001</v>
      </c>
      <c r="C3696">
        <v>110</v>
      </c>
      <c r="D3696">
        <v>155</v>
      </c>
      <c r="E3696">
        <v>0.47741</v>
      </c>
      <c r="F3696">
        <v>2.0945999999999998</v>
      </c>
      <c r="G3696">
        <v>651.41999999999996</v>
      </c>
      <c r="H3696">
        <v>1.2350000000000001</v>
      </c>
    </row>
    <row r="3697" spans="2:8" x14ac:dyDescent="0.25">
      <c r="B3697">
        <v>1.2408999999999999</v>
      </c>
      <c r="C3697">
        <v>115</v>
      </c>
      <c r="D3697">
        <v>155</v>
      </c>
      <c r="E3697">
        <v>0.47138000000000002</v>
      </c>
      <c r="F3697">
        <v>2.1214</v>
      </c>
      <c r="G3697">
        <v>654.79999999999995</v>
      </c>
      <c r="H3697">
        <v>1.2408999999999999</v>
      </c>
    </row>
    <row r="3698" spans="2:8" x14ac:dyDescent="0.25">
      <c r="B3698">
        <v>1.2465999999999999</v>
      </c>
      <c r="C3698">
        <v>120</v>
      </c>
      <c r="D3698">
        <v>155</v>
      </c>
      <c r="E3698">
        <v>0.46555999999999997</v>
      </c>
      <c r="F3698">
        <v>2.1478999999999999</v>
      </c>
      <c r="G3698">
        <v>658.13</v>
      </c>
      <c r="H3698">
        <v>1.2465999999999999</v>
      </c>
    </row>
    <row r="3699" spans="2:8" x14ac:dyDescent="0.25">
      <c r="B3699">
        <v>1.2523</v>
      </c>
      <c r="C3699">
        <v>125</v>
      </c>
      <c r="D3699">
        <v>155</v>
      </c>
      <c r="E3699">
        <v>0.45995999999999998</v>
      </c>
      <c r="F3699">
        <v>2.1741000000000001</v>
      </c>
      <c r="G3699">
        <v>661.42</v>
      </c>
      <c r="H3699">
        <v>1.2523</v>
      </c>
    </row>
    <row r="3700" spans="2:8" x14ac:dyDescent="0.25">
      <c r="B3700">
        <v>1.2579</v>
      </c>
      <c r="C3700">
        <v>130</v>
      </c>
      <c r="D3700">
        <v>155</v>
      </c>
      <c r="E3700">
        <v>0.45455000000000001</v>
      </c>
      <c r="F3700">
        <v>2.2000000000000002</v>
      </c>
      <c r="G3700">
        <v>664.68</v>
      </c>
      <c r="H3700">
        <v>1.2579</v>
      </c>
    </row>
    <row r="3701" spans="2:8" x14ac:dyDescent="0.25">
      <c r="B3701">
        <v>1.2633000000000001</v>
      </c>
      <c r="C3701">
        <v>135</v>
      </c>
      <c r="D3701">
        <v>155</v>
      </c>
      <c r="E3701">
        <v>0.44930999999999999</v>
      </c>
      <c r="F3701">
        <v>2.2256</v>
      </c>
      <c r="G3701">
        <v>667.91</v>
      </c>
      <c r="H3701">
        <v>1.2633000000000001</v>
      </c>
    </row>
    <row r="3702" spans="2:8" x14ac:dyDescent="0.25">
      <c r="B3702">
        <v>1.2685999999999999</v>
      </c>
      <c r="C3702">
        <v>140</v>
      </c>
      <c r="D3702">
        <v>155</v>
      </c>
      <c r="E3702">
        <v>0.44424999999999998</v>
      </c>
      <c r="F3702">
        <v>2.2509999999999999</v>
      </c>
      <c r="G3702">
        <v>671.1</v>
      </c>
      <c r="H3702">
        <v>1.2685999999999999</v>
      </c>
    </row>
    <row r="3703" spans="2:8" x14ac:dyDescent="0.25">
      <c r="B3703">
        <v>1.2739</v>
      </c>
      <c r="C3703">
        <v>145</v>
      </c>
      <c r="D3703">
        <v>155</v>
      </c>
      <c r="E3703">
        <v>0.43934000000000001</v>
      </c>
      <c r="F3703">
        <v>2.2761999999999998</v>
      </c>
      <c r="G3703">
        <v>674.27</v>
      </c>
      <c r="H3703">
        <v>1.2739</v>
      </c>
    </row>
    <row r="3704" spans="2:8" x14ac:dyDescent="0.25">
      <c r="B3704">
        <v>1.2790999999999999</v>
      </c>
      <c r="C3704">
        <v>150</v>
      </c>
      <c r="D3704">
        <v>155</v>
      </c>
      <c r="E3704">
        <v>0.43457000000000001</v>
      </c>
      <c r="F3704">
        <v>2.3010999999999999</v>
      </c>
      <c r="G3704">
        <v>677.41</v>
      </c>
      <c r="H3704">
        <v>1.2790999999999999</v>
      </c>
    </row>
    <row r="3705" spans="2:8" x14ac:dyDescent="0.25">
      <c r="B3705">
        <v>1.2842</v>
      </c>
      <c r="C3705">
        <v>155</v>
      </c>
      <c r="D3705">
        <v>155</v>
      </c>
      <c r="E3705">
        <v>0.42995</v>
      </c>
      <c r="F3705">
        <v>2.3258999999999999</v>
      </c>
      <c r="G3705">
        <v>680.53</v>
      </c>
      <c r="H3705">
        <v>1.2842</v>
      </c>
    </row>
    <row r="3706" spans="2:8" x14ac:dyDescent="0.25">
      <c r="B3706">
        <v>1.2891999999999999</v>
      </c>
      <c r="C3706">
        <v>160</v>
      </c>
      <c r="D3706">
        <v>155</v>
      </c>
      <c r="E3706">
        <v>0.42544999999999999</v>
      </c>
      <c r="F3706">
        <v>2.3504</v>
      </c>
      <c r="G3706">
        <v>683.63</v>
      </c>
      <c r="H3706">
        <v>1.2891999999999999</v>
      </c>
    </row>
    <row r="3707" spans="2:8" x14ac:dyDescent="0.25">
      <c r="B3707">
        <v>1.2942</v>
      </c>
      <c r="C3707">
        <v>165</v>
      </c>
      <c r="D3707">
        <v>155</v>
      </c>
      <c r="E3707">
        <v>0.42108000000000001</v>
      </c>
      <c r="F3707">
        <v>2.3748</v>
      </c>
      <c r="G3707">
        <v>686.72</v>
      </c>
      <c r="H3707">
        <v>1.2942</v>
      </c>
    </row>
    <row r="3708" spans="2:8" x14ac:dyDescent="0.25">
      <c r="B3708">
        <v>1.2989999999999999</v>
      </c>
      <c r="C3708">
        <v>170</v>
      </c>
      <c r="D3708">
        <v>155</v>
      </c>
      <c r="E3708">
        <v>0.41682000000000002</v>
      </c>
      <c r="F3708">
        <v>2.3990999999999998</v>
      </c>
      <c r="G3708">
        <v>689.78</v>
      </c>
      <c r="H3708">
        <v>1.2989999999999999</v>
      </c>
    </row>
    <row r="3709" spans="2:8" x14ac:dyDescent="0.25">
      <c r="B3709">
        <v>1.3039000000000001</v>
      </c>
      <c r="C3709">
        <v>175</v>
      </c>
      <c r="D3709">
        <v>155</v>
      </c>
      <c r="E3709">
        <v>0.41267999999999999</v>
      </c>
      <c r="F3709">
        <v>2.4232</v>
      </c>
      <c r="G3709">
        <v>692.83</v>
      </c>
      <c r="H3709">
        <v>1.3039000000000001</v>
      </c>
    </row>
    <row r="3710" spans="2:8" x14ac:dyDescent="0.25">
      <c r="B3710">
        <v>1.3086</v>
      </c>
      <c r="C3710">
        <v>180</v>
      </c>
      <c r="D3710">
        <v>155</v>
      </c>
      <c r="E3710">
        <v>0.40864</v>
      </c>
      <c r="F3710">
        <v>2.4470999999999998</v>
      </c>
      <c r="G3710">
        <v>695.87</v>
      </c>
      <c r="H3710">
        <v>1.3086</v>
      </c>
    </row>
    <row r="3711" spans="2:8" x14ac:dyDescent="0.25">
      <c r="B3711">
        <v>1.3132999999999999</v>
      </c>
      <c r="C3711">
        <v>185</v>
      </c>
      <c r="D3711">
        <v>155</v>
      </c>
      <c r="E3711">
        <v>0.4047</v>
      </c>
      <c r="F3711">
        <v>2.4708999999999999</v>
      </c>
      <c r="G3711">
        <v>698.89</v>
      </c>
      <c r="H3711">
        <v>1.3132999999999999</v>
      </c>
    </row>
    <row r="3712" spans="2:8" x14ac:dyDescent="0.25">
      <c r="B3712">
        <v>1.3180000000000001</v>
      </c>
      <c r="C3712">
        <v>190</v>
      </c>
      <c r="D3712">
        <v>155</v>
      </c>
      <c r="E3712">
        <v>0.40085999999999999</v>
      </c>
      <c r="F3712">
        <v>2.4946000000000002</v>
      </c>
      <c r="G3712">
        <v>701.9</v>
      </c>
      <c r="H3712">
        <v>1.3180000000000001</v>
      </c>
    </row>
    <row r="3713" spans="2:8" x14ac:dyDescent="0.25">
      <c r="B3713">
        <v>1.3226</v>
      </c>
      <c r="C3713">
        <v>195</v>
      </c>
      <c r="D3713">
        <v>155</v>
      </c>
      <c r="E3713">
        <v>0.39711000000000002</v>
      </c>
      <c r="F3713">
        <v>2.5182000000000002</v>
      </c>
      <c r="G3713">
        <v>704.9</v>
      </c>
      <c r="H3713">
        <v>1.3226</v>
      </c>
    </row>
    <row r="3714" spans="2:8" x14ac:dyDescent="0.25">
      <c r="B3714">
        <v>1.3271999999999999</v>
      </c>
      <c r="C3714">
        <v>200</v>
      </c>
      <c r="D3714">
        <v>155</v>
      </c>
      <c r="E3714">
        <v>0.39344000000000001</v>
      </c>
      <c r="F3714">
        <v>2.5417000000000001</v>
      </c>
      <c r="G3714">
        <v>707.9</v>
      </c>
      <c r="H3714">
        <v>1.3271999999999999</v>
      </c>
    </row>
    <row r="3715" spans="2:8" x14ac:dyDescent="0.25">
      <c r="B3715">
        <v>1.3317000000000001</v>
      </c>
      <c r="C3715">
        <v>205</v>
      </c>
      <c r="D3715">
        <v>155</v>
      </c>
      <c r="E3715">
        <v>0.38985999999999998</v>
      </c>
      <c r="F3715">
        <v>2.5649999999999999</v>
      </c>
      <c r="G3715">
        <v>710.88</v>
      </c>
      <c r="H3715">
        <v>1.3317000000000001</v>
      </c>
    </row>
    <row r="3716" spans="2:8" x14ac:dyDescent="0.25">
      <c r="B3716">
        <v>1.3361000000000001</v>
      </c>
      <c r="C3716">
        <v>210</v>
      </c>
      <c r="D3716">
        <v>155</v>
      </c>
      <c r="E3716">
        <v>0.38635999999999998</v>
      </c>
      <c r="F3716">
        <v>2.5882000000000001</v>
      </c>
      <c r="G3716">
        <v>713.86</v>
      </c>
      <c r="H3716">
        <v>1.3361000000000001</v>
      </c>
    </row>
    <row r="3717" spans="2:8" x14ac:dyDescent="0.25">
      <c r="B3717">
        <v>1.3405</v>
      </c>
      <c r="C3717">
        <v>215</v>
      </c>
      <c r="D3717">
        <v>155</v>
      </c>
      <c r="E3717">
        <v>0.38294</v>
      </c>
      <c r="F3717">
        <v>2.6114000000000002</v>
      </c>
      <c r="G3717">
        <v>716.83</v>
      </c>
      <c r="H3717">
        <v>1.3405</v>
      </c>
    </row>
    <row r="3718" spans="2:8" x14ac:dyDescent="0.25">
      <c r="B3718">
        <v>1.3449</v>
      </c>
      <c r="C3718">
        <v>220</v>
      </c>
      <c r="D3718">
        <v>155</v>
      </c>
      <c r="E3718">
        <v>0.37957999999999997</v>
      </c>
      <c r="F3718">
        <v>2.6345000000000001</v>
      </c>
      <c r="G3718">
        <v>719.79</v>
      </c>
      <c r="H3718">
        <v>1.3449</v>
      </c>
    </row>
    <row r="3719" spans="2:8" x14ac:dyDescent="0.25">
      <c r="B3719">
        <v>1.3492999999999999</v>
      </c>
      <c r="C3719">
        <v>225</v>
      </c>
      <c r="D3719">
        <v>155</v>
      </c>
      <c r="E3719">
        <v>0.37630000000000002</v>
      </c>
      <c r="F3719">
        <v>2.6574</v>
      </c>
      <c r="G3719">
        <v>722.75</v>
      </c>
      <c r="H3719">
        <v>1.3492999999999999</v>
      </c>
    </row>
    <row r="3720" spans="2:8" x14ac:dyDescent="0.25">
      <c r="B3720">
        <v>1.3535999999999999</v>
      </c>
      <c r="C3720">
        <v>230</v>
      </c>
      <c r="D3720">
        <v>155</v>
      </c>
      <c r="E3720">
        <v>0.37308999999999998</v>
      </c>
      <c r="F3720">
        <v>2.6802999999999999</v>
      </c>
      <c r="G3720">
        <v>725.7</v>
      </c>
      <c r="H3720">
        <v>1.3535999999999999</v>
      </c>
    </row>
    <row r="3721" spans="2:8" x14ac:dyDescent="0.25">
      <c r="B3721">
        <v>1.3577999999999999</v>
      </c>
      <c r="C3721">
        <v>235</v>
      </c>
      <c r="D3721">
        <v>155</v>
      </c>
      <c r="E3721">
        <v>0.36993999999999999</v>
      </c>
      <c r="F3721">
        <v>2.7031000000000001</v>
      </c>
      <c r="G3721">
        <v>728.65</v>
      </c>
      <c r="H3721">
        <v>1.3577999999999999</v>
      </c>
    </row>
    <row r="3722" spans="2:8" x14ac:dyDescent="0.25">
      <c r="B3722">
        <v>1.3620000000000001</v>
      </c>
      <c r="C3722">
        <v>240</v>
      </c>
      <c r="D3722">
        <v>155</v>
      </c>
      <c r="E3722">
        <v>0.36686000000000002</v>
      </c>
      <c r="F3722">
        <v>2.7259000000000002</v>
      </c>
      <c r="G3722">
        <v>731.6</v>
      </c>
      <c r="H3722">
        <v>1.3620000000000001</v>
      </c>
    </row>
    <row r="3723" spans="2:8" x14ac:dyDescent="0.25">
      <c r="B3723">
        <v>1.3662000000000001</v>
      </c>
      <c r="C3723">
        <v>245</v>
      </c>
      <c r="D3723">
        <v>155</v>
      </c>
      <c r="E3723">
        <v>0.36382999999999999</v>
      </c>
      <c r="F3723">
        <v>2.7484999999999999</v>
      </c>
      <c r="G3723">
        <v>734.54</v>
      </c>
      <c r="H3723">
        <v>1.3662000000000001</v>
      </c>
    </row>
    <row r="3724" spans="2:8" x14ac:dyDescent="0.25">
      <c r="B3724">
        <v>1.3704000000000001</v>
      </c>
      <c r="C3724">
        <v>250</v>
      </c>
      <c r="D3724">
        <v>155</v>
      </c>
      <c r="E3724">
        <v>0.36086000000000001</v>
      </c>
      <c r="F3724">
        <v>2.7711000000000001</v>
      </c>
      <c r="G3724">
        <v>737.48</v>
      </c>
      <c r="H3724">
        <v>1.3704000000000001</v>
      </c>
    </row>
    <row r="3725" spans="2:8" x14ac:dyDescent="0.25">
      <c r="B3725">
        <v>1.3745000000000001</v>
      </c>
      <c r="C3725">
        <v>255</v>
      </c>
      <c r="D3725">
        <v>155</v>
      </c>
      <c r="E3725">
        <v>0.35794999999999999</v>
      </c>
      <c r="F3725">
        <v>2.7936999999999999</v>
      </c>
      <c r="G3725">
        <v>740.42</v>
      </c>
      <c r="H3725">
        <v>1.3745000000000001</v>
      </c>
    </row>
    <row r="3726" spans="2:8" x14ac:dyDescent="0.25">
      <c r="B3726">
        <v>1.3786</v>
      </c>
      <c r="C3726">
        <v>260</v>
      </c>
      <c r="D3726">
        <v>155</v>
      </c>
      <c r="E3726">
        <v>0.35510000000000003</v>
      </c>
      <c r="F3726">
        <v>2.8161</v>
      </c>
      <c r="G3726">
        <v>743.36</v>
      </c>
      <c r="H3726">
        <v>1.3786</v>
      </c>
    </row>
    <row r="3727" spans="2:8" x14ac:dyDescent="0.25">
      <c r="B3727">
        <v>1.3827</v>
      </c>
      <c r="C3727">
        <v>265</v>
      </c>
      <c r="D3727">
        <v>155</v>
      </c>
      <c r="E3727">
        <v>0.3523</v>
      </c>
      <c r="F3727">
        <v>2.8384999999999998</v>
      </c>
      <c r="G3727">
        <v>746.29</v>
      </c>
      <c r="H3727">
        <v>1.3827</v>
      </c>
    </row>
    <row r="3728" spans="2:8" x14ac:dyDescent="0.25">
      <c r="B3728">
        <v>1.3867</v>
      </c>
      <c r="C3728">
        <v>270</v>
      </c>
      <c r="D3728">
        <v>155</v>
      </c>
      <c r="E3728">
        <v>0.34954000000000002</v>
      </c>
      <c r="F3728">
        <v>2.8609</v>
      </c>
      <c r="G3728">
        <v>749.23</v>
      </c>
      <c r="H3728">
        <v>1.3867</v>
      </c>
    </row>
    <row r="3729" spans="2:8" x14ac:dyDescent="0.25">
      <c r="B3729">
        <v>1.3907</v>
      </c>
      <c r="C3729">
        <v>275</v>
      </c>
      <c r="D3729">
        <v>155</v>
      </c>
      <c r="E3729">
        <v>0.34683999999999998</v>
      </c>
      <c r="F3729">
        <v>2.8832</v>
      </c>
      <c r="G3729">
        <v>752.17</v>
      </c>
      <c r="H3729">
        <v>1.3907</v>
      </c>
    </row>
    <row r="3730" spans="2:8" x14ac:dyDescent="0.25">
      <c r="B3730">
        <v>1.3947000000000001</v>
      </c>
      <c r="C3730">
        <v>280</v>
      </c>
      <c r="D3730">
        <v>155</v>
      </c>
      <c r="E3730">
        <v>0.34419</v>
      </c>
      <c r="F3730">
        <v>2.9054000000000002</v>
      </c>
      <c r="G3730">
        <v>755.1</v>
      </c>
      <c r="H3730">
        <v>1.3947000000000001</v>
      </c>
    </row>
    <row r="3731" spans="2:8" x14ac:dyDescent="0.25">
      <c r="B3731">
        <v>1.3987000000000001</v>
      </c>
      <c r="C3731">
        <v>285</v>
      </c>
      <c r="D3731">
        <v>155</v>
      </c>
      <c r="E3731">
        <v>0.34157999999999999</v>
      </c>
      <c r="F3731">
        <v>2.9276</v>
      </c>
      <c r="G3731">
        <v>758.04</v>
      </c>
      <c r="H3731">
        <v>1.3987000000000001</v>
      </c>
    </row>
    <row r="3732" spans="2:8" x14ac:dyDescent="0.25">
      <c r="B3732">
        <v>1.4026000000000001</v>
      </c>
      <c r="C3732">
        <v>290</v>
      </c>
      <c r="D3732">
        <v>155</v>
      </c>
      <c r="E3732">
        <v>0.33900999999999998</v>
      </c>
      <c r="F3732">
        <v>2.9497</v>
      </c>
      <c r="G3732">
        <v>760.97</v>
      </c>
      <c r="H3732">
        <v>1.4026000000000001</v>
      </c>
    </row>
    <row r="3733" spans="2:8" x14ac:dyDescent="0.25">
      <c r="B3733">
        <v>1.4065000000000001</v>
      </c>
      <c r="C3733">
        <v>295</v>
      </c>
      <c r="D3733">
        <v>155</v>
      </c>
      <c r="E3733">
        <v>0.33649000000000001</v>
      </c>
      <c r="F3733">
        <v>2.9718</v>
      </c>
      <c r="G3733">
        <v>763.91</v>
      </c>
      <c r="H3733">
        <v>1.4065000000000001</v>
      </c>
    </row>
    <row r="3734" spans="2:8" x14ac:dyDescent="0.25">
      <c r="B3734">
        <v>1.4104000000000001</v>
      </c>
      <c r="C3734">
        <v>300</v>
      </c>
      <c r="D3734">
        <v>155</v>
      </c>
      <c r="E3734">
        <v>0.33401999999999998</v>
      </c>
      <c r="F3734">
        <v>2.9939</v>
      </c>
      <c r="G3734">
        <v>766.85</v>
      </c>
      <c r="H3734">
        <v>1.4104000000000001</v>
      </c>
    </row>
    <row r="3735" spans="2:8" x14ac:dyDescent="0.25">
      <c r="B3735">
        <v>1.4141999999999999</v>
      </c>
      <c r="C3735">
        <v>305</v>
      </c>
      <c r="D3735">
        <v>155</v>
      </c>
      <c r="E3735">
        <v>0.33157999999999999</v>
      </c>
      <c r="F3735">
        <v>3.0158999999999998</v>
      </c>
      <c r="G3735">
        <v>769.79</v>
      </c>
      <c r="H3735">
        <v>1.4141999999999999</v>
      </c>
    </row>
    <row r="3736" spans="2:8" x14ac:dyDescent="0.25">
      <c r="B3736">
        <v>1.4180999999999999</v>
      </c>
      <c r="C3736">
        <v>310</v>
      </c>
      <c r="D3736">
        <v>155</v>
      </c>
      <c r="E3736">
        <v>0.32917999999999997</v>
      </c>
      <c r="F3736">
        <v>3.0377999999999998</v>
      </c>
      <c r="G3736">
        <v>772.73</v>
      </c>
      <c r="H3736">
        <v>1.4180999999999999</v>
      </c>
    </row>
    <row r="3737" spans="2:8" x14ac:dyDescent="0.25">
      <c r="B3737">
        <v>1.4218999999999999</v>
      </c>
      <c r="C3737">
        <v>315</v>
      </c>
      <c r="D3737">
        <v>155</v>
      </c>
      <c r="E3737">
        <v>0.32682</v>
      </c>
      <c r="F3737">
        <v>3.0598000000000001</v>
      </c>
      <c r="G3737">
        <v>775.67</v>
      </c>
      <c r="H3737">
        <v>1.4218999999999999</v>
      </c>
    </row>
    <row r="3738" spans="2:8" x14ac:dyDescent="0.25">
      <c r="B3738">
        <v>1.4257</v>
      </c>
      <c r="C3738">
        <v>320</v>
      </c>
      <c r="D3738">
        <v>155</v>
      </c>
      <c r="E3738">
        <v>0.32450000000000001</v>
      </c>
      <c r="F3738">
        <v>3.0815999999999999</v>
      </c>
      <c r="G3738">
        <v>778.62</v>
      </c>
      <c r="H3738">
        <v>1.4257</v>
      </c>
    </row>
    <row r="3739" spans="2:8" x14ac:dyDescent="0.25">
      <c r="B3739">
        <v>1.4294</v>
      </c>
      <c r="C3739">
        <v>325</v>
      </c>
      <c r="D3739">
        <v>155</v>
      </c>
      <c r="E3739">
        <v>0.32222000000000001</v>
      </c>
      <c r="F3739">
        <v>3.1034999999999999</v>
      </c>
      <c r="G3739">
        <v>781.57</v>
      </c>
      <c r="H3739">
        <v>1.4294</v>
      </c>
    </row>
    <row r="3740" spans="2:8" x14ac:dyDescent="0.25">
      <c r="B3740">
        <v>1.4332</v>
      </c>
      <c r="C3740">
        <v>330</v>
      </c>
      <c r="D3740">
        <v>155</v>
      </c>
      <c r="E3740">
        <v>0.31996999999999998</v>
      </c>
      <c r="F3740">
        <v>3.1253000000000002</v>
      </c>
      <c r="G3740">
        <v>784.52</v>
      </c>
      <c r="H3740">
        <v>1.4332</v>
      </c>
    </row>
    <row r="3741" spans="2:8" x14ac:dyDescent="0.25">
      <c r="B3741">
        <v>1.4369000000000001</v>
      </c>
      <c r="C3741">
        <v>335</v>
      </c>
      <c r="D3741">
        <v>155</v>
      </c>
      <c r="E3741">
        <v>0.31775999999999999</v>
      </c>
      <c r="F3741">
        <v>3.1471</v>
      </c>
      <c r="G3741">
        <v>787.47</v>
      </c>
      <c r="H3741">
        <v>1.4369000000000001</v>
      </c>
    </row>
    <row r="3742" spans="2:8" x14ac:dyDescent="0.25">
      <c r="B3742">
        <v>1.4406000000000001</v>
      </c>
      <c r="C3742">
        <v>340</v>
      </c>
      <c r="D3742">
        <v>155</v>
      </c>
      <c r="E3742">
        <v>0.31558000000000003</v>
      </c>
      <c r="F3742">
        <v>3.1688000000000001</v>
      </c>
      <c r="G3742">
        <v>790.43</v>
      </c>
      <c r="H3742">
        <v>1.4406000000000001</v>
      </c>
    </row>
    <row r="3743" spans="2:8" x14ac:dyDescent="0.25">
      <c r="B3743">
        <v>1.4442999999999999</v>
      </c>
      <c r="C3743">
        <v>345</v>
      </c>
      <c r="D3743">
        <v>155</v>
      </c>
      <c r="E3743">
        <v>0.31342999999999999</v>
      </c>
      <c r="F3743">
        <v>3.1905000000000001</v>
      </c>
      <c r="G3743">
        <v>793.39</v>
      </c>
      <c r="H3743">
        <v>1.4442999999999999</v>
      </c>
    </row>
    <row r="3744" spans="2:8" x14ac:dyDescent="0.25">
      <c r="B3744">
        <v>1.448</v>
      </c>
      <c r="C3744">
        <v>350</v>
      </c>
      <c r="D3744">
        <v>155</v>
      </c>
      <c r="E3744">
        <v>0.31130999999999998</v>
      </c>
      <c r="F3744">
        <v>3.2122000000000002</v>
      </c>
      <c r="G3744">
        <v>796.35</v>
      </c>
      <c r="H3744">
        <v>1.448</v>
      </c>
    </row>
    <row r="3746" spans="1:8" x14ac:dyDescent="0.25">
      <c r="A3746">
        <v>160</v>
      </c>
      <c r="B3746">
        <v>9.6516000000000005E-2</v>
      </c>
      <c r="C3746">
        <v>0</v>
      </c>
      <c r="D3746">
        <v>160</v>
      </c>
      <c r="E3746">
        <v>41.375999999999998</v>
      </c>
      <c r="F3746">
        <v>2.4169E-2</v>
      </c>
      <c r="G3746">
        <v>43.069000000000003</v>
      </c>
      <c r="H3746">
        <v>9.6516000000000005E-2</v>
      </c>
    </row>
    <row r="3747" spans="1:8" x14ac:dyDescent="0.25">
      <c r="B3747">
        <v>0.10822</v>
      </c>
      <c r="C3747">
        <v>5</v>
      </c>
      <c r="D3747">
        <v>160</v>
      </c>
      <c r="E3747">
        <v>41.15</v>
      </c>
      <c r="F3747">
        <v>2.4301E-2</v>
      </c>
      <c r="G3747">
        <v>48.478000000000002</v>
      </c>
      <c r="H3747">
        <v>0.10822</v>
      </c>
    </row>
    <row r="3748" spans="1:8" x14ac:dyDescent="0.25">
      <c r="B3748">
        <v>0.11984</v>
      </c>
      <c r="C3748">
        <v>10</v>
      </c>
      <c r="D3748">
        <v>160</v>
      </c>
      <c r="E3748">
        <v>40.921999999999997</v>
      </c>
      <c r="F3748">
        <v>2.4437E-2</v>
      </c>
      <c r="G3748">
        <v>53.905000000000001</v>
      </c>
      <c r="H3748">
        <v>0.11984</v>
      </c>
    </row>
    <row r="3749" spans="1:8" x14ac:dyDescent="0.25">
      <c r="B3749">
        <v>0.13136</v>
      </c>
      <c r="C3749">
        <v>15</v>
      </c>
      <c r="D3749">
        <v>160</v>
      </c>
      <c r="E3749">
        <v>40.692</v>
      </c>
      <c r="F3749">
        <v>2.4575E-2</v>
      </c>
      <c r="G3749">
        <v>59.347000000000001</v>
      </c>
      <c r="H3749">
        <v>0.13136</v>
      </c>
    </row>
    <row r="3750" spans="1:8" x14ac:dyDescent="0.25">
      <c r="B3750">
        <v>0.14280000000000001</v>
      </c>
      <c r="C3750">
        <v>20</v>
      </c>
      <c r="D3750">
        <v>160</v>
      </c>
      <c r="E3750">
        <v>40.46</v>
      </c>
      <c r="F3750">
        <v>2.4715999999999998E-2</v>
      </c>
      <c r="G3750">
        <v>64.807000000000002</v>
      </c>
      <c r="H3750">
        <v>0.14280000000000001</v>
      </c>
    </row>
    <row r="3751" spans="1:8" x14ac:dyDescent="0.25">
      <c r="B3751">
        <v>0.15415999999999999</v>
      </c>
      <c r="C3751">
        <v>25</v>
      </c>
      <c r="D3751">
        <v>160</v>
      </c>
      <c r="E3751">
        <v>40.225999999999999</v>
      </c>
      <c r="F3751">
        <v>2.486E-2</v>
      </c>
      <c r="G3751">
        <v>70.284000000000006</v>
      </c>
      <c r="H3751">
        <v>0.15415999999999999</v>
      </c>
    </row>
    <row r="3752" spans="1:8" x14ac:dyDescent="0.25">
      <c r="B3752">
        <v>0.16544</v>
      </c>
      <c r="C3752">
        <v>30</v>
      </c>
      <c r="D3752">
        <v>160</v>
      </c>
      <c r="E3752">
        <v>39.99</v>
      </c>
      <c r="F3752">
        <v>2.5007000000000001E-2</v>
      </c>
      <c r="G3752">
        <v>75.778000000000006</v>
      </c>
      <c r="H3752">
        <v>0.16544</v>
      </c>
    </row>
    <row r="3753" spans="1:8" x14ac:dyDescent="0.25">
      <c r="B3753">
        <v>0.17663999999999999</v>
      </c>
      <c r="C3753">
        <v>35</v>
      </c>
      <c r="D3753">
        <v>160</v>
      </c>
      <c r="E3753">
        <v>39.750999999999998</v>
      </c>
      <c r="F3753">
        <v>2.5156999999999999E-2</v>
      </c>
      <c r="G3753">
        <v>81.290999999999997</v>
      </c>
      <c r="H3753">
        <v>0.17663999999999999</v>
      </c>
    </row>
    <row r="3754" spans="1:8" x14ac:dyDescent="0.25">
      <c r="B3754">
        <v>0.18776999999999999</v>
      </c>
      <c r="C3754">
        <v>40</v>
      </c>
      <c r="D3754">
        <v>160</v>
      </c>
      <c r="E3754">
        <v>39.509</v>
      </c>
      <c r="F3754">
        <v>2.5309999999999999E-2</v>
      </c>
      <c r="G3754">
        <v>86.822999999999993</v>
      </c>
      <c r="H3754">
        <v>0.18776999999999999</v>
      </c>
    </row>
    <row r="3755" spans="1:8" x14ac:dyDescent="0.25">
      <c r="B3755">
        <v>0.19882</v>
      </c>
      <c r="C3755">
        <v>45</v>
      </c>
      <c r="D3755">
        <v>160</v>
      </c>
      <c r="E3755">
        <v>39.265000000000001</v>
      </c>
      <c r="F3755">
        <v>2.5468000000000001E-2</v>
      </c>
      <c r="G3755">
        <v>92.373999999999995</v>
      </c>
      <c r="H3755">
        <v>0.19882</v>
      </c>
    </row>
    <row r="3756" spans="1:8" x14ac:dyDescent="0.25">
      <c r="B3756">
        <v>0.20981</v>
      </c>
      <c r="C3756">
        <v>50</v>
      </c>
      <c r="D3756">
        <v>160</v>
      </c>
      <c r="E3756">
        <v>39.018999999999998</v>
      </c>
      <c r="F3756">
        <v>2.5628999999999999E-2</v>
      </c>
      <c r="G3756">
        <v>97.945999999999998</v>
      </c>
      <c r="H3756">
        <v>0.20981</v>
      </c>
    </row>
    <row r="3757" spans="1:8" x14ac:dyDescent="0.25">
      <c r="B3757">
        <v>0.22073000000000001</v>
      </c>
      <c r="C3757">
        <v>55</v>
      </c>
      <c r="D3757">
        <v>160</v>
      </c>
      <c r="E3757">
        <v>38.770000000000003</v>
      </c>
      <c r="F3757">
        <v>2.5793E-2</v>
      </c>
      <c r="G3757">
        <v>103.54</v>
      </c>
      <c r="H3757">
        <v>0.22073000000000001</v>
      </c>
    </row>
    <row r="3758" spans="1:8" x14ac:dyDescent="0.25">
      <c r="B3758">
        <v>0.23158999999999999</v>
      </c>
      <c r="C3758">
        <v>60</v>
      </c>
      <c r="D3758">
        <v>160</v>
      </c>
      <c r="E3758">
        <v>38.517000000000003</v>
      </c>
      <c r="F3758">
        <v>2.5961999999999999E-2</v>
      </c>
      <c r="G3758">
        <v>109.16</v>
      </c>
      <c r="H3758">
        <v>0.23158999999999999</v>
      </c>
    </row>
    <row r="3759" spans="1:8" x14ac:dyDescent="0.25">
      <c r="B3759">
        <v>0.24238999999999999</v>
      </c>
      <c r="C3759">
        <v>65</v>
      </c>
      <c r="D3759">
        <v>160</v>
      </c>
      <c r="E3759">
        <v>38.262</v>
      </c>
      <c r="F3759">
        <v>2.6136E-2</v>
      </c>
      <c r="G3759">
        <v>114.79</v>
      </c>
      <c r="H3759">
        <v>0.24238999999999999</v>
      </c>
    </row>
    <row r="3760" spans="1:8" x14ac:dyDescent="0.25">
      <c r="B3760">
        <v>0.25313000000000002</v>
      </c>
      <c r="C3760">
        <v>70</v>
      </c>
      <c r="D3760">
        <v>160</v>
      </c>
      <c r="E3760">
        <v>38.003</v>
      </c>
      <c r="F3760">
        <v>2.6314000000000001E-2</v>
      </c>
      <c r="G3760">
        <v>120.46</v>
      </c>
      <c r="H3760">
        <v>0.25313000000000002</v>
      </c>
    </row>
    <row r="3761" spans="2:8" x14ac:dyDescent="0.25">
      <c r="B3761">
        <v>0.26383000000000001</v>
      </c>
      <c r="C3761">
        <v>75</v>
      </c>
      <c r="D3761">
        <v>160</v>
      </c>
      <c r="E3761">
        <v>37.741</v>
      </c>
      <c r="F3761">
        <v>2.6495999999999999E-2</v>
      </c>
      <c r="G3761">
        <v>126.15</v>
      </c>
      <c r="H3761">
        <v>0.26383000000000001</v>
      </c>
    </row>
    <row r="3762" spans="2:8" x14ac:dyDescent="0.25">
      <c r="B3762">
        <v>0.27446999999999999</v>
      </c>
      <c r="C3762">
        <v>80</v>
      </c>
      <c r="D3762">
        <v>160</v>
      </c>
      <c r="E3762">
        <v>37.475000000000001</v>
      </c>
      <c r="F3762">
        <v>2.6683999999999999E-2</v>
      </c>
      <c r="G3762">
        <v>131.87</v>
      </c>
      <c r="H3762">
        <v>0.27446999999999999</v>
      </c>
    </row>
    <row r="3763" spans="2:8" x14ac:dyDescent="0.25">
      <c r="B3763">
        <v>1.1977</v>
      </c>
      <c r="C3763">
        <v>85</v>
      </c>
      <c r="D3763">
        <v>160</v>
      </c>
      <c r="E3763">
        <v>0.53081</v>
      </c>
      <c r="F3763">
        <v>1.8838999999999999</v>
      </c>
      <c r="G3763">
        <v>632.52</v>
      </c>
      <c r="H3763">
        <v>1.1977</v>
      </c>
    </row>
    <row r="3764" spans="2:8" x14ac:dyDescent="0.25">
      <c r="B3764">
        <v>1.2045999999999999</v>
      </c>
      <c r="C3764">
        <v>90</v>
      </c>
      <c r="D3764">
        <v>160</v>
      </c>
      <c r="E3764">
        <v>0.52290000000000003</v>
      </c>
      <c r="F3764">
        <v>1.9124000000000001</v>
      </c>
      <c r="G3764">
        <v>636.27</v>
      </c>
      <c r="H3764">
        <v>1.2045999999999999</v>
      </c>
    </row>
    <row r="3765" spans="2:8" x14ac:dyDescent="0.25">
      <c r="B3765">
        <v>1.2112000000000001</v>
      </c>
      <c r="C3765">
        <v>95</v>
      </c>
      <c r="D3765">
        <v>160</v>
      </c>
      <c r="E3765">
        <v>0.51536000000000004</v>
      </c>
      <c r="F3765">
        <v>1.9403999999999999</v>
      </c>
      <c r="G3765">
        <v>639.92999999999995</v>
      </c>
      <c r="H3765">
        <v>1.2112000000000001</v>
      </c>
    </row>
    <row r="3766" spans="2:8" x14ac:dyDescent="0.25">
      <c r="B3766">
        <v>1.2176</v>
      </c>
      <c r="C3766">
        <v>100</v>
      </c>
      <c r="D3766">
        <v>160</v>
      </c>
      <c r="E3766">
        <v>0.50817000000000001</v>
      </c>
      <c r="F3766">
        <v>1.9679</v>
      </c>
      <c r="G3766">
        <v>643.52</v>
      </c>
      <c r="H3766">
        <v>1.2176</v>
      </c>
    </row>
    <row r="3767" spans="2:8" x14ac:dyDescent="0.25">
      <c r="B3767">
        <v>1.2239</v>
      </c>
      <c r="C3767">
        <v>105</v>
      </c>
      <c r="D3767">
        <v>160</v>
      </c>
      <c r="E3767">
        <v>0.50127999999999995</v>
      </c>
      <c r="F3767">
        <v>1.9948999999999999</v>
      </c>
      <c r="G3767">
        <v>647.04</v>
      </c>
      <c r="H3767">
        <v>1.2239</v>
      </c>
    </row>
    <row r="3768" spans="2:8" x14ac:dyDescent="0.25">
      <c r="B3768">
        <v>1.23</v>
      </c>
      <c r="C3768">
        <v>110</v>
      </c>
      <c r="D3768">
        <v>160</v>
      </c>
      <c r="E3768">
        <v>0.49468000000000001</v>
      </c>
      <c r="F3768">
        <v>2.0215000000000001</v>
      </c>
      <c r="G3768">
        <v>650.51</v>
      </c>
      <c r="H3768">
        <v>1.23</v>
      </c>
    </row>
    <row r="3769" spans="2:8" x14ac:dyDescent="0.25">
      <c r="B3769">
        <v>1.236</v>
      </c>
      <c r="C3769">
        <v>115</v>
      </c>
      <c r="D3769">
        <v>160</v>
      </c>
      <c r="E3769">
        <v>0.48834</v>
      </c>
      <c r="F3769">
        <v>2.0476999999999999</v>
      </c>
      <c r="G3769">
        <v>653.91999999999996</v>
      </c>
      <c r="H3769">
        <v>1.236</v>
      </c>
    </row>
    <row r="3770" spans="2:8" x14ac:dyDescent="0.25">
      <c r="B3770">
        <v>1.2418</v>
      </c>
      <c r="C3770">
        <v>120</v>
      </c>
      <c r="D3770">
        <v>160</v>
      </c>
      <c r="E3770">
        <v>0.48224</v>
      </c>
      <c r="F3770">
        <v>2.0735999999999999</v>
      </c>
      <c r="G3770">
        <v>657.29</v>
      </c>
      <c r="H3770">
        <v>1.2418</v>
      </c>
    </row>
    <row r="3771" spans="2:8" x14ac:dyDescent="0.25">
      <c r="B3771">
        <v>1.2475000000000001</v>
      </c>
      <c r="C3771">
        <v>125</v>
      </c>
      <c r="D3771">
        <v>160</v>
      </c>
      <c r="E3771">
        <v>0.47636000000000001</v>
      </c>
      <c r="F3771">
        <v>2.0992000000000002</v>
      </c>
      <c r="G3771">
        <v>660.62</v>
      </c>
      <c r="H3771">
        <v>1.2475000000000001</v>
      </c>
    </row>
    <row r="3772" spans="2:8" x14ac:dyDescent="0.25">
      <c r="B3772">
        <v>1.2531000000000001</v>
      </c>
      <c r="C3772">
        <v>130</v>
      </c>
      <c r="D3772">
        <v>160</v>
      </c>
      <c r="E3772">
        <v>0.47069</v>
      </c>
      <c r="F3772">
        <v>2.1244999999999998</v>
      </c>
      <c r="G3772">
        <v>663.9</v>
      </c>
      <c r="H3772">
        <v>1.2531000000000001</v>
      </c>
    </row>
    <row r="3773" spans="2:8" x14ac:dyDescent="0.25">
      <c r="B3773">
        <v>1.2585999999999999</v>
      </c>
      <c r="C3773">
        <v>135</v>
      </c>
      <c r="D3773">
        <v>160</v>
      </c>
      <c r="E3773">
        <v>0.46521000000000001</v>
      </c>
      <c r="F3773">
        <v>2.1496</v>
      </c>
      <c r="G3773">
        <v>667.16</v>
      </c>
      <c r="H3773">
        <v>1.2585999999999999</v>
      </c>
    </row>
    <row r="3774" spans="2:8" x14ac:dyDescent="0.25">
      <c r="B3774">
        <v>1.264</v>
      </c>
      <c r="C3774">
        <v>140</v>
      </c>
      <c r="D3774">
        <v>160</v>
      </c>
      <c r="E3774">
        <v>0.45989999999999998</v>
      </c>
      <c r="F3774">
        <v>2.1743999999999999</v>
      </c>
      <c r="G3774">
        <v>670.38</v>
      </c>
      <c r="H3774">
        <v>1.264</v>
      </c>
    </row>
    <row r="3775" spans="2:8" x14ac:dyDescent="0.25">
      <c r="B3775">
        <v>1.2693000000000001</v>
      </c>
      <c r="C3775">
        <v>145</v>
      </c>
      <c r="D3775">
        <v>160</v>
      </c>
      <c r="E3775">
        <v>0.45477000000000001</v>
      </c>
      <c r="F3775">
        <v>2.1989000000000001</v>
      </c>
      <c r="G3775">
        <v>673.57</v>
      </c>
      <c r="H3775">
        <v>1.2693000000000001</v>
      </c>
    </row>
    <row r="3776" spans="2:8" x14ac:dyDescent="0.25">
      <c r="B3776">
        <v>1.2745</v>
      </c>
      <c r="C3776">
        <v>150</v>
      </c>
      <c r="D3776">
        <v>160</v>
      </c>
      <c r="E3776">
        <v>0.44979000000000002</v>
      </c>
      <c r="F3776">
        <v>2.2233000000000001</v>
      </c>
      <c r="G3776">
        <v>676.74</v>
      </c>
      <c r="H3776">
        <v>1.2745</v>
      </c>
    </row>
    <row r="3777" spans="2:8" x14ac:dyDescent="0.25">
      <c r="B3777">
        <v>1.2797000000000001</v>
      </c>
      <c r="C3777">
        <v>155</v>
      </c>
      <c r="D3777">
        <v>160</v>
      </c>
      <c r="E3777">
        <v>0.44495000000000001</v>
      </c>
      <c r="F3777">
        <v>2.2473999999999998</v>
      </c>
      <c r="G3777">
        <v>679.88</v>
      </c>
      <c r="H3777">
        <v>1.2797000000000001</v>
      </c>
    </row>
    <row r="3778" spans="2:8" x14ac:dyDescent="0.25">
      <c r="B3778">
        <v>1.2847</v>
      </c>
      <c r="C3778">
        <v>160</v>
      </c>
      <c r="D3778">
        <v>160</v>
      </c>
      <c r="E3778">
        <v>0.44025999999999998</v>
      </c>
      <c r="F3778">
        <v>2.2713999999999999</v>
      </c>
      <c r="G3778">
        <v>683</v>
      </c>
      <c r="H3778">
        <v>1.2847</v>
      </c>
    </row>
    <row r="3779" spans="2:8" x14ac:dyDescent="0.25">
      <c r="B3779">
        <v>1.2897000000000001</v>
      </c>
      <c r="C3779">
        <v>165</v>
      </c>
      <c r="D3779">
        <v>160</v>
      </c>
      <c r="E3779">
        <v>0.43569999999999998</v>
      </c>
      <c r="F3779">
        <v>2.2951999999999999</v>
      </c>
      <c r="G3779">
        <v>686.1</v>
      </c>
      <c r="H3779">
        <v>1.2897000000000001</v>
      </c>
    </row>
    <row r="3780" spans="2:8" x14ac:dyDescent="0.25">
      <c r="B3780">
        <v>1.2946</v>
      </c>
      <c r="C3780">
        <v>170</v>
      </c>
      <c r="D3780">
        <v>160</v>
      </c>
      <c r="E3780">
        <v>0.43125999999999998</v>
      </c>
      <c r="F3780">
        <v>2.3188</v>
      </c>
      <c r="G3780">
        <v>689.18</v>
      </c>
      <c r="H3780">
        <v>1.2946</v>
      </c>
    </row>
    <row r="3781" spans="2:8" x14ac:dyDescent="0.25">
      <c r="B3781">
        <v>1.2995000000000001</v>
      </c>
      <c r="C3781">
        <v>175</v>
      </c>
      <c r="D3781">
        <v>160</v>
      </c>
      <c r="E3781">
        <v>0.42692999999999998</v>
      </c>
      <c r="F3781">
        <v>2.3422999999999998</v>
      </c>
      <c r="G3781">
        <v>692.25</v>
      </c>
      <c r="H3781">
        <v>1.2995000000000001</v>
      </c>
    </row>
    <row r="3782" spans="2:8" x14ac:dyDescent="0.25">
      <c r="B3782">
        <v>1.3043</v>
      </c>
      <c r="C3782">
        <v>180</v>
      </c>
      <c r="D3782">
        <v>160</v>
      </c>
      <c r="E3782">
        <v>0.42271999999999998</v>
      </c>
      <c r="F3782">
        <v>2.3656000000000001</v>
      </c>
      <c r="G3782">
        <v>695.3</v>
      </c>
      <c r="H3782">
        <v>1.3043</v>
      </c>
    </row>
    <row r="3783" spans="2:8" x14ac:dyDescent="0.25">
      <c r="B3783">
        <v>1.3089999999999999</v>
      </c>
      <c r="C3783">
        <v>185</v>
      </c>
      <c r="D3783">
        <v>160</v>
      </c>
      <c r="E3783">
        <v>0.41861999999999999</v>
      </c>
      <c r="F3783">
        <v>2.3887999999999998</v>
      </c>
      <c r="G3783">
        <v>698.34</v>
      </c>
      <c r="H3783">
        <v>1.3089999999999999</v>
      </c>
    </row>
    <row r="3784" spans="2:8" x14ac:dyDescent="0.25">
      <c r="B3784">
        <v>1.3137000000000001</v>
      </c>
      <c r="C3784">
        <v>190</v>
      </c>
      <c r="D3784">
        <v>160</v>
      </c>
      <c r="E3784">
        <v>0.41461999999999999</v>
      </c>
      <c r="F3784">
        <v>2.4119000000000002</v>
      </c>
      <c r="G3784">
        <v>701.37</v>
      </c>
      <c r="H3784">
        <v>1.3137000000000001</v>
      </c>
    </row>
    <row r="3785" spans="2:8" x14ac:dyDescent="0.25">
      <c r="B3785">
        <v>1.3183</v>
      </c>
      <c r="C3785">
        <v>195</v>
      </c>
      <c r="D3785">
        <v>160</v>
      </c>
      <c r="E3785">
        <v>0.41071000000000002</v>
      </c>
      <c r="F3785">
        <v>2.4348000000000001</v>
      </c>
      <c r="G3785">
        <v>704.38</v>
      </c>
      <c r="H3785">
        <v>1.3183</v>
      </c>
    </row>
    <row r="3786" spans="2:8" x14ac:dyDescent="0.25">
      <c r="B3786">
        <v>1.3229</v>
      </c>
      <c r="C3786">
        <v>200</v>
      </c>
      <c r="D3786">
        <v>160</v>
      </c>
      <c r="E3786">
        <v>0.40688999999999997</v>
      </c>
      <c r="F3786">
        <v>2.4577</v>
      </c>
      <c r="G3786">
        <v>707.39</v>
      </c>
      <c r="H3786">
        <v>1.3229</v>
      </c>
    </row>
    <row r="3787" spans="2:8" x14ac:dyDescent="0.25">
      <c r="B3787">
        <v>1.3273999999999999</v>
      </c>
      <c r="C3787">
        <v>205</v>
      </c>
      <c r="D3787">
        <v>160</v>
      </c>
      <c r="E3787">
        <v>0.40316000000000002</v>
      </c>
      <c r="F3787">
        <v>2.4803999999999999</v>
      </c>
      <c r="G3787">
        <v>710.39</v>
      </c>
      <c r="H3787">
        <v>1.3273999999999999</v>
      </c>
    </row>
    <row r="3788" spans="2:8" x14ac:dyDescent="0.25">
      <c r="B3788">
        <v>1.3319000000000001</v>
      </c>
      <c r="C3788">
        <v>210</v>
      </c>
      <c r="D3788">
        <v>160</v>
      </c>
      <c r="E3788">
        <v>0.39951999999999999</v>
      </c>
      <c r="F3788">
        <v>2.5030000000000001</v>
      </c>
      <c r="G3788">
        <v>713.37</v>
      </c>
      <c r="H3788">
        <v>1.3319000000000001</v>
      </c>
    </row>
    <row r="3789" spans="2:8" x14ac:dyDescent="0.25">
      <c r="B3789">
        <v>1.3363</v>
      </c>
      <c r="C3789">
        <v>215</v>
      </c>
      <c r="D3789">
        <v>160</v>
      </c>
      <c r="E3789">
        <v>0.39595999999999998</v>
      </c>
      <c r="F3789">
        <v>2.5255000000000001</v>
      </c>
      <c r="G3789">
        <v>716.36</v>
      </c>
      <c r="H3789">
        <v>1.3363</v>
      </c>
    </row>
    <row r="3790" spans="2:8" x14ac:dyDescent="0.25">
      <c r="B3790">
        <v>1.3407</v>
      </c>
      <c r="C3790">
        <v>220</v>
      </c>
      <c r="D3790">
        <v>160</v>
      </c>
      <c r="E3790">
        <v>0.39246999999999999</v>
      </c>
      <c r="F3790">
        <v>2.548</v>
      </c>
      <c r="G3790">
        <v>719.33</v>
      </c>
      <c r="H3790">
        <v>1.3407</v>
      </c>
    </row>
    <row r="3791" spans="2:8" x14ac:dyDescent="0.25">
      <c r="B3791">
        <v>1.3451</v>
      </c>
      <c r="C3791">
        <v>225</v>
      </c>
      <c r="D3791">
        <v>160</v>
      </c>
      <c r="E3791">
        <v>0.38906000000000002</v>
      </c>
      <c r="F3791">
        <v>2.5703</v>
      </c>
      <c r="G3791">
        <v>722.3</v>
      </c>
      <c r="H3791">
        <v>1.3451</v>
      </c>
    </row>
    <row r="3792" spans="2:8" x14ac:dyDescent="0.25">
      <c r="B3792">
        <v>1.3493999999999999</v>
      </c>
      <c r="C3792">
        <v>230</v>
      </c>
      <c r="D3792">
        <v>160</v>
      </c>
      <c r="E3792">
        <v>0.38572000000000001</v>
      </c>
      <c r="F3792">
        <v>2.5926</v>
      </c>
      <c r="G3792">
        <v>725.26</v>
      </c>
      <c r="H3792">
        <v>1.3493999999999999</v>
      </c>
    </row>
    <row r="3793" spans="2:8" x14ac:dyDescent="0.25">
      <c r="B3793">
        <v>1.3536999999999999</v>
      </c>
      <c r="C3793">
        <v>235</v>
      </c>
      <c r="D3793">
        <v>160</v>
      </c>
      <c r="E3793">
        <v>0.38245000000000001</v>
      </c>
      <c r="F3793">
        <v>2.6147999999999998</v>
      </c>
      <c r="G3793">
        <v>728.22</v>
      </c>
      <c r="H3793">
        <v>1.3536999999999999</v>
      </c>
    </row>
    <row r="3794" spans="2:8" x14ac:dyDescent="0.25">
      <c r="B3794">
        <v>1.3579000000000001</v>
      </c>
      <c r="C3794">
        <v>240</v>
      </c>
      <c r="D3794">
        <v>160</v>
      </c>
      <c r="E3794">
        <v>0.37924000000000002</v>
      </c>
      <c r="F3794">
        <v>2.6368999999999998</v>
      </c>
      <c r="G3794">
        <v>731.18</v>
      </c>
      <c r="H3794">
        <v>1.3579000000000001</v>
      </c>
    </row>
    <row r="3795" spans="2:8" x14ac:dyDescent="0.25">
      <c r="B3795">
        <v>1.3621000000000001</v>
      </c>
      <c r="C3795">
        <v>245</v>
      </c>
      <c r="D3795">
        <v>160</v>
      </c>
      <c r="E3795">
        <v>0.37609999999999999</v>
      </c>
      <c r="F3795">
        <v>2.6589</v>
      </c>
      <c r="G3795">
        <v>734.13</v>
      </c>
      <c r="H3795">
        <v>1.3621000000000001</v>
      </c>
    </row>
    <row r="3796" spans="2:8" x14ac:dyDescent="0.25">
      <c r="B3796">
        <v>1.3663000000000001</v>
      </c>
      <c r="C3796">
        <v>250</v>
      </c>
      <c r="D3796">
        <v>160</v>
      </c>
      <c r="E3796">
        <v>0.37301000000000001</v>
      </c>
      <c r="F3796">
        <v>2.6808999999999998</v>
      </c>
      <c r="G3796">
        <v>737.08</v>
      </c>
      <c r="H3796">
        <v>1.3663000000000001</v>
      </c>
    </row>
    <row r="3797" spans="2:8" x14ac:dyDescent="0.25">
      <c r="B3797">
        <v>1.3704000000000001</v>
      </c>
      <c r="C3797">
        <v>255</v>
      </c>
      <c r="D3797">
        <v>160</v>
      </c>
      <c r="E3797">
        <v>0.36998999999999999</v>
      </c>
      <c r="F3797">
        <v>2.7027999999999999</v>
      </c>
      <c r="G3797">
        <v>740.03</v>
      </c>
      <c r="H3797">
        <v>1.3704000000000001</v>
      </c>
    </row>
    <row r="3798" spans="2:8" x14ac:dyDescent="0.25">
      <c r="B3798">
        <v>1.3745000000000001</v>
      </c>
      <c r="C3798">
        <v>260</v>
      </c>
      <c r="D3798">
        <v>160</v>
      </c>
      <c r="E3798">
        <v>0.36703000000000002</v>
      </c>
      <c r="F3798">
        <v>2.7246000000000001</v>
      </c>
      <c r="G3798">
        <v>742.98</v>
      </c>
      <c r="H3798">
        <v>1.3745000000000001</v>
      </c>
    </row>
    <row r="3799" spans="2:8" x14ac:dyDescent="0.25">
      <c r="B3799">
        <v>1.3786</v>
      </c>
      <c r="C3799">
        <v>265</v>
      </c>
      <c r="D3799">
        <v>160</v>
      </c>
      <c r="E3799">
        <v>0.36412</v>
      </c>
      <c r="F3799">
        <v>2.7464</v>
      </c>
      <c r="G3799">
        <v>745.92</v>
      </c>
      <c r="H3799">
        <v>1.3786</v>
      </c>
    </row>
    <row r="3800" spans="2:8" x14ac:dyDescent="0.25">
      <c r="B3800">
        <v>1.3826000000000001</v>
      </c>
      <c r="C3800">
        <v>270</v>
      </c>
      <c r="D3800">
        <v>160</v>
      </c>
      <c r="E3800">
        <v>0.36126000000000003</v>
      </c>
      <c r="F3800">
        <v>2.7681</v>
      </c>
      <c r="G3800">
        <v>748.86</v>
      </c>
      <c r="H3800">
        <v>1.3826000000000001</v>
      </c>
    </row>
    <row r="3801" spans="2:8" x14ac:dyDescent="0.25">
      <c r="B3801">
        <v>1.3867</v>
      </c>
      <c r="C3801">
        <v>275</v>
      </c>
      <c r="D3801">
        <v>160</v>
      </c>
      <c r="E3801">
        <v>0.35846</v>
      </c>
      <c r="F3801">
        <v>2.7896999999999998</v>
      </c>
      <c r="G3801">
        <v>751.81</v>
      </c>
      <c r="H3801">
        <v>1.3867</v>
      </c>
    </row>
    <row r="3802" spans="2:8" x14ac:dyDescent="0.25">
      <c r="B3802">
        <v>1.3907</v>
      </c>
      <c r="C3802">
        <v>280</v>
      </c>
      <c r="D3802">
        <v>160</v>
      </c>
      <c r="E3802">
        <v>0.35570000000000002</v>
      </c>
      <c r="F3802">
        <v>2.8113999999999999</v>
      </c>
      <c r="G3802">
        <v>754.75</v>
      </c>
      <c r="H3802">
        <v>1.3907</v>
      </c>
    </row>
    <row r="3803" spans="2:8" x14ac:dyDescent="0.25">
      <c r="B3803">
        <v>1.3946000000000001</v>
      </c>
      <c r="C3803">
        <v>285</v>
      </c>
      <c r="D3803">
        <v>160</v>
      </c>
      <c r="E3803">
        <v>0.35299000000000003</v>
      </c>
      <c r="F3803">
        <v>2.8329</v>
      </c>
      <c r="G3803">
        <v>757.69</v>
      </c>
      <c r="H3803">
        <v>1.3946000000000001</v>
      </c>
    </row>
    <row r="3804" spans="2:8" x14ac:dyDescent="0.25">
      <c r="B3804">
        <v>1.3986000000000001</v>
      </c>
      <c r="C3804">
        <v>290</v>
      </c>
      <c r="D3804">
        <v>160</v>
      </c>
      <c r="E3804">
        <v>0.35032999999999997</v>
      </c>
      <c r="F3804">
        <v>2.8544</v>
      </c>
      <c r="G3804">
        <v>760.63</v>
      </c>
      <c r="H3804">
        <v>1.3986000000000001</v>
      </c>
    </row>
    <row r="3805" spans="2:8" x14ac:dyDescent="0.25">
      <c r="B3805">
        <v>1.4025000000000001</v>
      </c>
      <c r="C3805">
        <v>295</v>
      </c>
      <c r="D3805">
        <v>160</v>
      </c>
      <c r="E3805">
        <v>0.34771999999999997</v>
      </c>
      <c r="F3805">
        <v>2.8759000000000001</v>
      </c>
      <c r="G3805">
        <v>763.58</v>
      </c>
      <c r="H3805">
        <v>1.4025000000000001</v>
      </c>
    </row>
    <row r="3806" spans="2:8" x14ac:dyDescent="0.25">
      <c r="B3806">
        <v>1.4064000000000001</v>
      </c>
      <c r="C3806">
        <v>300</v>
      </c>
      <c r="D3806">
        <v>160</v>
      </c>
      <c r="E3806">
        <v>0.34515000000000001</v>
      </c>
      <c r="F3806">
        <v>2.8973</v>
      </c>
      <c r="G3806">
        <v>766.52</v>
      </c>
      <c r="H3806">
        <v>1.4064000000000001</v>
      </c>
    </row>
    <row r="3807" spans="2:8" x14ac:dyDescent="0.25">
      <c r="B3807">
        <v>1.4101999999999999</v>
      </c>
      <c r="C3807">
        <v>305</v>
      </c>
      <c r="D3807">
        <v>160</v>
      </c>
      <c r="E3807">
        <v>0.34261999999999998</v>
      </c>
      <c r="F3807">
        <v>2.9186999999999999</v>
      </c>
      <c r="G3807">
        <v>769.47</v>
      </c>
      <c r="H3807">
        <v>1.4101999999999999</v>
      </c>
    </row>
    <row r="3808" spans="2:8" x14ac:dyDescent="0.25">
      <c r="B3808">
        <v>1.4140999999999999</v>
      </c>
      <c r="C3808">
        <v>310</v>
      </c>
      <c r="D3808">
        <v>160</v>
      </c>
      <c r="E3808">
        <v>0.34014</v>
      </c>
      <c r="F3808">
        <v>2.94</v>
      </c>
      <c r="G3808">
        <v>772.42</v>
      </c>
      <c r="H3808">
        <v>1.4140999999999999</v>
      </c>
    </row>
    <row r="3809" spans="1:8" x14ac:dyDescent="0.25">
      <c r="B3809">
        <v>1.4178999999999999</v>
      </c>
      <c r="C3809">
        <v>315</v>
      </c>
      <c r="D3809">
        <v>160</v>
      </c>
      <c r="E3809">
        <v>0.33768999999999999</v>
      </c>
      <c r="F3809">
        <v>2.9613</v>
      </c>
      <c r="G3809">
        <v>775.36</v>
      </c>
      <c r="H3809">
        <v>1.4178999999999999</v>
      </c>
    </row>
    <row r="3810" spans="1:8" x14ac:dyDescent="0.25">
      <c r="B3810">
        <v>1.4217</v>
      </c>
      <c r="C3810">
        <v>320</v>
      </c>
      <c r="D3810">
        <v>160</v>
      </c>
      <c r="E3810">
        <v>0.33528000000000002</v>
      </c>
      <c r="F3810">
        <v>2.9824999999999999</v>
      </c>
      <c r="G3810">
        <v>778.32</v>
      </c>
      <c r="H3810">
        <v>1.4217</v>
      </c>
    </row>
    <row r="3811" spans="1:8" x14ac:dyDescent="0.25">
      <c r="B3811">
        <v>1.4255</v>
      </c>
      <c r="C3811">
        <v>325</v>
      </c>
      <c r="D3811">
        <v>160</v>
      </c>
      <c r="E3811">
        <v>0.33291999999999999</v>
      </c>
      <c r="F3811">
        <v>3.0038</v>
      </c>
      <c r="G3811">
        <v>781.27</v>
      </c>
      <c r="H3811">
        <v>1.4255</v>
      </c>
    </row>
    <row r="3812" spans="1:8" x14ac:dyDescent="0.25">
      <c r="B3812">
        <v>1.4292</v>
      </c>
      <c r="C3812">
        <v>330</v>
      </c>
      <c r="D3812">
        <v>160</v>
      </c>
      <c r="E3812">
        <v>0.33058999999999999</v>
      </c>
      <c r="F3812">
        <v>3.0249000000000001</v>
      </c>
      <c r="G3812">
        <v>784.23</v>
      </c>
      <c r="H3812">
        <v>1.4292</v>
      </c>
    </row>
    <row r="3813" spans="1:8" x14ac:dyDescent="0.25">
      <c r="B3813">
        <v>1.4329000000000001</v>
      </c>
      <c r="C3813">
        <v>335</v>
      </c>
      <c r="D3813">
        <v>160</v>
      </c>
      <c r="E3813">
        <v>0.32829000000000003</v>
      </c>
      <c r="F3813">
        <v>3.0461</v>
      </c>
      <c r="G3813">
        <v>787.18</v>
      </c>
      <c r="H3813">
        <v>1.4329000000000001</v>
      </c>
    </row>
    <row r="3814" spans="1:8" x14ac:dyDescent="0.25">
      <c r="B3814">
        <v>1.4367000000000001</v>
      </c>
      <c r="C3814">
        <v>340</v>
      </c>
      <c r="D3814">
        <v>160</v>
      </c>
      <c r="E3814">
        <v>0.32602999999999999</v>
      </c>
      <c r="F3814">
        <v>3.0672000000000001</v>
      </c>
      <c r="G3814">
        <v>790.15</v>
      </c>
      <c r="H3814">
        <v>1.4367000000000001</v>
      </c>
    </row>
    <row r="3815" spans="1:8" x14ac:dyDescent="0.25">
      <c r="B3815">
        <v>1.4403999999999999</v>
      </c>
      <c r="C3815">
        <v>345</v>
      </c>
      <c r="D3815">
        <v>160</v>
      </c>
      <c r="E3815">
        <v>0.32380999999999999</v>
      </c>
      <c r="F3815">
        <v>3.0882999999999998</v>
      </c>
      <c r="G3815">
        <v>793.11</v>
      </c>
      <c r="H3815">
        <v>1.4403999999999999</v>
      </c>
    </row>
    <row r="3816" spans="1:8" x14ac:dyDescent="0.25">
      <c r="B3816">
        <v>1.444</v>
      </c>
      <c r="C3816">
        <v>350</v>
      </c>
      <c r="D3816">
        <v>160</v>
      </c>
      <c r="E3816">
        <v>0.32162000000000002</v>
      </c>
      <c r="F3816">
        <v>3.1093000000000002</v>
      </c>
      <c r="G3816">
        <v>796.08</v>
      </c>
      <c r="H3816">
        <v>1.444</v>
      </c>
    </row>
    <row r="3818" spans="1:8" x14ac:dyDescent="0.25">
      <c r="A3818">
        <v>165</v>
      </c>
      <c r="B3818">
        <v>9.6490999999999993E-2</v>
      </c>
      <c r="C3818">
        <v>0</v>
      </c>
      <c r="D3818">
        <v>165</v>
      </c>
      <c r="E3818">
        <v>41.377000000000002</v>
      </c>
      <c r="F3818">
        <v>2.4167999999999999E-2</v>
      </c>
      <c r="G3818">
        <v>43.08</v>
      </c>
      <c r="H3818">
        <v>9.6490999999999993E-2</v>
      </c>
    </row>
    <row r="3819" spans="1:8" x14ac:dyDescent="0.25">
      <c r="B3819">
        <v>0.1082</v>
      </c>
      <c r="C3819">
        <v>5</v>
      </c>
      <c r="D3819">
        <v>165</v>
      </c>
      <c r="E3819">
        <v>41.152000000000001</v>
      </c>
      <c r="F3819">
        <v>2.4299999999999999E-2</v>
      </c>
      <c r="G3819">
        <v>48.488999999999997</v>
      </c>
      <c r="H3819">
        <v>0.1082</v>
      </c>
    </row>
    <row r="3820" spans="1:8" x14ac:dyDescent="0.25">
      <c r="B3820">
        <v>0.11981</v>
      </c>
      <c r="C3820">
        <v>10</v>
      </c>
      <c r="D3820">
        <v>165</v>
      </c>
      <c r="E3820">
        <v>40.923999999999999</v>
      </c>
      <c r="F3820">
        <v>2.4435999999999999E-2</v>
      </c>
      <c r="G3820">
        <v>53.914999999999999</v>
      </c>
      <c r="H3820">
        <v>0.11981</v>
      </c>
    </row>
    <row r="3821" spans="1:8" x14ac:dyDescent="0.25">
      <c r="B3821">
        <v>0.13134000000000001</v>
      </c>
      <c r="C3821">
        <v>15</v>
      </c>
      <c r="D3821">
        <v>165</v>
      </c>
      <c r="E3821">
        <v>40.694000000000003</v>
      </c>
      <c r="F3821">
        <v>2.4573999999999999E-2</v>
      </c>
      <c r="G3821">
        <v>59.357999999999997</v>
      </c>
      <c r="H3821">
        <v>0.13134000000000001</v>
      </c>
    </row>
    <row r="3822" spans="1:8" x14ac:dyDescent="0.25">
      <c r="B3822">
        <v>0.14277999999999999</v>
      </c>
      <c r="C3822">
        <v>20</v>
      </c>
      <c r="D3822">
        <v>165</v>
      </c>
      <c r="E3822">
        <v>40.462000000000003</v>
      </c>
      <c r="F3822">
        <v>2.4715000000000001E-2</v>
      </c>
      <c r="G3822">
        <v>64.816999999999993</v>
      </c>
      <c r="H3822">
        <v>0.14277999999999999</v>
      </c>
    </row>
    <row r="3823" spans="1:8" x14ac:dyDescent="0.25">
      <c r="B3823">
        <v>0.15414</v>
      </c>
      <c r="C3823">
        <v>25</v>
      </c>
      <c r="D3823">
        <v>165</v>
      </c>
      <c r="E3823">
        <v>40.226999999999997</v>
      </c>
      <c r="F3823">
        <v>2.4858999999999999E-2</v>
      </c>
      <c r="G3823">
        <v>70.293999999999997</v>
      </c>
      <c r="H3823">
        <v>0.15414</v>
      </c>
    </row>
    <row r="3824" spans="1:8" x14ac:dyDescent="0.25">
      <c r="B3824">
        <v>0.16541</v>
      </c>
      <c r="C3824">
        <v>30</v>
      </c>
      <c r="D3824">
        <v>165</v>
      </c>
      <c r="E3824">
        <v>39.991</v>
      </c>
      <c r="F3824">
        <v>2.5006E-2</v>
      </c>
      <c r="G3824">
        <v>75.787999999999997</v>
      </c>
      <c r="H3824">
        <v>0.16541</v>
      </c>
    </row>
    <row r="3825" spans="2:8" x14ac:dyDescent="0.25">
      <c r="B3825">
        <v>0.17660999999999999</v>
      </c>
      <c r="C3825">
        <v>35</v>
      </c>
      <c r="D3825">
        <v>165</v>
      </c>
      <c r="E3825">
        <v>39.752000000000002</v>
      </c>
      <c r="F3825">
        <v>2.5156000000000001E-2</v>
      </c>
      <c r="G3825">
        <v>81.301000000000002</v>
      </c>
      <c r="H3825">
        <v>0.17660999999999999</v>
      </c>
    </row>
    <row r="3826" spans="2:8" x14ac:dyDescent="0.25">
      <c r="B3826">
        <v>0.18773999999999999</v>
      </c>
      <c r="C3826">
        <v>40</v>
      </c>
      <c r="D3826">
        <v>165</v>
      </c>
      <c r="E3826">
        <v>39.511000000000003</v>
      </c>
      <c r="F3826">
        <v>2.5309000000000002E-2</v>
      </c>
      <c r="G3826">
        <v>86.831999999999994</v>
      </c>
      <c r="H3826">
        <v>0.18773999999999999</v>
      </c>
    </row>
    <row r="3827" spans="2:8" x14ac:dyDescent="0.25">
      <c r="B3827">
        <v>0.19878999999999999</v>
      </c>
      <c r="C3827">
        <v>45</v>
      </c>
      <c r="D3827">
        <v>165</v>
      </c>
      <c r="E3827">
        <v>39.267000000000003</v>
      </c>
      <c r="F3827">
        <v>2.5467E-2</v>
      </c>
      <c r="G3827">
        <v>92.382999999999996</v>
      </c>
      <c r="H3827">
        <v>0.19878999999999999</v>
      </c>
    </row>
    <row r="3828" spans="2:8" x14ac:dyDescent="0.25">
      <c r="B3828">
        <v>0.20977999999999999</v>
      </c>
      <c r="C3828">
        <v>50</v>
      </c>
      <c r="D3828">
        <v>165</v>
      </c>
      <c r="E3828">
        <v>39.021000000000001</v>
      </c>
      <c r="F3828">
        <v>2.5627E-2</v>
      </c>
      <c r="G3828">
        <v>97.954999999999998</v>
      </c>
      <c r="H3828">
        <v>0.20977999999999999</v>
      </c>
    </row>
    <row r="3829" spans="2:8" x14ac:dyDescent="0.25">
      <c r="B3829">
        <v>0.22070000000000001</v>
      </c>
      <c r="C3829">
        <v>55</v>
      </c>
      <c r="D3829">
        <v>165</v>
      </c>
      <c r="E3829">
        <v>38.771000000000001</v>
      </c>
      <c r="F3829">
        <v>2.5791999999999999E-2</v>
      </c>
      <c r="G3829">
        <v>103.55</v>
      </c>
      <c r="H3829">
        <v>0.22070000000000001</v>
      </c>
    </row>
    <row r="3830" spans="2:8" x14ac:dyDescent="0.25">
      <c r="B3830">
        <v>0.23155999999999999</v>
      </c>
      <c r="C3830">
        <v>60</v>
      </c>
      <c r="D3830">
        <v>165</v>
      </c>
      <c r="E3830">
        <v>38.518999999999998</v>
      </c>
      <c r="F3830">
        <v>2.5961000000000001E-2</v>
      </c>
      <c r="G3830">
        <v>109.16</v>
      </c>
      <c r="H3830">
        <v>0.23155999999999999</v>
      </c>
    </row>
    <row r="3831" spans="2:8" x14ac:dyDescent="0.25">
      <c r="B3831">
        <v>0.24235999999999999</v>
      </c>
      <c r="C3831">
        <v>65</v>
      </c>
      <c r="D3831">
        <v>165</v>
      </c>
      <c r="E3831">
        <v>38.264000000000003</v>
      </c>
      <c r="F3831">
        <v>2.6134000000000001E-2</v>
      </c>
      <c r="G3831">
        <v>114.8</v>
      </c>
      <c r="H3831">
        <v>0.24235999999999999</v>
      </c>
    </row>
    <row r="3832" spans="2:8" x14ac:dyDescent="0.25">
      <c r="B3832">
        <v>0.25309999999999999</v>
      </c>
      <c r="C3832">
        <v>70</v>
      </c>
      <c r="D3832">
        <v>165</v>
      </c>
      <c r="E3832">
        <v>38.005000000000003</v>
      </c>
      <c r="F3832">
        <v>2.6311999999999999E-2</v>
      </c>
      <c r="G3832">
        <v>120.47</v>
      </c>
      <c r="H3832">
        <v>0.25309999999999999</v>
      </c>
    </row>
    <row r="3833" spans="2:8" x14ac:dyDescent="0.25">
      <c r="B3833">
        <v>0.26379000000000002</v>
      </c>
      <c r="C3833">
        <v>75</v>
      </c>
      <c r="D3833">
        <v>165</v>
      </c>
      <c r="E3833">
        <v>37.743000000000002</v>
      </c>
      <c r="F3833">
        <v>2.6495000000000001E-2</v>
      </c>
      <c r="G3833">
        <v>126.16</v>
      </c>
      <c r="H3833">
        <v>0.26379000000000002</v>
      </c>
    </row>
    <row r="3834" spans="2:8" x14ac:dyDescent="0.25">
      <c r="B3834">
        <v>0.27444000000000002</v>
      </c>
      <c r="C3834">
        <v>80</v>
      </c>
      <c r="D3834">
        <v>165</v>
      </c>
      <c r="E3834">
        <v>37.476999999999997</v>
      </c>
      <c r="F3834">
        <v>2.6682999999999998E-2</v>
      </c>
      <c r="G3834">
        <v>131.87</v>
      </c>
      <c r="H3834">
        <v>0.27444000000000002</v>
      </c>
    </row>
    <row r="3835" spans="2:8" x14ac:dyDescent="0.25">
      <c r="B3835">
        <v>1.1923999999999999</v>
      </c>
      <c r="C3835">
        <v>85</v>
      </c>
      <c r="D3835">
        <v>165</v>
      </c>
      <c r="E3835">
        <v>0.55018</v>
      </c>
      <c r="F3835">
        <v>1.8176000000000001</v>
      </c>
      <c r="G3835">
        <v>631.35</v>
      </c>
      <c r="H3835">
        <v>1.1923999999999999</v>
      </c>
    </row>
    <row r="3836" spans="2:8" x14ac:dyDescent="0.25">
      <c r="B3836">
        <v>1.1994</v>
      </c>
      <c r="C3836">
        <v>90</v>
      </c>
      <c r="D3836">
        <v>165</v>
      </c>
      <c r="E3836">
        <v>0.54181999999999997</v>
      </c>
      <c r="F3836">
        <v>1.8455999999999999</v>
      </c>
      <c r="G3836">
        <v>635.16</v>
      </c>
      <c r="H3836">
        <v>1.1994</v>
      </c>
    </row>
    <row r="3837" spans="2:8" x14ac:dyDescent="0.25">
      <c r="B3837">
        <v>1.2060999999999999</v>
      </c>
      <c r="C3837">
        <v>95</v>
      </c>
      <c r="D3837">
        <v>165</v>
      </c>
      <c r="E3837">
        <v>0.53386999999999996</v>
      </c>
      <c r="F3837">
        <v>1.8731</v>
      </c>
      <c r="G3837">
        <v>638.87</v>
      </c>
      <c r="H3837">
        <v>1.2060999999999999</v>
      </c>
    </row>
    <row r="3838" spans="2:8" x14ac:dyDescent="0.25">
      <c r="B3838">
        <v>1.2125999999999999</v>
      </c>
      <c r="C3838">
        <v>100</v>
      </c>
      <c r="D3838">
        <v>165</v>
      </c>
      <c r="E3838">
        <v>0.52629000000000004</v>
      </c>
      <c r="F3838">
        <v>1.9000999999999999</v>
      </c>
      <c r="G3838">
        <v>642.51</v>
      </c>
      <c r="H3838">
        <v>1.2125999999999999</v>
      </c>
    </row>
    <row r="3839" spans="2:8" x14ac:dyDescent="0.25">
      <c r="B3839">
        <v>1.2190000000000001</v>
      </c>
      <c r="C3839">
        <v>105</v>
      </c>
      <c r="D3839">
        <v>165</v>
      </c>
      <c r="E3839">
        <v>0.51903999999999995</v>
      </c>
      <c r="F3839">
        <v>1.9266000000000001</v>
      </c>
      <c r="G3839">
        <v>646.08000000000004</v>
      </c>
      <c r="H3839">
        <v>1.2190000000000001</v>
      </c>
    </row>
    <row r="3840" spans="2:8" x14ac:dyDescent="0.25">
      <c r="B3840">
        <v>1.2252000000000001</v>
      </c>
      <c r="C3840">
        <v>110</v>
      </c>
      <c r="D3840">
        <v>165</v>
      </c>
      <c r="E3840">
        <v>0.51210999999999995</v>
      </c>
      <c r="F3840">
        <v>1.9527000000000001</v>
      </c>
      <c r="G3840">
        <v>649.59</v>
      </c>
      <c r="H3840">
        <v>1.2252000000000001</v>
      </c>
    </row>
    <row r="3841" spans="2:8" x14ac:dyDescent="0.25">
      <c r="B3841">
        <v>1.2312000000000001</v>
      </c>
      <c r="C3841">
        <v>115</v>
      </c>
      <c r="D3841">
        <v>165</v>
      </c>
      <c r="E3841">
        <v>0.50544999999999995</v>
      </c>
      <c r="F3841">
        <v>1.9783999999999999</v>
      </c>
      <c r="G3841">
        <v>653.04</v>
      </c>
      <c r="H3841">
        <v>1.2312000000000001</v>
      </c>
    </row>
    <row r="3842" spans="2:8" x14ac:dyDescent="0.25">
      <c r="B3842">
        <v>1.2371000000000001</v>
      </c>
      <c r="C3842">
        <v>120</v>
      </c>
      <c r="D3842">
        <v>165</v>
      </c>
      <c r="E3842">
        <v>0.49904999999999999</v>
      </c>
      <c r="F3842">
        <v>2.0038</v>
      </c>
      <c r="G3842">
        <v>656.44</v>
      </c>
      <c r="H3842">
        <v>1.2371000000000001</v>
      </c>
    </row>
    <row r="3843" spans="2:8" x14ac:dyDescent="0.25">
      <c r="B3843">
        <v>1.2428999999999999</v>
      </c>
      <c r="C3843">
        <v>125</v>
      </c>
      <c r="D3843">
        <v>165</v>
      </c>
      <c r="E3843">
        <v>0.49288999999999999</v>
      </c>
      <c r="F3843">
        <v>2.0289000000000001</v>
      </c>
      <c r="G3843">
        <v>659.8</v>
      </c>
      <c r="H3843">
        <v>1.2428999999999999</v>
      </c>
    </row>
    <row r="3844" spans="2:8" x14ac:dyDescent="0.25">
      <c r="B3844">
        <v>1.2484999999999999</v>
      </c>
      <c r="C3844">
        <v>130</v>
      </c>
      <c r="D3844">
        <v>165</v>
      </c>
      <c r="E3844">
        <v>0.48694999999999999</v>
      </c>
      <c r="F3844">
        <v>2.0535999999999999</v>
      </c>
      <c r="G3844">
        <v>663.12</v>
      </c>
      <c r="H3844">
        <v>1.2484999999999999</v>
      </c>
    </row>
    <row r="3845" spans="2:8" x14ac:dyDescent="0.25">
      <c r="B3845">
        <v>1.2541</v>
      </c>
      <c r="C3845">
        <v>135</v>
      </c>
      <c r="D3845">
        <v>165</v>
      </c>
      <c r="E3845">
        <v>0.48121000000000003</v>
      </c>
      <c r="F3845">
        <v>2.0781000000000001</v>
      </c>
      <c r="G3845">
        <v>666.4</v>
      </c>
      <c r="H3845">
        <v>1.2541</v>
      </c>
    </row>
    <row r="3846" spans="2:8" x14ac:dyDescent="0.25">
      <c r="B3846">
        <v>1.2595000000000001</v>
      </c>
      <c r="C3846">
        <v>140</v>
      </c>
      <c r="D3846">
        <v>165</v>
      </c>
      <c r="E3846">
        <v>0.47566000000000003</v>
      </c>
      <c r="F3846">
        <v>2.1023000000000001</v>
      </c>
      <c r="G3846">
        <v>669.65</v>
      </c>
      <c r="H3846">
        <v>1.2595000000000001</v>
      </c>
    </row>
    <row r="3847" spans="2:8" x14ac:dyDescent="0.25">
      <c r="B3847">
        <v>1.2647999999999999</v>
      </c>
      <c r="C3847">
        <v>145</v>
      </c>
      <c r="D3847">
        <v>165</v>
      </c>
      <c r="E3847">
        <v>0.47028999999999999</v>
      </c>
      <c r="F3847">
        <v>2.1263000000000001</v>
      </c>
      <c r="G3847">
        <v>672.87</v>
      </c>
      <c r="H3847">
        <v>1.2647999999999999</v>
      </c>
    </row>
    <row r="3848" spans="2:8" x14ac:dyDescent="0.25">
      <c r="B3848">
        <v>1.2701</v>
      </c>
      <c r="C3848">
        <v>150</v>
      </c>
      <c r="D3848">
        <v>165</v>
      </c>
      <c r="E3848">
        <v>0.46509</v>
      </c>
      <c r="F3848">
        <v>2.1501000000000001</v>
      </c>
      <c r="G3848">
        <v>676.05</v>
      </c>
      <c r="H3848">
        <v>1.2701</v>
      </c>
    </row>
    <row r="3849" spans="2:8" x14ac:dyDescent="0.25">
      <c r="B3849">
        <v>1.2753000000000001</v>
      </c>
      <c r="C3849">
        <v>155</v>
      </c>
      <c r="D3849">
        <v>165</v>
      </c>
      <c r="E3849">
        <v>0.46005000000000001</v>
      </c>
      <c r="F3849">
        <v>2.1737000000000002</v>
      </c>
      <c r="G3849">
        <v>679.22</v>
      </c>
      <c r="H3849">
        <v>1.2753000000000001</v>
      </c>
    </row>
    <row r="3850" spans="2:8" x14ac:dyDescent="0.25">
      <c r="B3850">
        <v>1.2804</v>
      </c>
      <c r="C3850">
        <v>160</v>
      </c>
      <c r="D3850">
        <v>165</v>
      </c>
      <c r="E3850">
        <v>0.45515</v>
      </c>
      <c r="F3850">
        <v>2.1970999999999998</v>
      </c>
      <c r="G3850">
        <v>682.36</v>
      </c>
      <c r="H3850">
        <v>1.2804</v>
      </c>
    </row>
    <row r="3851" spans="2:8" x14ac:dyDescent="0.25">
      <c r="B3851">
        <v>1.2854000000000001</v>
      </c>
      <c r="C3851">
        <v>165</v>
      </c>
      <c r="D3851">
        <v>165</v>
      </c>
      <c r="E3851">
        <v>0.45039000000000001</v>
      </c>
      <c r="F3851">
        <v>2.2202999999999999</v>
      </c>
      <c r="G3851">
        <v>685.48</v>
      </c>
      <c r="H3851">
        <v>1.2854000000000001</v>
      </c>
    </row>
    <row r="3852" spans="2:8" x14ac:dyDescent="0.25">
      <c r="B3852">
        <v>1.2903</v>
      </c>
      <c r="C3852">
        <v>170</v>
      </c>
      <c r="D3852">
        <v>165</v>
      </c>
      <c r="E3852">
        <v>0.44575999999999999</v>
      </c>
      <c r="F3852">
        <v>2.2433999999999998</v>
      </c>
      <c r="G3852">
        <v>688.58</v>
      </c>
      <c r="H3852">
        <v>1.2903</v>
      </c>
    </row>
    <row r="3853" spans="2:8" x14ac:dyDescent="0.25">
      <c r="B3853">
        <v>1.2951999999999999</v>
      </c>
      <c r="C3853">
        <v>175</v>
      </c>
      <c r="D3853">
        <v>165</v>
      </c>
      <c r="E3853">
        <v>0.44125999999999999</v>
      </c>
      <c r="F3853">
        <v>2.2663000000000002</v>
      </c>
      <c r="G3853">
        <v>691.67</v>
      </c>
      <c r="H3853">
        <v>1.2951999999999999</v>
      </c>
    </row>
    <row r="3854" spans="2:8" x14ac:dyDescent="0.25">
      <c r="B3854">
        <v>1.3</v>
      </c>
      <c r="C3854">
        <v>180</v>
      </c>
      <c r="D3854">
        <v>165</v>
      </c>
      <c r="E3854">
        <v>0.43686999999999998</v>
      </c>
      <c r="F3854">
        <v>2.2890000000000001</v>
      </c>
      <c r="G3854">
        <v>694.74</v>
      </c>
      <c r="H3854">
        <v>1.3</v>
      </c>
    </row>
    <row r="3855" spans="2:8" x14ac:dyDescent="0.25">
      <c r="B3855">
        <v>1.3048</v>
      </c>
      <c r="C3855">
        <v>185</v>
      </c>
      <c r="D3855">
        <v>165</v>
      </c>
      <c r="E3855">
        <v>0.43259999999999998</v>
      </c>
      <c r="F3855">
        <v>2.3115999999999999</v>
      </c>
      <c r="G3855">
        <v>697.79</v>
      </c>
      <c r="H3855">
        <v>1.3048</v>
      </c>
    </row>
    <row r="3856" spans="2:8" x14ac:dyDescent="0.25">
      <c r="B3856">
        <v>1.3095000000000001</v>
      </c>
      <c r="C3856">
        <v>190</v>
      </c>
      <c r="D3856">
        <v>165</v>
      </c>
      <c r="E3856">
        <v>0.42842999999999998</v>
      </c>
      <c r="F3856">
        <v>2.3340999999999998</v>
      </c>
      <c r="G3856">
        <v>700.83</v>
      </c>
      <c r="H3856">
        <v>1.3095000000000001</v>
      </c>
    </row>
    <row r="3857" spans="2:8" x14ac:dyDescent="0.25">
      <c r="B3857">
        <v>1.3141</v>
      </c>
      <c r="C3857">
        <v>195</v>
      </c>
      <c r="D3857">
        <v>165</v>
      </c>
      <c r="E3857">
        <v>0.42436000000000001</v>
      </c>
      <c r="F3857">
        <v>2.3565</v>
      </c>
      <c r="G3857">
        <v>703.86</v>
      </c>
      <c r="H3857">
        <v>1.3141</v>
      </c>
    </row>
    <row r="3858" spans="2:8" x14ac:dyDescent="0.25">
      <c r="B3858">
        <v>1.3187</v>
      </c>
      <c r="C3858">
        <v>200</v>
      </c>
      <c r="D3858">
        <v>165</v>
      </c>
      <c r="E3858">
        <v>0.42038999999999999</v>
      </c>
      <c r="F3858">
        <v>2.3786999999999998</v>
      </c>
      <c r="G3858">
        <v>706.88</v>
      </c>
      <c r="H3858">
        <v>1.3187</v>
      </c>
    </row>
    <row r="3859" spans="2:8" x14ac:dyDescent="0.25">
      <c r="B3859">
        <v>1.3232999999999999</v>
      </c>
      <c r="C3859">
        <v>205</v>
      </c>
      <c r="D3859">
        <v>165</v>
      </c>
      <c r="E3859">
        <v>0.41652</v>
      </c>
      <c r="F3859">
        <v>2.4009</v>
      </c>
      <c r="G3859">
        <v>709.89</v>
      </c>
      <c r="H3859">
        <v>1.3232999999999999</v>
      </c>
    </row>
    <row r="3860" spans="2:8" x14ac:dyDescent="0.25">
      <c r="B3860">
        <v>1.3278000000000001</v>
      </c>
      <c r="C3860">
        <v>210</v>
      </c>
      <c r="D3860">
        <v>165</v>
      </c>
      <c r="E3860">
        <v>0.41272999999999999</v>
      </c>
      <c r="F3860">
        <v>2.4228999999999998</v>
      </c>
      <c r="G3860">
        <v>712.89</v>
      </c>
      <c r="H3860">
        <v>1.3278000000000001</v>
      </c>
    </row>
    <row r="3861" spans="2:8" x14ac:dyDescent="0.25">
      <c r="B3861">
        <v>1.3322000000000001</v>
      </c>
      <c r="C3861">
        <v>215</v>
      </c>
      <c r="D3861">
        <v>165</v>
      </c>
      <c r="E3861">
        <v>0.40901999999999999</v>
      </c>
      <c r="F3861">
        <v>2.4447999999999999</v>
      </c>
      <c r="G3861">
        <v>715.89</v>
      </c>
      <c r="H3861">
        <v>1.3322000000000001</v>
      </c>
    </row>
    <row r="3862" spans="2:8" x14ac:dyDescent="0.25">
      <c r="B3862">
        <v>1.3366</v>
      </c>
      <c r="C3862">
        <v>220</v>
      </c>
      <c r="D3862">
        <v>165</v>
      </c>
      <c r="E3862">
        <v>0.40539999999999998</v>
      </c>
      <c r="F3862">
        <v>2.4666999999999999</v>
      </c>
      <c r="G3862">
        <v>718.87</v>
      </c>
      <c r="H3862">
        <v>1.3366</v>
      </c>
    </row>
    <row r="3863" spans="2:8" x14ac:dyDescent="0.25">
      <c r="B3863">
        <v>1.341</v>
      </c>
      <c r="C3863">
        <v>225</v>
      </c>
      <c r="D3863">
        <v>165</v>
      </c>
      <c r="E3863">
        <v>0.40185999999999999</v>
      </c>
      <c r="F3863">
        <v>2.4885000000000002</v>
      </c>
      <c r="G3863">
        <v>721.85</v>
      </c>
      <c r="H3863">
        <v>1.341</v>
      </c>
    </row>
    <row r="3864" spans="2:8" x14ac:dyDescent="0.25">
      <c r="B3864">
        <v>1.3452999999999999</v>
      </c>
      <c r="C3864">
        <v>230</v>
      </c>
      <c r="D3864">
        <v>165</v>
      </c>
      <c r="E3864">
        <v>0.39839000000000002</v>
      </c>
      <c r="F3864">
        <v>2.5101</v>
      </c>
      <c r="G3864">
        <v>724.83</v>
      </c>
      <c r="H3864">
        <v>1.3452999999999999</v>
      </c>
    </row>
    <row r="3865" spans="2:8" x14ac:dyDescent="0.25">
      <c r="B3865">
        <v>1.3495999999999999</v>
      </c>
      <c r="C3865">
        <v>235</v>
      </c>
      <c r="D3865">
        <v>165</v>
      </c>
      <c r="E3865">
        <v>0.39499000000000001</v>
      </c>
      <c r="F3865">
        <v>2.5316999999999998</v>
      </c>
      <c r="G3865">
        <v>727.8</v>
      </c>
      <c r="H3865">
        <v>1.3495999999999999</v>
      </c>
    </row>
    <row r="3866" spans="2:8" x14ac:dyDescent="0.25">
      <c r="B3866">
        <v>1.3539000000000001</v>
      </c>
      <c r="C3866">
        <v>240</v>
      </c>
      <c r="D3866">
        <v>165</v>
      </c>
      <c r="E3866">
        <v>0.39166000000000001</v>
      </c>
      <c r="F3866">
        <v>2.5531999999999999</v>
      </c>
      <c r="G3866">
        <v>730.76</v>
      </c>
      <c r="H3866">
        <v>1.3539000000000001</v>
      </c>
    </row>
    <row r="3867" spans="2:8" x14ac:dyDescent="0.25">
      <c r="B3867">
        <v>1.3581000000000001</v>
      </c>
      <c r="C3867">
        <v>245</v>
      </c>
      <c r="D3867">
        <v>165</v>
      </c>
      <c r="E3867">
        <v>0.38840000000000002</v>
      </c>
      <c r="F3867">
        <v>2.5747</v>
      </c>
      <c r="G3867">
        <v>733.72</v>
      </c>
      <c r="H3867">
        <v>1.3581000000000001</v>
      </c>
    </row>
    <row r="3868" spans="2:8" x14ac:dyDescent="0.25">
      <c r="B3868">
        <v>1.3623000000000001</v>
      </c>
      <c r="C3868">
        <v>250</v>
      </c>
      <c r="D3868">
        <v>165</v>
      </c>
      <c r="E3868">
        <v>0.38519999999999999</v>
      </c>
      <c r="F3868">
        <v>2.5960999999999999</v>
      </c>
      <c r="G3868">
        <v>736.68</v>
      </c>
      <c r="H3868">
        <v>1.3623000000000001</v>
      </c>
    </row>
    <row r="3869" spans="2:8" x14ac:dyDescent="0.25">
      <c r="B3869">
        <v>1.3664000000000001</v>
      </c>
      <c r="C3869">
        <v>255</v>
      </c>
      <c r="D3869">
        <v>165</v>
      </c>
      <c r="E3869">
        <v>0.38206000000000001</v>
      </c>
      <c r="F3869">
        <v>2.6173999999999999</v>
      </c>
      <c r="G3869">
        <v>739.64</v>
      </c>
      <c r="H3869">
        <v>1.3664000000000001</v>
      </c>
    </row>
    <row r="3870" spans="2:8" x14ac:dyDescent="0.25">
      <c r="B3870">
        <v>1.3705000000000001</v>
      </c>
      <c r="C3870">
        <v>260</v>
      </c>
      <c r="D3870">
        <v>165</v>
      </c>
      <c r="E3870">
        <v>0.37898999999999999</v>
      </c>
      <c r="F3870">
        <v>2.6385999999999998</v>
      </c>
      <c r="G3870">
        <v>742.59</v>
      </c>
      <c r="H3870">
        <v>1.3705000000000001</v>
      </c>
    </row>
    <row r="3871" spans="2:8" x14ac:dyDescent="0.25">
      <c r="B3871">
        <v>1.3746</v>
      </c>
      <c r="C3871">
        <v>265</v>
      </c>
      <c r="D3871">
        <v>165</v>
      </c>
      <c r="E3871">
        <v>0.37597000000000003</v>
      </c>
      <c r="F3871">
        <v>2.6598000000000002</v>
      </c>
      <c r="G3871">
        <v>745.54</v>
      </c>
      <c r="H3871">
        <v>1.3746</v>
      </c>
    </row>
    <row r="3872" spans="2:8" x14ac:dyDescent="0.25">
      <c r="B3872">
        <v>1.3787</v>
      </c>
      <c r="C3872">
        <v>270</v>
      </c>
      <c r="D3872">
        <v>165</v>
      </c>
      <c r="E3872">
        <v>0.37301000000000001</v>
      </c>
      <c r="F3872">
        <v>2.6808999999999998</v>
      </c>
      <c r="G3872">
        <v>748.5</v>
      </c>
      <c r="H3872">
        <v>1.3787</v>
      </c>
    </row>
    <row r="3873" spans="2:8" x14ac:dyDescent="0.25">
      <c r="B3873">
        <v>1.3827</v>
      </c>
      <c r="C3873">
        <v>275</v>
      </c>
      <c r="D3873">
        <v>165</v>
      </c>
      <c r="E3873">
        <v>0.37009999999999998</v>
      </c>
      <c r="F3873">
        <v>2.702</v>
      </c>
      <c r="G3873">
        <v>751.45</v>
      </c>
      <c r="H3873">
        <v>1.3827</v>
      </c>
    </row>
    <row r="3874" spans="2:8" x14ac:dyDescent="0.25">
      <c r="B3874">
        <v>1.3867</v>
      </c>
      <c r="C3874">
        <v>280</v>
      </c>
      <c r="D3874">
        <v>165</v>
      </c>
      <c r="E3874">
        <v>0.36724000000000001</v>
      </c>
      <c r="F3874">
        <v>2.7229999999999999</v>
      </c>
      <c r="G3874">
        <v>754.4</v>
      </c>
      <c r="H3874">
        <v>1.3867</v>
      </c>
    </row>
    <row r="3875" spans="2:8" x14ac:dyDescent="0.25">
      <c r="B3875">
        <v>1.3907</v>
      </c>
      <c r="C3875">
        <v>285</v>
      </c>
      <c r="D3875">
        <v>165</v>
      </c>
      <c r="E3875">
        <v>0.36443999999999999</v>
      </c>
      <c r="F3875">
        <v>2.7440000000000002</v>
      </c>
      <c r="G3875">
        <v>757.34</v>
      </c>
      <c r="H3875">
        <v>1.3907</v>
      </c>
    </row>
    <row r="3876" spans="2:8" x14ac:dyDescent="0.25">
      <c r="B3876">
        <v>1.3946000000000001</v>
      </c>
      <c r="C3876">
        <v>290</v>
      </c>
      <c r="D3876">
        <v>165</v>
      </c>
      <c r="E3876">
        <v>0.36168</v>
      </c>
      <c r="F3876">
        <v>2.7648999999999999</v>
      </c>
      <c r="G3876">
        <v>760.29</v>
      </c>
      <c r="H3876">
        <v>1.3946000000000001</v>
      </c>
    </row>
    <row r="3877" spans="2:8" x14ac:dyDescent="0.25">
      <c r="B3877">
        <v>1.3986000000000001</v>
      </c>
      <c r="C3877">
        <v>295</v>
      </c>
      <c r="D3877">
        <v>165</v>
      </c>
      <c r="E3877">
        <v>0.35897000000000001</v>
      </c>
      <c r="F3877">
        <v>2.7858000000000001</v>
      </c>
      <c r="G3877">
        <v>763.24</v>
      </c>
      <c r="H3877">
        <v>1.3986000000000001</v>
      </c>
    </row>
    <row r="3878" spans="2:8" x14ac:dyDescent="0.25">
      <c r="B3878">
        <v>1.4025000000000001</v>
      </c>
      <c r="C3878">
        <v>300</v>
      </c>
      <c r="D3878">
        <v>165</v>
      </c>
      <c r="E3878">
        <v>0.35631000000000002</v>
      </c>
      <c r="F3878">
        <v>2.8066</v>
      </c>
      <c r="G3878">
        <v>766.2</v>
      </c>
      <c r="H3878">
        <v>1.4025000000000001</v>
      </c>
    </row>
    <row r="3879" spans="2:8" x14ac:dyDescent="0.25">
      <c r="B3879">
        <v>1.4063000000000001</v>
      </c>
      <c r="C3879">
        <v>305</v>
      </c>
      <c r="D3879">
        <v>165</v>
      </c>
      <c r="E3879">
        <v>0.35369</v>
      </c>
      <c r="F3879">
        <v>2.8273999999999999</v>
      </c>
      <c r="G3879">
        <v>769.15</v>
      </c>
      <c r="H3879">
        <v>1.4063000000000001</v>
      </c>
    </row>
    <row r="3880" spans="2:8" x14ac:dyDescent="0.25">
      <c r="B3880">
        <v>1.4101999999999999</v>
      </c>
      <c r="C3880">
        <v>310</v>
      </c>
      <c r="D3880">
        <v>165</v>
      </c>
      <c r="E3880">
        <v>0.35110999999999998</v>
      </c>
      <c r="F3880">
        <v>2.8481000000000001</v>
      </c>
      <c r="G3880">
        <v>772.1</v>
      </c>
      <c r="H3880">
        <v>1.4101999999999999</v>
      </c>
    </row>
    <row r="3881" spans="2:8" x14ac:dyDescent="0.25">
      <c r="B3881">
        <v>1.4139999999999999</v>
      </c>
      <c r="C3881">
        <v>315</v>
      </c>
      <c r="D3881">
        <v>165</v>
      </c>
      <c r="E3881">
        <v>0.34858</v>
      </c>
      <c r="F3881">
        <v>2.8687999999999998</v>
      </c>
      <c r="G3881">
        <v>775.06</v>
      </c>
      <c r="H3881">
        <v>1.4139999999999999</v>
      </c>
    </row>
    <row r="3882" spans="2:8" x14ac:dyDescent="0.25">
      <c r="B3882">
        <v>1.4177999999999999</v>
      </c>
      <c r="C3882">
        <v>320</v>
      </c>
      <c r="D3882">
        <v>165</v>
      </c>
      <c r="E3882">
        <v>0.34609000000000001</v>
      </c>
      <c r="F3882">
        <v>2.8894000000000002</v>
      </c>
      <c r="G3882">
        <v>778.01</v>
      </c>
      <c r="H3882">
        <v>1.4177999999999999</v>
      </c>
    </row>
    <row r="3883" spans="2:8" x14ac:dyDescent="0.25">
      <c r="B3883">
        <v>1.4216</v>
      </c>
      <c r="C3883">
        <v>325</v>
      </c>
      <c r="D3883">
        <v>165</v>
      </c>
      <c r="E3883">
        <v>0.34364</v>
      </c>
      <c r="F3883">
        <v>2.9100999999999999</v>
      </c>
      <c r="G3883">
        <v>780.97</v>
      </c>
      <c r="H3883">
        <v>1.4216</v>
      </c>
    </row>
    <row r="3884" spans="2:8" x14ac:dyDescent="0.25">
      <c r="B3884">
        <v>1.4254</v>
      </c>
      <c r="C3884">
        <v>330</v>
      </c>
      <c r="D3884">
        <v>165</v>
      </c>
      <c r="E3884">
        <v>0.34122000000000002</v>
      </c>
      <c r="F3884">
        <v>2.9306000000000001</v>
      </c>
      <c r="G3884">
        <v>783.93</v>
      </c>
      <c r="H3884">
        <v>1.4254</v>
      </c>
    </row>
    <row r="3885" spans="2:8" x14ac:dyDescent="0.25">
      <c r="B3885">
        <v>1.4291</v>
      </c>
      <c r="C3885">
        <v>335</v>
      </c>
      <c r="D3885">
        <v>165</v>
      </c>
      <c r="E3885">
        <v>0.33884999999999998</v>
      </c>
      <c r="F3885">
        <v>2.9512</v>
      </c>
      <c r="G3885">
        <v>786.9</v>
      </c>
      <c r="H3885">
        <v>1.4291</v>
      </c>
    </row>
    <row r="3886" spans="2:8" x14ac:dyDescent="0.25">
      <c r="B3886">
        <v>1.4328000000000001</v>
      </c>
      <c r="C3886">
        <v>340</v>
      </c>
      <c r="D3886">
        <v>165</v>
      </c>
      <c r="E3886">
        <v>0.33650999999999998</v>
      </c>
      <c r="F3886">
        <v>2.9716999999999998</v>
      </c>
      <c r="G3886">
        <v>789.86</v>
      </c>
      <c r="H3886">
        <v>1.4328000000000001</v>
      </c>
    </row>
    <row r="3887" spans="2:8" x14ac:dyDescent="0.25">
      <c r="B3887">
        <v>1.4365000000000001</v>
      </c>
      <c r="C3887">
        <v>345</v>
      </c>
      <c r="D3887">
        <v>165</v>
      </c>
      <c r="E3887">
        <v>0.3342</v>
      </c>
      <c r="F3887">
        <v>2.9922</v>
      </c>
      <c r="G3887">
        <v>792.83</v>
      </c>
      <c r="H3887">
        <v>1.4365000000000001</v>
      </c>
    </row>
    <row r="3888" spans="2:8" x14ac:dyDescent="0.25">
      <c r="B3888">
        <v>1.4401999999999999</v>
      </c>
      <c r="C3888">
        <v>350</v>
      </c>
      <c r="D3888">
        <v>165</v>
      </c>
      <c r="E3888">
        <v>0.33194000000000001</v>
      </c>
      <c r="F3888">
        <v>3.0125999999999999</v>
      </c>
      <c r="G3888">
        <v>795.8</v>
      </c>
      <c r="H3888">
        <v>1.4401999999999999</v>
      </c>
    </row>
    <row r="3890" spans="1:8" x14ac:dyDescent="0.25">
      <c r="A3890">
        <v>170</v>
      </c>
      <c r="B3890">
        <v>9.6466999999999997E-2</v>
      </c>
      <c r="C3890">
        <v>0</v>
      </c>
      <c r="D3890">
        <v>170</v>
      </c>
      <c r="E3890">
        <v>41.378999999999998</v>
      </c>
      <c r="F3890">
        <v>2.4167000000000001E-2</v>
      </c>
      <c r="G3890">
        <v>43.091000000000001</v>
      </c>
      <c r="H3890">
        <v>9.6466999999999997E-2</v>
      </c>
    </row>
    <row r="3891" spans="1:8" x14ac:dyDescent="0.25">
      <c r="B3891">
        <v>0.10817</v>
      </c>
      <c r="C3891">
        <v>5</v>
      </c>
      <c r="D3891">
        <v>170</v>
      </c>
      <c r="E3891">
        <v>41.152999999999999</v>
      </c>
      <c r="F3891">
        <v>2.4299999999999999E-2</v>
      </c>
      <c r="G3891">
        <v>48.5</v>
      </c>
      <c r="H3891">
        <v>0.10817</v>
      </c>
    </row>
    <row r="3892" spans="1:8" x14ac:dyDescent="0.25">
      <c r="B3892">
        <v>0.11978</v>
      </c>
      <c r="C3892">
        <v>10</v>
      </c>
      <c r="D3892">
        <v>170</v>
      </c>
      <c r="E3892">
        <v>40.924999999999997</v>
      </c>
      <c r="F3892">
        <v>2.4434999999999998E-2</v>
      </c>
      <c r="G3892">
        <v>53.926000000000002</v>
      </c>
      <c r="H3892">
        <v>0.11978</v>
      </c>
    </row>
    <row r="3893" spans="1:8" x14ac:dyDescent="0.25">
      <c r="B3893">
        <v>0.13131000000000001</v>
      </c>
      <c r="C3893">
        <v>15</v>
      </c>
      <c r="D3893">
        <v>170</v>
      </c>
      <c r="E3893">
        <v>40.695</v>
      </c>
      <c r="F3893">
        <v>2.4573000000000001E-2</v>
      </c>
      <c r="G3893">
        <v>59.368000000000002</v>
      </c>
      <c r="H3893">
        <v>0.13131000000000001</v>
      </c>
    </row>
    <row r="3894" spans="1:8" x14ac:dyDescent="0.25">
      <c r="B3894">
        <v>0.14274999999999999</v>
      </c>
      <c r="C3894">
        <v>20</v>
      </c>
      <c r="D3894">
        <v>170</v>
      </c>
      <c r="E3894">
        <v>40.463000000000001</v>
      </c>
      <c r="F3894">
        <v>2.4714E-2</v>
      </c>
      <c r="G3894">
        <v>64.826999999999998</v>
      </c>
      <c r="H3894">
        <v>0.14274999999999999</v>
      </c>
    </row>
    <row r="3895" spans="1:8" x14ac:dyDescent="0.25">
      <c r="B3895">
        <v>0.15411</v>
      </c>
      <c r="C3895">
        <v>25</v>
      </c>
      <c r="D3895">
        <v>170</v>
      </c>
      <c r="E3895">
        <v>40.228999999999999</v>
      </c>
      <c r="F3895">
        <v>2.4858000000000002E-2</v>
      </c>
      <c r="G3895">
        <v>70.304000000000002</v>
      </c>
      <c r="H3895">
        <v>0.15411</v>
      </c>
    </row>
    <row r="3896" spans="1:8" x14ac:dyDescent="0.25">
      <c r="B3896">
        <v>0.16539000000000001</v>
      </c>
      <c r="C3896">
        <v>30</v>
      </c>
      <c r="D3896">
        <v>170</v>
      </c>
      <c r="E3896">
        <v>39.993000000000002</v>
      </c>
      <c r="F3896">
        <v>2.5004999999999999E-2</v>
      </c>
      <c r="G3896">
        <v>75.798000000000002</v>
      </c>
      <c r="H3896">
        <v>0.16539000000000001</v>
      </c>
    </row>
    <row r="3897" spans="1:8" x14ac:dyDescent="0.25">
      <c r="B3897">
        <v>0.17659</v>
      </c>
      <c r="C3897">
        <v>35</v>
      </c>
      <c r="D3897">
        <v>170</v>
      </c>
      <c r="E3897">
        <v>39.753999999999998</v>
      </c>
      <c r="F3897">
        <v>2.5155E-2</v>
      </c>
      <c r="G3897">
        <v>81.31</v>
      </c>
      <c r="H3897">
        <v>0.17659</v>
      </c>
    </row>
    <row r="3898" spans="1:8" x14ac:dyDescent="0.25">
      <c r="B3898">
        <v>0.18770999999999999</v>
      </c>
      <c r="C3898">
        <v>40</v>
      </c>
      <c r="D3898">
        <v>170</v>
      </c>
      <c r="E3898">
        <v>39.512999999999998</v>
      </c>
      <c r="F3898">
        <v>2.5308000000000001E-2</v>
      </c>
      <c r="G3898">
        <v>86.840999999999994</v>
      </c>
      <c r="H3898">
        <v>0.18770999999999999</v>
      </c>
    </row>
    <row r="3899" spans="1:8" x14ac:dyDescent="0.25">
      <c r="B3899">
        <v>0.19877</v>
      </c>
      <c r="C3899">
        <v>45</v>
      </c>
      <c r="D3899">
        <v>170</v>
      </c>
      <c r="E3899">
        <v>39.268999999999998</v>
      </c>
      <c r="F3899">
        <v>2.5465999999999999E-2</v>
      </c>
      <c r="G3899">
        <v>92.391999999999996</v>
      </c>
      <c r="H3899">
        <v>0.19877</v>
      </c>
    </row>
    <row r="3900" spans="1:8" x14ac:dyDescent="0.25">
      <c r="B3900">
        <v>0.20974999999999999</v>
      </c>
      <c r="C3900">
        <v>50</v>
      </c>
      <c r="D3900">
        <v>170</v>
      </c>
      <c r="E3900">
        <v>39.021999999999998</v>
      </c>
      <c r="F3900">
        <v>2.5625999999999999E-2</v>
      </c>
      <c r="G3900">
        <v>97.962999999999994</v>
      </c>
      <c r="H3900">
        <v>0.20974999999999999</v>
      </c>
    </row>
    <row r="3901" spans="1:8" x14ac:dyDescent="0.25">
      <c r="B3901">
        <v>0.22067000000000001</v>
      </c>
      <c r="C3901">
        <v>55</v>
      </c>
      <c r="D3901">
        <v>170</v>
      </c>
      <c r="E3901">
        <v>38.773000000000003</v>
      </c>
      <c r="F3901">
        <v>2.5791000000000001E-2</v>
      </c>
      <c r="G3901">
        <v>103.56</v>
      </c>
      <c r="H3901">
        <v>0.22067000000000001</v>
      </c>
    </row>
    <row r="3902" spans="1:8" x14ac:dyDescent="0.25">
      <c r="B3902">
        <v>0.23153000000000001</v>
      </c>
      <c r="C3902">
        <v>60</v>
      </c>
      <c r="D3902">
        <v>170</v>
      </c>
      <c r="E3902">
        <v>38.521000000000001</v>
      </c>
      <c r="F3902">
        <v>2.596E-2</v>
      </c>
      <c r="G3902">
        <v>109.17</v>
      </c>
      <c r="H3902">
        <v>0.23153000000000001</v>
      </c>
    </row>
    <row r="3903" spans="1:8" x14ac:dyDescent="0.25">
      <c r="B3903">
        <v>0.24232000000000001</v>
      </c>
      <c r="C3903">
        <v>65</v>
      </c>
      <c r="D3903">
        <v>170</v>
      </c>
      <c r="E3903">
        <v>38.265999999999998</v>
      </c>
      <c r="F3903">
        <v>2.6133E-2</v>
      </c>
      <c r="G3903">
        <v>114.81</v>
      </c>
      <c r="H3903">
        <v>0.24232000000000001</v>
      </c>
    </row>
    <row r="3904" spans="1:8" x14ac:dyDescent="0.25">
      <c r="B3904">
        <v>0.25307000000000002</v>
      </c>
      <c r="C3904">
        <v>70</v>
      </c>
      <c r="D3904">
        <v>170</v>
      </c>
      <c r="E3904">
        <v>38.006999999999998</v>
      </c>
      <c r="F3904">
        <v>2.6311000000000001E-2</v>
      </c>
      <c r="G3904">
        <v>120.47</v>
      </c>
      <c r="H3904">
        <v>0.25307000000000002</v>
      </c>
    </row>
    <row r="3905" spans="2:8" x14ac:dyDescent="0.25">
      <c r="B3905">
        <v>0.26375999999999999</v>
      </c>
      <c r="C3905">
        <v>75</v>
      </c>
      <c r="D3905">
        <v>170</v>
      </c>
      <c r="E3905">
        <v>37.744999999999997</v>
      </c>
      <c r="F3905">
        <v>2.6492999999999999E-2</v>
      </c>
      <c r="G3905">
        <v>126.16</v>
      </c>
      <c r="H3905">
        <v>0.26375999999999999</v>
      </c>
    </row>
    <row r="3906" spans="2:8" x14ac:dyDescent="0.25">
      <c r="B3906">
        <v>0.27439999999999998</v>
      </c>
      <c r="C3906">
        <v>80</v>
      </c>
      <c r="D3906">
        <v>170</v>
      </c>
      <c r="E3906">
        <v>37.478999999999999</v>
      </c>
      <c r="F3906">
        <v>2.6681E-2</v>
      </c>
      <c r="G3906">
        <v>131.88</v>
      </c>
      <c r="H3906">
        <v>0.27439999999999998</v>
      </c>
    </row>
    <row r="3907" spans="2:8" x14ac:dyDescent="0.25">
      <c r="B3907">
        <v>0.28500999999999999</v>
      </c>
      <c r="C3907">
        <v>85</v>
      </c>
      <c r="D3907">
        <v>170</v>
      </c>
      <c r="E3907">
        <v>37.21</v>
      </c>
      <c r="F3907">
        <v>2.6875E-2</v>
      </c>
      <c r="G3907">
        <v>137.63</v>
      </c>
      <c r="H3907">
        <v>0.28500999999999999</v>
      </c>
    </row>
    <row r="3908" spans="2:8" x14ac:dyDescent="0.25">
      <c r="B3908">
        <v>1.1942999999999999</v>
      </c>
      <c r="C3908">
        <v>90</v>
      </c>
      <c r="D3908">
        <v>170</v>
      </c>
      <c r="E3908">
        <v>0.56094999999999995</v>
      </c>
      <c r="F3908">
        <v>1.7827</v>
      </c>
      <c r="G3908">
        <v>634.03</v>
      </c>
      <c r="H3908">
        <v>1.1942999999999999</v>
      </c>
    </row>
    <row r="3909" spans="2:8" x14ac:dyDescent="0.25">
      <c r="B3909">
        <v>1.2011000000000001</v>
      </c>
      <c r="C3909">
        <v>95</v>
      </c>
      <c r="D3909">
        <v>170</v>
      </c>
      <c r="E3909">
        <v>0.55256000000000005</v>
      </c>
      <c r="F3909">
        <v>1.8098000000000001</v>
      </c>
      <c r="G3909">
        <v>637.79999999999995</v>
      </c>
      <c r="H3909">
        <v>1.2011000000000001</v>
      </c>
    </row>
    <row r="3910" spans="2:8" x14ac:dyDescent="0.25">
      <c r="B3910">
        <v>1.2077</v>
      </c>
      <c r="C3910">
        <v>100</v>
      </c>
      <c r="D3910">
        <v>170</v>
      </c>
      <c r="E3910">
        <v>0.54457999999999995</v>
      </c>
      <c r="F3910">
        <v>1.8363</v>
      </c>
      <c r="G3910">
        <v>641.49</v>
      </c>
      <c r="H3910">
        <v>1.2077</v>
      </c>
    </row>
    <row r="3911" spans="2:8" x14ac:dyDescent="0.25">
      <c r="B3911">
        <v>1.2141999999999999</v>
      </c>
      <c r="C3911">
        <v>105</v>
      </c>
      <c r="D3911">
        <v>170</v>
      </c>
      <c r="E3911">
        <v>0.53695999999999999</v>
      </c>
      <c r="F3911">
        <v>1.8623000000000001</v>
      </c>
      <c r="G3911">
        <v>645.11</v>
      </c>
      <c r="H3911">
        <v>1.2141999999999999</v>
      </c>
    </row>
    <row r="3912" spans="2:8" x14ac:dyDescent="0.25">
      <c r="B3912">
        <v>1.2203999999999999</v>
      </c>
      <c r="C3912">
        <v>110</v>
      </c>
      <c r="D3912">
        <v>170</v>
      </c>
      <c r="E3912">
        <v>0.52968000000000004</v>
      </c>
      <c r="F3912">
        <v>1.8878999999999999</v>
      </c>
      <c r="G3912">
        <v>648.66</v>
      </c>
      <c r="H3912">
        <v>1.2203999999999999</v>
      </c>
    </row>
    <row r="3913" spans="2:8" x14ac:dyDescent="0.25">
      <c r="B3913">
        <v>1.2264999999999999</v>
      </c>
      <c r="C3913">
        <v>115</v>
      </c>
      <c r="D3913">
        <v>170</v>
      </c>
      <c r="E3913">
        <v>0.52268999999999999</v>
      </c>
      <c r="F3913">
        <v>1.9132</v>
      </c>
      <c r="G3913">
        <v>652.15</v>
      </c>
      <c r="H3913">
        <v>1.2264999999999999</v>
      </c>
    </row>
    <row r="3914" spans="2:8" x14ac:dyDescent="0.25">
      <c r="B3914">
        <v>1.2324999999999999</v>
      </c>
      <c r="C3914">
        <v>120</v>
      </c>
      <c r="D3914">
        <v>170</v>
      </c>
      <c r="E3914">
        <v>0.51598999999999995</v>
      </c>
      <c r="F3914">
        <v>1.9379999999999999</v>
      </c>
      <c r="G3914">
        <v>655.59</v>
      </c>
      <c r="H3914">
        <v>1.2324999999999999</v>
      </c>
    </row>
    <row r="3915" spans="2:8" x14ac:dyDescent="0.25">
      <c r="B3915">
        <v>1.2383</v>
      </c>
      <c r="C3915">
        <v>125</v>
      </c>
      <c r="D3915">
        <v>170</v>
      </c>
      <c r="E3915">
        <v>0.50953000000000004</v>
      </c>
      <c r="F3915">
        <v>1.9625999999999999</v>
      </c>
      <c r="G3915">
        <v>658.98</v>
      </c>
      <c r="H3915">
        <v>1.2383</v>
      </c>
    </row>
    <row r="3916" spans="2:8" x14ac:dyDescent="0.25">
      <c r="B3916">
        <v>1.244</v>
      </c>
      <c r="C3916">
        <v>130</v>
      </c>
      <c r="D3916">
        <v>170</v>
      </c>
      <c r="E3916">
        <v>0.50331000000000004</v>
      </c>
      <c r="F3916">
        <v>1.9867999999999999</v>
      </c>
      <c r="G3916">
        <v>662.33</v>
      </c>
      <c r="H3916">
        <v>1.244</v>
      </c>
    </row>
    <row r="3917" spans="2:8" x14ac:dyDescent="0.25">
      <c r="B3917">
        <v>1.2496</v>
      </c>
      <c r="C3917">
        <v>135</v>
      </c>
      <c r="D3917">
        <v>170</v>
      </c>
      <c r="E3917">
        <v>0.49731999999999998</v>
      </c>
      <c r="F3917">
        <v>2.0108000000000001</v>
      </c>
      <c r="G3917">
        <v>665.64</v>
      </c>
      <c r="H3917">
        <v>1.2496</v>
      </c>
    </row>
    <row r="3918" spans="2:8" x14ac:dyDescent="0.25">
      <c r="B3918">
        <v>1.2551000000000001</v>
      </c>
      <c r="C3918">
        <v>140</v>
      </c>
      <c r="D3918">
        <v>170</v>
      </c>
      <c r="E3918">
        <v>0.49152000000000001</v>
      </c>
      <c r="F3918">
        <v>2.0345</v>
      </c>
      <c r="G3918">
        <v>668.91</v>
      </c>
      <c r="H3918">
        <v>1.2551000000000001</v>
      </c>
    </row>
    <row r="3919" spans="2:8" x14ac:dyDescent="0.25">
      <c r="B3919">
        <v>1.2605</v>
      </c>
      <c r="C3919">
        <v>145</v>
      </c>
      <c r="D3919">
        <v>170</v>
      </c>
      <c r="E3919">
        <v>0.48591000000000001</v>
      </c>
      <c r="F3919">
        <v>2.0579999999999998</v>
      </c>
      <c r="G3919">
        <v>672.16</v>
      </c>
      <c r="H3919">
        <v>1.2605</v>
      </c>
    </row>
    <row r="3920" spans="2:8" x14ac:dyDescent="0.25">
      <c r="B3920">
        <v>1.2658</v>
      </c>
      <c r="C3920">
        <v>150</v>
      </c>
      <c r="D3920">
        <v>170</v>
      </c>
      <c r="E3920">
        <v>0.48048000000000002</v>
      </c>
      <c r="F3920">
        <v>2.0811999999999999</v>
      </c>
      <c r="G3920">
        <v>675.37</v>
      </c>
      <c r="H3920">
        <v>1.2658</v>
      </c>
    </row>
    <row r="3921" spans="2:8" x14ac:dyDescent="0.25">
      <c r="B3921">
        <v>1.2709999999999999</v>
      </c>
      <c r="C3921">
        <v>155</v>
      </c>
      <c r="D3921">
        <v>170</v>
      </c>
      <c r="E3921">
        <v>0.47521999999999998</v>
      </c>
      <c r="F3921">
        <v>2.1042999999999998</v>
      </c>
      <c r="G3921">
        <v>678.56</v>
      </c>
      <c r="H3921">
        <v>1.2709999999999999</v>
      </c>
    </row>
    <row r="3922" spans="2:8" x14ac:dyDescent="0.25">
      <c r="B3922">
        <v>1.2761</v>
      </c>
      <c r="C3922">
        <v>160</v>
      </c>
      <c r="D3922">
        <v>170</v>
      </c>
      <c r="E3922">
        <v>0.47010999999999997</v>
      </c>
      <c r="F3922">
        <v>2.1271</v>
      </c>
      <c r="G3922">
        <v>681.72</v>
      </c>
      <c r="H3922">
        <v>1.2761</v>
      </c>
    </row>
    <row r="3923" spans="2:8" x14ac:dyDescent="0.25">
      <c r="B3923">
        <v>1.2810999999999999</v>
      </c>
      <c r="C3923">
        <v>165</v>
      </c>
      <c r="D3923">
        <v>170</v>
      </c>
      <c r="E3923">
        <v>0.46515000000000001</v>
      </c>
      <c r="F3923">
        <v>2.1497999999999999</v>
      </c>
      <c r="G3923">
        <v>684.86</v>
      </c>
      <c r="H3923">
        <v>1.2810999999999999</v>
      </c>
    </row>
    <row r="3924" spans="2:8" x14ac:dyDescent="0.25">
      <c r="B3924">
        <v>1.2861</v>
      </c>
      <c r="C3924">
        <v>170</v>
      </c>
      <c r="D3924">
        <v>170</v>
      </c>
      <c r="E3924">
        <v>0.46033000000000002</v>
      </c>
      <c r="F3924">
        <v>2.1722999999999999</v>
      </c>
      <c r="G3924">
        <v>687.98</v>
      </c>
      <c r="H3924">
        <v>1.2861</v>
      </c>
    </row>
    <row r="3925" spans="2:8" x14ac:dyDescent="0.25">
      <c r="B3925">
        <v>1.2909999999999999</v>
      </c>
      <c r="C3925">
        <v>175</v>
      </c>
      <c r="D3925">
        <v>170</v>
      </c>
      <c r="E3925">
        <v>0.45563999999999999</v>
      </c>
      <c r="F3925">
        <v>2.1947000000000001</v>
      </c>
      <c r="G3925">
        <v>691.08</v>
      </c>
      <c r="H3925">
        <v>1.2909999999999999</v>
      </c>
    </row>
    <row r="3926" spans="2:8" x14ac:dyDescent="0.25">
      <c r="B3926">
        <v>1.2959000000000001</v>
      </c>
      <c r="C3926">
        <v>180</v>
      </c>
      <c r="D3926">
        <v>170</v>
      </c>
      <c r="E3926">
        <v>0.45107999999999998</v>
      </c>
      <c r="F3926">
        <v>2.2168999999999999</v>
      </c>
      <c r="G3926">
        <v>694.17</v>
      </c>
      <c r="H3926">
        <v>1.2959000000000001</v>
      </c>
    </row>
    <row r="3927" spans="2:8" x14ac:dyDescent="0.25">
      <c r="B3927">
        <v>1.3007</v>
      </c>
      <c r="C3927">
        <v>185</v>
      </c>
      <c r="D3927">
        <v>170</v>
      </c>
      <c r="E3927">
        <v>0.44663000000000003</v>
      </c>
      <c r="F3927">
        <v>2.2389999999999999</v>
      </c>
      <c r="G3927">
        <v>697.24</v>
      </c>
      <c r="H3927">
        <v>1.3007</v>
      </c>
    </row>
    <row r="3928" spans="2:8" x14ac:dyDescent="0.25">
      <c r="B3928">
        <v>1.3053999999999999</v>
      </c>
      <c r="C3928">
        <v>190</v>
      </c>
      <c r="D3928">
        <v>170</v>
      </c>
      <c r="E3928">
        <v>0.44230000000000003</v>
      </c>
      <c r="F3928">
        <v>2.2608999999999999</v>
      </c>
      <c r="G3928">
        <v>700.29</v>
      </c>
      <c r="H3928">
        <v>1.3053999999999999</v>
      </c>
    </row>
    <row r="3929" spans="2:8" x14ac:dyDescent="0.25">
      <c r="B3929">
        <v>1.31</v>
      </c>
      <c r="C3929">
        <v>195</v>
      </c>
      <c r="D3929">
        <v>170</v>
      </c>
      <c r="E3929">
        <v>0.43807000000000001</v>
      </c>
      <c r="F3929">
        <v>2.2827000000000002</v>
      </c>
      <c r="G3929">
        <v>703.34</v>
      </c>
      <c r="H3929">
        <v>1.31</v>
      </c>
    </row>
    <row r="3930" spans="2:8" x14ac:dyDescent="0.25">
      <c r="B3930">
        <v>1.3147</v>
      </c>
      <c r="C3930">
        <v>200</v>
      </c>
      <c r="D3930">
        <v>170</v>
      </c>
      <c r="E3930">
        <v>0.43395</v>
      </c>
      <c r="F3930">
        <v>2.3043999999999998</v>
      </c>
      <c r="G3930">
        <v>706.37</v>
      </c>
      <c r="H3930">
        <v>1.3147</v>
      </c>
    </row>
    <row r="3931" spans="2:8" x14ac:dyDescent="0.25">
      <c r="B3931">
        <v>1.3191999999999999</v>
      </c>
      <c r="C3931">
        <v>205</v>
      </c>
      <c r="D3931">
        <v>170</v>
      </c>
      <c r="E3931">
        <v>0.42992000000000002</v>
      </c>
      <c r="F3931">
        <v>2.3260000000000001</v>
      </c>
      <c r="G3931">
        <v>709.39</v>
      </c>
      <c r="H3931">
        <v>1.3191999999999999</v>
      </c>
    </row>
    <row r="3932" spans="2:8" x14ac:dyDescent="0.25">
      <c r="B3932">
        <v>1.3237000000000001</v>
      </c>
      <c r="C3932">
        <v>210</v>
      </c>
      <c r="D3932">
        <v>170</v>
      </c>
      <c r="E3932">
        <v>0.42598000000000003</v>
      </c>
      <c r="F3932">
        <v>2.3475000000000001</v>
      </c>
      <c r="G3932">
        <v>712.41</v>
      </c>
      <c r="H3932">
        <v>1.3237000000000001</v>
      </c>
    </row>
    <row r="3933" spans="2:8" x14ac:dyDescent="0.25">
      <c r="B3933">
        <v>1.3282</v>
      </c>
      <c r="C3933">
        <v>215</v>
      </c>
      <c r="D3933">
        <v>170</v>
      </c>
      <c r="E3933">
        <v>0.42214000000000002</v>
      </c>
      <c r="F3933">
        <v>2.3689</v>
      </c>
      <c r="G3933">
        <v>715.41</v>
      </c>
      <c r="H3933">
        <v>1.3282</v>
      </c>
    </row>
    <row r="3934" spans="2:8" x14ac:dyDescent="0.25">
      <c r="B3934">
        <v>1.3326</v>
      </c>
      <c r="C3934">
        <v>220</v>
      </c>
      <c r="D3934">
        <v>170</v>
      </c>
      <c r="E3934">
        <v>0.41837999999999997</v>
      </c>
      <c r="F3934">
        <v>2.3902000000000001</v>
      </c>
      <c r="G3934">
        <v>718.41</v>
      </c>
      <c r="H3934">
        <v>1.3326</v>
      </c>
    </row>
    <row r="3935" spans="2:8" x14ac:dyDescent="0.25">
      <c r="B3935">
        <v>1.337</v>
      </c>
      <c r="C3935">
        <v>225</v>
      </c>
      <c r="D3935">
        <v>170</v>
      </c>
      <c r="E3935">
        <v>0.41470000000000001</v>
      </c>
      <c r="F3935">
        <v>2.4114</v>
      </c>
      <c r="G3935">
        <v>721.4</v>
      </c>
      <c r="H3935">
        <v>1.337</v>
      </c>
    </row>
    <row r="3936" spans="2:8" x14ac:dyDescent="0.25">
      <c r="B3936">
        <v>1.3413999999999999</v>
      </c>
      <c r="C3936">
        <v>230</v>
      </c>
      <c r="D3936">
        <v>170</v>
      </c>
      <c r="E3936">
        <v>0.41110000000000002</v>
      </c>
      <c r="F3936">
        <v>2.4325000000000001</v>
      </c>
      <c r="G3936">
        <v>724.39</v>
      </c>
      <c r="H3936">
        <v>1.3413999999999999</v>
      </c>
    </row>
    <row r="3937" spans="2:8" x14ac:dyDescent="0.25">
      <c r="B3937">
        <v>1.3456999999999999</v>
      </c>
      <c r="C3937">
        <v>235</v>
      </c>
      <c r="D3937">
        <v>170</v>
      </c>
      <c r="E3937">
        <v>0.40756999999999999</v>
      </c>
      <c r="F3937">
        <v>2.4535999999999998</v>
      </c>
      <c r="G3937">
        <v>727.37</v>
      </c>
      <c r="H3937">
        <v>1.3456999999999999</v>
      </c>
    </row>
    <row r="3938" spans="2:8" x14ac:dyDescent="0.25">
      <c r="B3938">
        <v>1.3499000000000001</v>
      </c>
      <c r="C3938">
        <v>240</v>
      </c>
      <c r="D3938">
        <v>170</v>
      </c>
      <c r="E3938">
        <v>0.40411999999999998</v>
      </c>
      <c r="F3938">
        <v>2.4744999999999999</v>
      </c>
      <c r="G3938">
        <v>730.34</v>
      </c>
      <c r="H3938">
        <v>1.3499000000000001</v>
      </c>
    </row>
    <row r="3939" spans="2:8" x14ac:dyDescent="0.25">
      <c r="B3939">
        <v>1.3542000000000001</v>
      </c>
      <c r="C3939">
        <v>245</v>
      </c>
      <c r="D3939">
        <v>170</v>
      </c>
      <c r="E3939">
        <v>0.40072999999999998</v>
      </c>
      <c r="F3939">
        <v>2.4954000000000001</v>
      </c>
      <c r="G3939">
        <v>733.31</v>
      </c>
      <c r="H3939">
        <v>1.3542000000000001</v>
      </c>
    </row>
    <row r="3940" spans="2:8" x14ac:dyDescent="0.25">
      <c r="B3940">
        <v>1.3584000000000001</v>
      </c>
      <c r="C3940">
        <v>250</v>
      </c>
      <c r="D3940">
        <v>170</v>
      </c>
      <c r="E3940">
        <v>0.39742</v>
      </c>
      <c r="F3940">
        <v>2.5162</v>
      </c>
      <c r="G3940">
        <v>736.28</v>
      </c>
      <c r="H3940">
        <v>1.3584000000000001</v>
      </c>
    </row>
    <row r="3941" spans="2:8" x14ac:dyDescent="0.25">
      <c r="B3941">
        <v>1.3625</v>
      </c>
      <c r="C3941">
        <v>255</v>
      </c>
      <c r="D3941">
        <v>170</v>
      </c>
      <c r="E3941">
        <v>0.39417000000000002</v>
      </c>
      <c r="F3941">
        <v>2.5369999999999999</v>
      </c>
      <c r="G3941">
        <v>739.25</v>
      </c>
      <c r="H3941">
        <v>1.3625</v>
      </c>
    </row>
    <row r="3942" spans="2:8" x14ac:dyDescent="0.25">
      <c r="B3942">
        <v>1.3667</v>
      </c>
      <c r="C3942">
        <v>260</v>
      </c>
      <c r="D3942">
        <v>170</v>
      </c>
      <c r="E3942">
        <v>0.39097999999999999</v>
      </c>
      <c r="F3942">
        <v>2.5577000000000001</v>
      </c>
      <c r="G3942">
        <v>742.21</v>
      </c>
      <c r="H3942">
        <v>1.3667</v>
      </c>
    </row>
    <row r="3943" spans="2:8" x14ac:dyDescent="0.25">
      <c r="B3943">
        <v>1.3708</v>
      </c>
      <c r="C3943">
        <v>265</v>
      </c>
      <c r="D3943">
        <v>170</v>
      </c>
      <c r="E3943">
        <v>0.38784999999999997</v>
      </c>
      <c r="F3943">
        <v>2.5783</v>
      </c>
      <c r="G3943">
        <v>745.17</v>
      </c>
      <c r="H3943">
        <v>1.3708</v>
      </c>
    </row>
    <row r="3944" spans="2:8" x14ac:dyDescent="0.25">
      <c r="B3944">
        <v>1.3748</v>
      </c>
      <c r="C3944">
        <v>270</v>
      </c>
      <c r="D3944">
        <v>170</v>
      </c>
      <c r="E3944">
        <v>0.38478000000000001</v>
      </c>
      <c r="F3944">
        <v>2.5989</v>
      </c>
      <c r="G3944">
        <v>748.13</v>
      </c>
      <c r="H3944">
        <v>1.3748</v>
      </c>
    </row>
    <row r="3945" spans="2:8" x14ac:dyDescent="0.25">
      <c r="B3945">
        <v>1.3789</v>
      </c>
      <c r="C3945">
        <v>275</v>
      </c>
      <c r="D3945">
        <v>170</v>
      </c>
      <c r="E3945">
        <v>0.38177</v>
      </c>
      <c r="F3945">
        <v>2.6194000000000002</v>
      </c>
      <c r="G3945">
        <v>751.08</v>
      </c>
      <c r="H3945">
        <v>1.3789</v>
      </c>
    </row>
    <row r="3946" spans="2:8" x14ac:dyDescent="0.25">
      <c r="B3946">
        <v>1.3829</v>
      </c>
      <c r="C3946">
        <v>280</v>
      </c>
      <c r="D3946">
        <v>170</v>
      </c>
      <c r="E3946">
        <v>0.37880999999999998</v>
      </c>
      <c r="F3946">
        <v>2.6398000000000001</v>
      </c>
      <c r="G3946">
        <v>754.04</v>
      </c>
      <c r="H3946">
        <v>1.3829</v>
      </c>
    </row>
    <row r="3947" spans="2:8" x14ac:dyDescent="0.25">
      <c r="B3947">
        <v>1.3869</v>
      </c>
      <c r="C3947">
        <v>285</v>
      </c>
      <c r="D3947">
        <v>170</v>
      </c>
      <c r="E3947">
        <v>0.37590000000000001</v>
      </c>
      <c r="F3947">
        <v>2.6602999999999999</v>
      </c>
      <c r="G3947">
        <v>757</v>
      </c>
      <c r="H3947">
        <v>1.3869</v>
      </c>
    </row>
    <row r="3948" spans="2:8" x14ac:dyDescent="0.25">
      <c r="B3948">
        <v>1.3908</v>
      </c>
      <c r="C3948">
        <v>290</v>
      </c>
      <c r="D3948">
        <v>170</v>
      </c>
      <c r="E3948">
        <v>0.37304999999999999</v>
      </c>
      <c r="F3948">
        <v>2.6806000000000001</v>
      </c>
      <c r="G3948">
        <v>759.95</v>
      </c>
      <c r="H3948">
        <v>1.3908</v>
      </c>
    </row>
    <row r="3949" spans="2:8" x14ac:dyDescent="0.25">
      <c r="B3949">
        <v>1.3947000000000001</v>
      </c>
      <c r="C3949">
        <v>295</v>
      </c>
      <c r="D3949">
        <v>170</v>
      </c>
      <c r="E3949">
        <v>0.37024000000000001</v>
      </c>
      <c r="F3949">
        <v>2.7008999999999999</v>
      </c>
      <c r="G3949">
        <v>762.91</v>
      </c>
      <c r="H3949">
        <v>1.3947000000000001</v>
      </c>
    </row>
    <row r="3950" spans="2:8" x14ac:dyDescent="0.25">
      <c r="B3950">
        <v>1.3987000000000001</v>
      </c>
      <c r="C3950">
        <v>300</v>
      </c>
      <c r="D3950">
        <v>170</v>
      </c>
      <c r="E3950">
        <v>0.36748999999999998</v>
      </c>
      <c r="F3950">
        <v>2.7212000000000001</v>
      </c>
      <c r="G3950">
        <v>765.87</v>
      </c>
      <c r="H3950">
        <v>1.3987000000000001</v>
      </c>
    </row>
    <row r="3951" spans="2:8" x14ac:dyDescent="0.25">
      <c r="B3951">
        <v>1.4025000000000001</v>
      </c>
      <c r="C3951">
        <v>305</v>
      </c>
      <c r="D3951">
        <v>170</v>
      </c>
      <c r="E3951">
        <v>0.36477999999999999</v>
      </c>
      <c r="F3951">
        <v>2.7414000000000001</v>
      </c>
      <c r="G3951">
        <v>768.83</v>
      </c>
      <c r="H3951">
        <v>1.4025000000000001</v>
      </c>
    </row>
    <row r="3952" spans="2:8" x14ac:dyDescent="0.25">
      <c r="B3952">
        <v>1.4064000000000001</v>
      </c>
      <c r="C3952">
        <v>310</v>
      </c>
      <c r="D3952">
        <v>170</v>
      </c>
      <c r="E3952">
        <v>0.36210999999999999</v>
      </c>
      <c r="F3952">
        <v>2.7616000000000001</v>
      </c>
      <c r="G3952">
        <v>771.78</v>
      </c>
      <c r="H3952">
        <v>1.4064000000000001</v>
      </c>
    </row>
    <row r="3953" spans="1:8" x14ac:dyDescent="0.25">
      <c r="B3953">
        <v>1.4101999999999999</v>
      </c>
      <c r="C3953">
        <v>315</v>
      </c>
      <c r="D3953">
        <v>170</v>
      </c>
      <c r="E3953">
        <v>0.35948999999999998</v>
      </c>
      <c r="F3953">
        <v>2.7816999999999998</v>
      </c>
      <c r="G3953">
        <v>774.75</v>
      </c>
      <c r="H3953">
        <v>1.4101999999999999</v>
      </c>
    </row>
    <row r="3954" spans="1:8" x14ac:dyDescent="0.25">
      <c r="B3954">
        <v>1.4139999999999999</v>
      </c>
      <c r="C3954">
        <v>320</v>
      </c>
      <c r="D3954">
        <v>170</v>
      </c>
      <c r="E3954">
        <v>0.35691000000000001</v>
      </c>
      <c r="F3954">
        <v>2.8018000000000001</v>
      </c>
      <c r="G3954">
        <v>777.71</v>
      </c>
      <c r="H3954">
        <v>1.4139999999999999</v>
      </c>
    </row>
    <row r="3955" spans="1:8" x14ac:dyDescent="0.25">
      <c r="B3955">
        <v>1.4177999999999999</v>
      </c>
      <c r="C3955">
        <v>325</v>
      </c>
      <c r="D3955">
        <v>170</v>
      </c>
      <c r="E3955">
        <v>0.35437000000000002</v>
      </c>
      <c r="F3955">
        <v>2.8218999999999999</v>
      </c>
      <c r="G3955">
        <v>780.67</v>
      </c>
      <c r="H3955">
        <v>1.4177999999999999</v>
      </c>
    </row>
    <row r="3956" spans="1:8" x14ac:dyDescent="0.25">
      <c r="B3956">
        <v>1.4216</v>
      </c>
      <c r="C3956">
        <v>330</v>
      </c>
      <c r="D3956">
        <v>170</v>
      </c>
      <c r="E3956">
        <v>0.35188000000000003</v>
      </c>
      <c r="F3956">
        <v>2.8418999999999999</v>
      </c>
      <c r="G3956">
        <v>783.64</v>
      </c>
      <c r="H3956">
        <v>1.4216</v>
      </c>
    </row>
    <row r="3957" spans="1:8" x14ac:dyDescent="0.25">
      <c r="B3957">
        <v>1.4253</v>
      </c>
      <c r="C3957">
        <v>335</v>
      </c>
      <c r="D3957">
        <v>170</v>
      </c>
      <c r="E3957">
        <v>0.34942000000000001</v>
      </c>
      <c r="F3957">
        <v>2.8618999999999999</v>
      </c>
      <c r="G3957">
        <v>786.61</v>
      </c>
      <c r="H3957">
        <v>1.4253</v>
      </c>
    </row>
    <row r="3958" spans="1:8" x14ac:dyDescent="0.25">
      <c r="B3958">
        <v>1.4291</v>
      </c>
      <c r="C3958">
        <v>340</v>
      </c>
      <c r="D3958">
        <v>170</v>
      </c>
      <c r="E3958">
        <v>0.34699999999999998</v>
      </c>
      <c r="F3958">
        <v>2.8818000000000001</v>
      </c>
      <c r="G3958">
        <v>789.58</v>
      </c>
      <c r="H3958">
        <v>1.4291</v>
      </c>
    </row>
    <row r="3959" spans="1:8" x14ac:dyDescent="0.25">
      <c r="B3959">
        <v>1.4328000000000001</v>
      </c>
      <c r="C3959">
        <v>345</v>
      </c>
      <c r="D3959">
        <v>170</v>
      </c>
      <c r="E3959">
        <v>0.34461999999999998</v>
      </c>
      <c r="F3959">
        <v>2.9018000000000002</v>
      </c>
      <c r="G3959">
        <v>792.55</v>
      </c>
      <c r="H3959">
        <v>1.4328000000000001</v>
      </c>
    </row>
    <row r="3960" spans="1:8" x14ac:dyDescent="0.25">
      <c r="B3960">
        <v>1.4365000000000001</v>
      </c>
      <c r="C3960">
        <v>350</v>
      </c>
      <c r="D3960">
        <v>170</v>
      </c>
      <c r="E3960">
        <v>0.34227000000000002</v>
      </c>
      <c r="F3960">
        <v>2.9216000000000002</v>
      </c>
      <c r="G3960">
        <v>795.53</v>
      </c>
      <c r="H3960">
        <v>1.4365000000000001</v>
      </c>
    </row>
    <row r="3962" spans="1:8" x14ac:dyDescent="0.25">
      <c r="A3962">
        <v>175</v>
      </c>
      <c r="B3962">
        <v>9.6443000000000001E-2</v>
      </c>
      <c r="C3962">
        <v>0</v>
      </c>
      <c r="D3962">
        <v>175</v>
      </c>
      <c r="E3962">
        <v>41.38</v>
      </c>
      <c r="F3962">
        <v>2.4166E-2</v>
      </c>
      <c r="G3962">
        <v>43.101999999999997</v>
      </c>
      <c r="H3962">
        <v>9.6443000000000001E-2</v>
      </c>
    </row>
    <row r="3963" spans="1:8" x14ac:dyDescent="0.25">
      <c r="B3963">
        <v>0.10815</v>
      </c>
      <c r="C3963">
        <v>5</v>
      </c>
      <c r="D3963">
        <v>175</v>
      </c>
      <c r="E3963">
        <v>41.154000000000003</v>
      </c>
      <c r="F3963">
        <v>2.4299000000000001E-2</v>
      </c>
      <c r="G3963">
        <v>48.511000000000003</v>
      </c>
      <c r="H3963">
        <v>0.10815</v>
      </c>
    </row>
    <row r="3964" spans="1:8" x14ac:dyDescent="0.25">
      <c r="B3964">
        <v>0.11976000000000001</v>
      </c>
      <c r="C3964">
        <v>10</v>
      </c>
      <c r="D3964">
        <v>175</v>
      </c>
      <c r="E3964">
        <v>40.926000000000002</v>
      </c>
      <c r="F3964">
        <v>2.4434000000000001E-2</v>
      </c>
      <c r="G3964">
        <v>53.936999999999998</v>
      </c>
      <c r="H3964">
        <v>0.11976000000000001</v>
      </c>
    </row>
    <row r="3965" spans="1:8" x14ac:dyDescent="0.25">
      <c r="B3965">
        <v>0.13128000000000001</v>
      </c>
      <c r="C3965">
        <v>15</v>
      </c>
      <c r="D3965">
        <v>175</v>
      </c>
      <c r="E3965">
        <v>40.695999999999998</v>
      </c>
      <c r="F3965">
        <v>2.4572E-2</v>
      </c>
      <c r="G3965">
        <v>59.378999999999998</v>
      </c>
      <c r="H3965">
        <v>0.13128000000000001</v>
      </c>
    </row>
    <row r="3966" spans="1:8" x14ac:dyDescent="0.25">
      <c r="B3966">
        <v>0.14272000000000001</v>
      </c>
      <c r="C3966">
        <v>20</v>
      </c>
      <c r="D3966">
        <v>175</v>
      </c>
      <c r="E3966">
        <v>40.465000000000003</v>
      </c>
      <c r="F3966">
        <v>2.4712999999999999E-2</v>
      </c>
      <c r="G3966">
        <v>64.837000000000003</v>
      </c>
      <c r="H3966">
        <v>0.14272000000000001</v>
      </c>
    </row>
    <row r="3967" spans="1:8" x14ac:dyDescent="0.25">
      <c r="B3967">
        <v>0.15407999999999999</v>
      </c>
      <c r="C3967">
        <v>25</v>
      </c>
      <c r="D3967">
        <v>175</v>
      </c>
      <c r="E3967">
        <v>40.229999999999997</v>
      </c>
      <c r="F3967">
        <v>2.4857000000000001E-2</v>
      </c>
      <c r="G3967">
        <v>70.313999999999993</v>
      </c>
      <c r="H3967">
        <v>0.15407999999999999</v>
      </c>
    </row>
    <row r="3968" spans="1:8" x14ac:dyDescent="0.25">
      <c r="B3968">
        <v>0.16536000000000001</v>
      </c>
      <c r="C3968">
        <v>30</v>
      </c>
      <c r="D3968">
        <v>175</v>
      </c>
      <c r="E3968">
        <v>39.994</v>
      </c>
      <c r="F3968">
        <v>2.5003999999999998E-2</v>
      </c>
      <c r="G3968">
        <v>75.807000000000002</v>
      </c>
      <c r="H3968">
        <v>0.16536000000000001</v>
      </c>
    </row>
    <row r="3969" spans="2:8" x14ac:dyDescent="0.25">
      <c r="B3969">
        <v>0.17655999999999999</v>
      </c>
      <c r="C3969">
        <v>35</v>
      </c>
      <c r="D3969">
        <v>175</v>
      </c>
      <c r="E3969">
        <v>39.755000000000003</v>
      </c>
      <c r="F3969">
        <v>2.5153999999999999E-2</v>
      </c>
      <c r="G3969">
        <v>81.319000000000003</v>
      </c>
      <c r="H3969">
        <v>0.17655999999999999</v>
      </c>
    </row>
    <row r="3970" spans="2:8" x14ac:dyDescent="0.25">
      <c r="B3970">
        <v>0.18768000000000001</v>
      </c>
      <c r="C3970">
        <v>40</v>
      </c>
      <c r="D3970">
        <v>175</v>
      </c>
      <c r="E3970">
        <v>39.514000000000003</v>
      </c>
      <c r="F3970">
        <v>2.5307E-2</v>
      </c>
      <c r="G3970">
        <v>86.85</v>
      </c>
      <c r="H3970">
        <v>0.18768000000000001</v>
      </c>
    </row>
    <row r="3971" spans="2:8" x14ac:dyDescent="0.25">
      <c r="B3971">
        <v>0.19874</v>
      </c>
      <c r="C3971">
        <v>45</v>
      </c>
      <c r="D3971">
        <v>175</v>
      </c>
      <c r="E3971">
        <v>39.270000000000003</v>
      </c>
      <c r="F3971">
        <v>2.5464000000000001E-2</v>
      </c>
      <c r="G3971">
        <v>92.4</v>
      </c>
      <c r="H3971">
        <v>0.19874</v>
      </c>
    </row>
    <row r="3972" spans="2:8" x14ac:dyDescent="0.25">
      <c r="B3972">
        <v>0.20971999999999999</v>
      </c>
      <c r="C3972">
        <v>50</v>
      </c>
      <c r="D3972">
        <v>175</v>
      </c>
      <c r="E3972">
        <v>39.024000000000001</v>
      </c>
      <c r="F3972">
        <v>2.5624999999999998E-2</v>
      </c>
      <c r="G3972">
        <v>97.971000000000004</v>
      </c>
      <c r="H3972">
        <v>0.20971999999999999</v>
      </c>
    </row>
    <row r="3973" spans="2:8" x14ac:dyDescent="0.25">
      <c r="B3973">
        <v>0.22064</v>
      </c>
      <c r="C3973">
        <v>55</v>
      </c>
      <c r="D3973">
        <v>175</v>
      </c>
      <c r="E3973">
        <v>38.774999999999999</v>
      </c>
      <c r="F3973">
        <v>2.579E-2</v>
      </c>
      <c r="G3973">
        <v>103.56</v>
      </c>
      <c r="H3973">
        <v>0.22064</v>
      </c>
    </row>
    <row r="3974" spans="2:8" x14ac:dyDescent="0.25">
      <c r="B3974">
        <v>0.23149</v>
      </c>
      <c r="C3974">
        <v>60</v>
      </c>
      <c r="D3974">
        <v>175</v>
      </c>
      <c r="E3974">
        <v>38.523000000000003</v>
      </c>
      <c r="F3974">
        <v>2.5958999999999999E-2</v>
      </c>
      <c r="G3974">
        <v>109.18</v>
      </c>
      <c r="H3974">
        <v>0.23149</v>
      </c>
    </row>
    <row r="3975" spans="2:8" x14ac:dyDescent="0.25">
      <c r="B3975">
        <v>0.24229000000000001</v>
      </c>
      <c r="C3975">
        <v>65</v>
      </c>
      <c r="D3975">
        <v>175</v>
      </c>
      <c r="E3975">
        <v>38.268000000000001</v>
      </c>
      <c r="F3975">
        <v>2.6131999999999999E-2</v>
      </c>
      <c r="G3975">
        <v>114.82</v>
      </c>
      <c r="H3975">
        <v>0.24229000000000001</v>
      </c>
    </row>
    <row r="3976" spans="2:8" x14ac:dyDescent="0.25">
      <c r="B3976">
        <v>0.25302999999999998</v>
      </c>
      <c r="C3976">
        <v>70</v>
      </c>
      <c r="D3976">
        <v>175</v>
      </c>
      <c r="E3976">
        <v>38.009</v>
      </c>
      <c r="F3976">
        <v>2.6308999999999999E-2</v>
      </c>
      <c r="G3976">
        <v>120.48</v>
      </c>
      <c r="H3976">
        <v>0.25302999999999998</v>
      </c>
    </row>
    <row r="3977" spans="2:8" x14ac:dyDescent="0.25">
      <c r="B3977">
        <v>0.26373000000000002</v>
      </c>
      <c r="C3977">
        <v>75</v>
      </c>
      <c r="D3977">
        <v>175</v>
      </c>
      <c r="E3977">
        <v>37.747</v>
      </c>
      <c r="F3977">
        <v>2.6492000000000002E-2</v>
      </c>
      <c r="G3977">
        <v>126.17</v>
      </c>
      <c r="H3977">
        <v>0.26373000000000002</v>
      </c>
    </row>
    <row r="3978" spans="2:8" x14ac:dyDescent="0.25">
      <c r="B3978">
        <v>0.27437</v>
      </c>
      <c r="C3978">
        <v>80</v>
      </c>
      <c r="D3978">
        <v>175</v>
      </c>
      <c r="E3978">
        <v>37.481999999999999</v>
      </c>
      <c r="F3978">
        <v>2.6679999999999999E-2</v>
      </c>
      <c r="G3978">
        <v>131.88999999999999</v>
      </c>
      <c r="H3978">
        <v>0.27437</v>
      </c>
    </row>
    <row r="3979" spans="2:8" x14ac:dyDescent="0.25">
      <c r="B3979">
        <v>0.28497</v>
      </c>
      <c r="C3979">
        <v>85</v>
      </c>
      <c r="D3979">
        <v>175</v>
      </c>
      <c r="E3979">
        <v>37.212000000000003</v>
      </c>
      <c r="F3979">
        <v>2.6873000000000001E-2</v>
      </c>
      <c r="G3979">
        <v>137.63</v>
      </c>
      <c r="H3979">
        <v>0.28497</v>
      </c>
    </row>
    <row r="3980" spans="2:8" x14ac:dyDescent="0.25">
      <c r="B3980">
        <v>1.1893</v>
      </c>
      <c r="C3980">
        <v>90</v>
      </c>
      <c r="D3980">
        <v>175</v>
      </c>
      <c r="E3980">
        <v>0.58028999999999997</v>
      </c>
      <c r="F3980">
        <v>1.7233000000000001</v>
      </c>
      <c r="G3980">
        <v>632.89</v>
      </c>
      <c r="H3980">
        <v>1.1893</v>
      </c>
    </row>
    <row r="3981" spans="2:8" x14ac:dyDescent="0.25">
      <c r="B3981">
        <v>1.1961999999999999</v>
      </c>
      <c r="C3981">
        <v>95</v>
      </c>
      <c r="D3981">
        <v>175</v>
      </c>
      <c r="E3981">
        <v>0.57145999999999997</v>
      </c>
      <c r="F3981">
        <v>1.7499</v>
      </c>
      <c r="G3981">
        <v>636.72</v>
      </c>
      <c r="H3981">
        <v>1.1961999999999999</v>
      </c>
    </row>
    <row r="3982" spans="2:8" x14ac:dyDescent="0.25">
      <c r="B3982">
        <v>1.2029000000000001</v>
      </c>
      <c r="C3982">
        <v>100</v>
      </c>
      <c r="D3982">
        <v>175</v>
      </c>
      <c r="E3982">
        <v>0.56306</v>
      </c>
      <c r="F3982">
        <v>1.776</v>
      </c>
      <c r="G3982">
        <v>640.46</v>
      </c>
      <c r="H3982">
        <v>1.2029000000000001</v>
      </c>
    </row>
    <row r="3983" spans="2:8" x14ac:dyDescent="0.25">
      <c r="B3983">
        <v>1.2094</v>
      </c>
      <c r="C3983">
        <v>105</v>
      </c>
      <c r="D3983">
        <v>175</v>
      </c>
      <c r="E3983">
        <v>0.55505000000000004</v>
      </c>
      <c r="F3983">
        <v>1.8016000000000001</v>
      </c>
      <c r="G3983">
        <v>644.13</v>
      </c>
      <c r="H3983">
        <v>1.2094</v>
      </c>
    </row>
    <row r="3984" spans="2:8" x14ac:dyDescent="0.25">
      <c r="B3984">
        <v>1.2158</v>
      </c>
      <c r="C3984">
        <v>110</v>
      </c>
      <c r="D3984">
        <v>175</v>
      </c>
      <c r="E3984">
        <v>0.5474</v>
      </c>
      <c r="F3984">
        <v>1.8268</v>
      </c>
      <c r="G3984">
        <v>647.72</v>
      </c>
      <c r="H3984">
        <v>1.2158</v>
      </c>
    </row>
    <row r="3985" spans="2:8" x14ac:dyDescent="0.25">
      <c r="B3985">
        <v>1.2219</v>
      </c>
      <c r="C3985">
        <v>115</v>
      </c>
      <c r="D3985">
        <v>175</v>
      </c>
      <c r="E3985">
        <v>0.54008</v>
      </c>
      <c r="F3985">
        <v>1.8515999999999999</v>
      </c>
      <c r="G3985">
        <v>651.25</v>
      </c>
      <c r="H3985">
        <v>1.2219</v>
      </c>
    </row>
    <row r="3986" spans="2:8" x14ac:dyDescent="0.25">
      <c r="B3986">
        <v>1.228</v>
      </c>
      <c r="C3986">
        <v>120</v>
      </c>
      <c r="D3986">
        <v>175</v>
      </c>
      <c r="E3986">
        <v>0.53305000000000002</v>
      </c>
      <c r="F3986">
        <v>1.8759999999999999</v>
      </c>
      <c r="G3986">
        <v>654.73</v>
      </c>
      <c r="H3986">
        <v>1.228</v>
      </c>
    </row>
    <row r="3987" spans="2:8" x14ac:dyDescent="0.25">
      <c r="B3987">
        <v>1.2338</v>
      </c>
      <c r="C3987">
        <v>125</v>
      </c>
      <c r="D3987">
        <v>175</v>
      </c>
      <c r="E3987">
        <v>0.52629999999999999</v>
      </c>
      <c r="F3987">
        <v>1.9000999999999999</v>
      </c>
      <c r="G3987">
        <v>658.16</v>
      </c>
      <c r="H3987">
        <v>1.2338</v>
      </c>
    </row>
    <row r="3988" spans="2:8" x14ac:dyDescent="0.25">
      <c r="B3988">
        <v>1.2396</v>
      </c>
      <c r="C3988">
        <v>130</v>
      </c>
      <c r="D3988">
        <v>175</v>
      </c>
      <c r="E3988">
        <v>0.51980000000000004</v>
      </c>
      <c r="F3988">
        <v>1.9238</v>
      </c>
      <c r="G3988">
        <v>661.54</v>
      </c>
      <c r="H3988">
        <v>1.2396</v>
      </c>
    </row>
    <row r="3989" spans="2:8" x14ac:dyDescent="0.25">
      <c r="B3989">
        <v>1.2452000000000001</v>
      </c>
      <c r="C3989">
        <v>135</v>
      </c>
      <c r="D3989">
        <v>175</v>
      </c>
      <c r="E3989">
        <v>0.51353000000000004</v>
      </c>
      <c r="F3989">
        <v>1.9473</v>
      </c>
      <c r="G3989">
        <v>664.87</v>
      </c>
      <c r="H3989">
        <v>1.2452000000000001</v>
      </c>
    </row>
    <row r="3990" spans="2:8" x14ac:dyDescent="0.25">
      <c r="B3990">
        <v>1.2507999999999999</v>
      </c>
      <c r="C3990">
        <v>140</v>
      </c>
      <c r="D3990">
        <v>175</v>
      </c>
      <c r="E3990">
        <v>0.50748000000000004</v>
      </c>
      <c r="F3990">
        <v>1.9704999999999999</v>
      </c>
      <c r="G3990">
        <v>668.18</v>
      </c>
      <c r="H3990">
        <v>1.2507999999999999</v>
      </c>
    </row>
    <row r="3991" spans="2:8" x14ac:dyDescent="0.25">
      <c r="B3991">
        <v>1.2562</v>
      </c>
      <c r="C3991">
        <v>145</v>
      </c>
      <c r="D3991">
        <v>175</v>
      </c>
      <c r="E3991">
        <v>0.50163000000000002</v>
      </c>
      <c r="F3991">
        <v>1.9935</v>
      </c>
      <c r="G3991">
        <v>671.44</v>
      </c>
      <c r="H3991">
        <v>1.2562</v>
      </c>
    </row>
    <row r="3992" spans="2:8" x14ac:dyDescent="0.25">
      <c r="B3992">
        <v>1.2615000000000001</v>
      </c>
      <c r="C3992">
        <v>150</v>
      </c>
      <c r="D3992">
        <v>175</v>
      </c>
      <c r="E3992">
        <v>0.49597000000000002</v>
      </c>
      <c r="F3992">
        <v>2.0163000000000002</v>
      </c>
      <c r="G3992">
        <v>674.68</v>
      </c>
      <c r="H3992">
        <v>1.2615000000000001</v>
      </c>
    </row>
    <row r="3993" spans="2:8" x14ac:dyDescent="0.25">
      <c r="B3993">
        <v>1.2667999999999999</v>
      </c>
      <c r="C3993">
        <v>155</v>
      </c>
      <c r="D3993">
        <v>175</v>
      </c>
      <c r="E3993">
        <v>0.49048000000000003</v>
      </c>
      <c r="F3993">
        <v>2.0388000000000002</v>
      </c>
      <c r="G3993">
        <v>677.89</v>
      </c>
      <c r="H3993">
        <v>1.2667999999999999</v>
      </c>
    </row>
    <row r="3994" spans="2:8" x14ac:dyDescent="0.25">
      <c r="B3994">
        <v>1.2719</v>
      </c>
      <c r="C3994">
        <v>160</v>
      </c>
      <c r="D3994">
        <v>175</v>
      </c>
      <c r="E3994">
        <v>0.48515999999999998</v>
      </c>
      <c r="F3994">
        <v>2.0611999999999999</v>
      </c>
      <c r="G3994">
        <v>681.07</v>
      </c>
      <c r="H3994">
        <v>1.2719</v>
      </c>
    </row>
    <row r="3995" spans="2:8" x14ac:dyDescent="0.25">
      <c r="B3995">
        <v>1.2769999999999999</v>
      </c>
      <c r="C3995">
        <v>165</v>
      </c>
      <c r="D3995">
        <v>175</v>
      </c>
      <c r="E3995">
        <v>0.48</v>
      </c>
      <c r="F3995">
        <v>2.0834000000000001</v>
      </c>
      <c r="G3995">
        <v>684.23</v>
      </c>
      <c r="H3995">
        <v>1.2769999999999999</v>
      </c>
    </row>
    <row r="3996" spans="2:8" x14ac:dyDescent="0.25">
      <c r="B3996">
        <v>1.282</v>
      </c>
      <c r="C3996">
        <v>170</v>
      </c>
      <c r="D3996">
        <v>175</v>
      </c>
      <c r="E3996">
        <v>0.47498000000000001</v>
      </c>
      <c r="F3996">
        <v>2.1053999999999999</v>
      </c>
      <c r="G3996">
        <v>687.37</v>
      </c>
      <c r="H3996">
        <v>1.282</v>
      </c>
    </row>
    <row r="3997" spans="2:8" x14ac:dyDescent="0.25">
      <c r="B3997">
        <v>1.2868999999999999</v>
      </c>
      <c r="C3997">
        <v>175</v>
      </c>
      <c r="D3997">
        <v>175</v>
      </c>
      <c r="E3997">
        <v>0.47010000000000002</v>
      </c>
      <c r="F3997">
        <v>2.1272000000000002</v>
      </c>
      <c r="G3997">
        <v>690.49</v>
      </c>
      <c r="H3997">
        <v>1.2868999999999999</v>
      </c>
    </row>
    <row r="3998" spans="2:8" x14ac:dyDescent="0.25">
      <c r="B3998">
        <v>1.2918000000000001</v>
      </c>
      <c r="C3998">
        <v>180</v>
      </c>
      <c r="D3998">
        <v>175</v>
      </c>
      <c r="E3998">
        <v>0.46534999999999999</v>
      </c>
      <c r="F3998">
        <v>2.1488999999999998</v>
      </c>
      <c r="G3998">
        <v>693.6</v>
      </c>
      <c r="H3998">
        <v>1.2918000000000001</v>
      </c>
    </row>
    <row r="3999" spans="2:8" x14ac:dyDescent="0.25">
      <c r="B3999">
        <v>1.2966</v>
      </c>
      <c r="C3999">
        <v>185</v>
      </c>
      <c r="D3999">
        <v>175</v>
      </c>
      <c r="E3999">
        <v>0.46072999999999997</v>
      </c>
      <c r="F3999">
        <v>2.1705000000000001</v>
      </c>
      <c r="G3999">
        <v>696.68</v>
      </c>
      <c r="H3999">
        <v>1.2966</v>
      </c>
    </row>
    <row r="4000" spans="2:8" x14ac:dyDescent="0.25">
      <c r="B4000">
        <v>1.3013999999999999</v>
      </c>
      <c r="C4000">
        <v>190</v>
      </c>
      <c r="D4000">
        <v>175</v>
      </c>
      <c r="E4000">
        <v>0.45623000000000002</v>
      </c>
      <c r="F4000">
        <v>2.1919</v>
      </c>
      <c r="G4000">
        <v>699.76</v>
      </c>
      <c r="H4000">
        <v>1.3013999999999999</v>
      </c>
    </row>
    <row r="4001" spans="2:8" x14ac:dyDescent="0.25">
      <c r="B4001">
        <v>1.3061</v>
      </c>
      <c r="C4001">
        <v>195</v>
      </c>
      <c r="D4001">
        <v>175</v>
      </c>
      <c r="E4001">
        <v>0.45184000000000002</v>
      </c>
      <c r="F4001">
        <v>2.2132000000000001</v>
      </c>
      <c r="G4001">
        <v>702.81</v>
      </c>
      <c r="H4001">
        <v>1.3061</v>
      </c>
    </row>
    <row r="4002" spans="2:8" x14ac:dyDescent="0.25">
      <c r="B4002">
        <v>1.3107</v>
      </c>
      <c r="C4002">
        <v>200</v>
      </c>
      <c r="D4002">
        <v>175</v>
      </c>
      <c r="E4002">
        <v>0.44755</v>
      </c>
      <c r="F4002">
        <v>2.2343999999999999</v>
      </c>
      <c r="G4002">
        <v>705.86</v>
      </c>
      <c r="H4002">
        <v>1.3107</v>
      </c>
    </row>
    <row r="4003" spans="2:8" x14ac:dyDescent="0.25">
      <c r="B4003">
        <v>1.3152999999999999</v>
      </c>
      <c r="C4003">
        <v>205</v>
      </c>
      <c r="D4003">
        <v>175</v>
      </c>
      <c r="E4003">
        <v>0.44336999999999999</v>
      </c>
      <c r="F4003">
        <v>2.2555000000000001</v>
      </c>
      <c r="G4003">
        <v>708.9</v>
      </c>
      <c r="H4003">
        <v>1.3152999999999999</v>
      </c>
    </row>
    <row r="4004" spans="2:8" x14ac:dyDescent="0.25">
      <c r="B4004">
        <v>1.3198000000000001</v>
      </c>
      <c r="C4004">
        <v>210</v>
      </c>
      <c r="D4004">
        <v>175</v>
      </c>
      <c r="E4004">
        <v>0.43929000000000001</v>
      </c>
      <c r="F4004">
        <v>2.2764000000000002</v>
      </c>
      <c r="G4004">
        <v>711.92</v>
      </c>
      <c r="H4004">
        <v>1.3198000000000001</v>
      </c>
    </row>
    <row r="4005" spans="2:8" x14ac:dyDescent="0.25">
      <c r="B4005">
        <v>1.3243</v>
      </c>
      <c r="C4005">
        <v>215</v>
      </c>
      <c r="D4005">
        <v>175</v>
      </c>
      <c r="E4005">
        <v>0.43530000000000002</v>
      </c>
      <c r="F4005">
        <v>2.2972999999999999</v>
      </c>
      <c r="G4005">
        <v>714.94</v>
      </c>
      <c r="H4005">
        <v>1.3243</v>
      </c>
    </row>
    <row r="4006" spans="2:8" x14ac:dyDescent="0.25">
      <c r="B4006">
        <v>1.3287</v>
      </c>
      <c r="C4006">
        <v>220</v>
      </c>
      <c r="D4006">
        <v>175</v>
      </c>
      <c r="E4006">
        <v>0.43139</v>
      </c>
      <c r="F4006">
        <v>2.3180999999999998</v>
      </c>
      <c r="G4006">
        <v>717.95</v>
      </c>
      <c r="H4006">
        <v>1.3287</v>
      </c>
    </row>
    <row r="4007" spans="2:8" x14ac:dyDescent="0.25">
      <c r="B4007">
        <v>1.3331999999999999</v>
      </c>
      <c r="C4007">
        <v>225</v>
      </c>
      <c r="D4007">
        <v>175</v>
      </c>
      <c r="E4007">
        <v>0.42758000000000002</v>
      </c>
      <c r="F4007">
        <v>2.3388</v>
      </c>
      <c r="G4007">
        <v>720.95</v>
      </c>
      <c r="H4007">
        <v>1.3331999999999999</v>
      </c>
    </row>
    <row r="4008" spans="2:8" x14ac:dyDescent="0.25">
      <c r="B4008">
        <v>1.3374999999999999</v>
      </c>
      <c r="C4008">
        <v>230</v>
      </c>
      <c r="D4008">
        <v>175</v>
      </c>
      <c r="E4008">
        <v>0.42385</v>
      </c>
      <c r="F4008">
        <v>2.3593000000000002</v>
      </c>
      <c r="G4008">
        <v>723.95</v>
      </c>
      <c r="H4008">
        <v>1.3374999999999999</v>
      </c>
    </row>
    <row r="4009" spans="2:8" x14ac:dyDescent="0.25">
      <c r="B4009">
        <v>1.3418000000000001</v>
      </c>
      <c r="C4009">
        <v>235</v>
      </c>
      <c r="D4009">
        <v>175</v>
      </c>
      <c r="E4009">
        <v>0.42019000000000001</v>
      </c>
      <c r="F4009">
        <v>2.3799000000000001</v>
      </c>
      <c r="G4009">
        <v>726.94</v>
      </c>
      <c r="H4009">
        <v>1.3418000000000001</v>
      </c>
    </row>
    <row r="4010" spans="2:8" x14ac:dyDescent="0.25">
      <c r="B4010">
        <v>1.3461000000000001</v>
      </c>
      <c r="C4010">
        <v>240</v>
      </c>
      <c r="D4010">
        <v>175</v>
      </c>
      <c r="E4010">
        <v>0.41660999999999998</v>
      </c>
      <c r="F4010">
        <v>2.4003000000000001</v>
      </c>
      <c r="G4010">
        <v>729.92</v>
      </c>
      <c r="H4010">
        <v>1.3461000000000001</v>
      </c>
    </row>
    <row r="4011" spans="2:8" x14ac:dyDescent="0.25">
      <c r="B4011">
        <v>1.3504</v>
      </c>
      <c r="C4011">
        <v>245</v>
      </c>
      <c r="D4011">
        <v>175</v>
      </c>
      <c r="E4011">
        <v>0.41310999999999998</v>
      </c>
      <c r="F4011">
        <v>2.4207000000000001</v>
      </c>
      <c r="G4011">
        <v>732.9</v>
      </c>
      <c r="H4011">
        <v>1.3504</v>
      </c>
    </row>
    <row r="4012" spans="2:8" x14ac:dyDescent="0.25">
      <c r="B4012">
        <v>1.3546</v>
      </c>
      <c r="C4012">
        <v>250</v>
      </c>
      <c r="D4012">
        <v>175</v>
      </c>
      <c r="E4012">
        <v>0.40966999999999998</v>
      </c>
      <c r="F4012">
        <v>2.4409999999999998</v>
      </c>
      <c r="G4012">
        <v>735.88</v>
      </c>
      <c r="H4012">
        <v>1.3546</v>
      </c>
    </row>
    <row r="4013" spans="2:8" x14ac:dyDescent="0.25">
      <c r="B4013">
        <v>1.3587</v>
      </c>
      <c r="C4013">
        <v>255</v>
      </c>
      <c r="D4013">
        <v>175</v>
      </c>
      <c r="E4013">
        <v>0.40631</v>
      </c>
      <c r="F4013">
        <v>2.4611999999999998</v>
      </c>
      <c r="G4013">
        <v>738.85</v>
      </c>
      <c r="H4013">
        <v>1.3587</v>
      </c>
    </row>
    <row r="4014" spans="2:8" x14ac:dyDescent="0.25">
      <c r="B4014">
        <v>1.3629</v>
      </c>
      <c r="C4014">
        <v>260</v>
      </c>
      <c r="D4014">
        <v>175</v>
      </c>
      <c r="E4014">
        <v>0.40300000000000002</v>
      </c>
      <c r="F4014">
        <v>2.4813999999999998</v>
      </c>
      <c r="G4014">
        <v>741.82</v>
      </c>
      <c r="H4014">
        <v>1.3629</v>
      </c>
    </row>
    <row r="4015" spans="2:8" x14ac:dyDescent="0.25">
      <c r="B4015">
        <v>1.367</v>
      </c>
      <c r="C4015">
        <v>265</v>
      </c>
      <c r="D4015">
        <v>175</v>
      </c>
      <c r="E4015">
        <v>0.39977000000000001</v>
      </c>
      <c r="F4015">
        <v>2.5015000000000001</v>
      </c>
      <c r="G4015">
        <v>744.79</v>
      </c>
      <c r="H4015">
        <v>1.367</v>
      </c>
    </row>
    <row r="4016" spans="2:8" x14ac:dyDescent="0.25">
      <c r="B4016">
        <v>1.3711</v>
      </c>
      <c r="C4016">
        <v>270</v>
      </c>
      <c r="D4016">
        <v>175</v>
      </c>
      <c r="E4016">
        <v>0.39659</v>
      </c>
      <c r="F4016">
        <v>2.5215000000000001</v>
      </c>
      <c r="G4016">
        <v>747.76</v>
      </c>
      <c r="H4016">
        <v>1.3711</v>
      </c>
    </row>
    <row r="4017" spans="2:8" x14ac:dyDescent="0.25">
      <c r="B4017">
        <v>1.3751</v>
      </c>
      <c r="C4017">
        <v>275</v>
      </c>
      <c r="D4017">
        <v>175</v>
      </c>
      <c r="E4017">
        <v>0.39346999999999999</v>
      </c>
      <c r="F4017">
        <v>2.5415000000000001</v>
      </c>
      <c r="G4017">
        <v>750.72</v>
      </c>
      <c r="H4017">
        <v>1.3751</v>
      </c>
    </row>
    <row r="4018" spans="2:8" x14ac:dyDescent="0.25">
      <c r="B4018">
        <v>1.3791</v>
      </c>
      <c r="C4018">
        <v>280</v>
      </c>
      <c r="D4018">
        <v>175</v>
      </c>
      <c r="E4018">
        <v>0.39040999999999998</v>
      </c>
      <c r="F4018">
        <v>2.5613999999999999</v>
      </c>
      <c r="G4018">
        <v>753.69</v>
      </c>
      <c r="H4018">
        <v>1.3791</v>
      </c>
    </row>
    <row r="4019" spans="2:8" x14ac:dyDescent="0.25">
      <c r="B4019">
        <v>1.3831</v>
      </c>
      <c r="C4019">
        <v>285</v>
      </c>
      <c r="D4019">
        <v>175</v>
      </c>
      <c r="E4019">
        <v>0.38740000000000002</v>
      </c>
      <c r="F4019">
        <v>2.5813000000000001</v>
      </c>
      <c r="G4019">
        <v>756.65</v>
      </c>
      <c r="H4019">
        <v>1.3831</v>
      </c>
    </row>
    <row r="4020" spans="2:8" x14ac:dyDescent="0.25">
      <c r="B4020">
        <v>1.3871</v>
      </c>
      <c r="C4020">
        <v>290</v>
      </c>
      <c r="D4020">
        <v>175</v>
      </c>
      <c r="E4020">
        <v>0.38445000000000001</v>
      </c>
      <c r="F4020">
        <v>2.6011000000000002</v>
      </c>
      <c r="G4020">
        <v>759.61</v>
      </c>
      <c r="H4020">
        <v>1.3871</v>
      </c>
    </row>
    <row r="4021" spans="2:8" x14ac:dyDescent="0.25">
      <c r="B4021">
        <v>1.391</v>
      </c>
      <c r="C4021">
        <v>295</v>
      </c>
      <c r="D4021">
        <v>175</v>
      </c>
      <c r="E4021">
        <v>0.38153999999999999</v>
      </c>
      <c r="F4021">
        <v>2.6208999999999998</v>
      </c>
      <c r="G4021">
        <v>762.58</v>
      </c>
      <c r="H4021">
        <v>1.391</v>
      </c>
    </row>
    <row r="4022" spans="2:8" x14ac:dyDescent="0.25">
      <c r="B4022">
        <v>1.395</v>
      </c>
      <c r="C4022">
        <v>300</v>
      </c>
      <c r="D4022">
        <v>175</v>
      </c>
      <c r="E4022">
        <v>0.37869000000000003</v>
      </c>
      <c r="F4022">
        <v>2.6406999999999998</v>
      </c>
      <c r="G4022">
        <v>765.54</v>
      </c>
      <c r="H4022">
        <v>1.395</v>
      </c>
    </row>
    <row r="4023" spans="2:8" x14ac:dyDescent="0.25">
      <c r="B4023">
        <v>1.3988</v>
      </c>
      <c r="C4023">
        <v>305</v>
      </c>
      <c r="D4023">
        <v>175</v>
      </c>
      <c r="E4023">
        <v>0.37589</v>
      </c>
      <c r="F4023">
        <v>2.6604000000000001</v>
      </c>
      <c r="G4023">
        <v>768.5</v>
      </c>
      <c r="H4023">
        <v>1.3988</v>
      </c>
    </row>
    <row r="4024" spans="2:8" x14ac:dyDescent="0.25">
      <c r="B4024">
        <v>1.4027000000000001</v>
      </c>
      <c r="C4024">
        <v>310</v>
      </c>
      <c r="D4024">
        <v>175</v>
      </c>
      <c r="E4024">
        <v>0.37313000000000002</v>
      </c>
      <c r="F4024">
        <v>2.68</v>
      </c>
      <c r="G4024">
        <v>771.47</v>
      </c>
      <c r="H4024">
        <v>1.4027000000000001</v>
      </c>
    </row>
    <row r="4025" spans="2:8" x14ac:dyDescent="0.25">
      <c r="B4025">
        <v>1.4065000000000001</v>
      </c>
      <c r="C4025">
        <v>315</v>
      </c>
      <c r="D4025">
        <v>175</v>
      </c>
      <c r="E4025">
        <v>0.37042000000000003</v>
      </c>
      <c r="F4025">
        <v>2.6996000000000002</v>
      </c>
      <c r="G4025">
        <v>774.44</v>
      </c>
      <c r="H4025">
        <v>1.4065000000000001</v>
      </c>
    </row>
    <row r="4026" spans="2:8" x14ac:dyDescent="0.25">
      <c r="B4026">
        <v>1.4104000000000001</v>
      </c>
      <c r="C4026">
        <v>320</v>
      </c>
      <c r="D4026">
        <v>175</v>
      </c>
      <c r="E4026">
        <v>0.36775999999999998</v>
      </c>
      <c r="F4026">
        <v>2.7191999999999998</v>
      </c>
      <c r="G4026">
        <v>777.4</v>
      </c>
      <c r="H4026">
        <v>1.4104000000000001</v>
      </c>
    </row>
    <row r="4027" spans="2:8" x14ac:dyDescent="0.25">
      <c r="B4027">
        <v>1.4141999999999999</v>
      </c>
      <c r="C4027">
        <v>325</v>
      </c>
      <c r="D4027">
        <v>175</v>
      </c>
      <c r="E4027">
        <v>0.36513000000000001</v>
      </c>
      <c r="F4027">
        <v>2.7387000000000001</v>
      </c>
      <c r="G4027">
        <v>780.37</v>
      </c>
      <c r="H4027">
        <v>1.4141999999999999</v>
      </c>
    </row>
    <row r="4028" spans="2:8" x14ac:dyDescent="0.25">
      <c r="B4028">
        <v>1.4178999999999999</v>
      </c>
      <c r="C4028">
        <v>330</v>
      </c>
      <c r="D4028">
        <v>175</v>
      </c>
      <c r="E4028">
        <v>0.36254999999999998</v>
      </c>
      <c r="F4028">
        <v>2.7582</v>
      </c>
      <c r="G4028">
        <v>783.34</v>
      </c>
      <c r="H4028">
        <v>1.4178999999999999</v>
      </c>
    </row>
    <row r="4029" spans="2:8" x14ac:dyDescent="0.25">
      <c r="B4029">
        <v>1.4217</v>
      </c>
      <c r="C4029">
        <v>335</v>
      </c>
      <c r="D4029">
        <v>175</v>
      </c>
      <c r="E4029">
        <v>0.36001</v>
      </c>
      <c r="F4029">
        <v>2.7776999999999998</v>
      </c>
      <c r="G4029">
        <v>786.32</v>
      </c>
      <c r="H4029">
        <v>1.4217</v>
      </c>
    </row>
    <row r="4030" spans="2:8" x14ac:dyDescent="0.25">
      <c r="B4030">
        <v>1.4254</v>
      </c>
      <c r="C4030">
        <v>340</v>
      </c>
      <c r="D4030">
        <v>175</v>
      </c>
      <c r="E4030">
        <v>0.35750999999999999</v>
      </c>
      <c r="F4030">
        <v>2.7970999999999999</v>
      </c>
      <c r="G4030">
        <v>789.29</v>
      </c>
      <c r="H4030">
        <v>1.4254</v>
      </c>
    </row>
    <row r="4031" spans="2:8" x14ac:dyDescent="0.25">
      <c r="B4031">
        <v>1.4291</v>
      </c>
      <c r="C4031">
        <v>345</v>
      </c>
      <c r="D4031">
        <v>175</v>
      </c>
      <c r="E4031">
        <v>0.35504999999999998</v>
      </c>
      <c r="F4031">
        <v>2.8165</v>
      </c>
      <c r="G4031">
        <v>792.27</v>
      </c>
      <c r="H4031">
        <v>1.4291</v>
      </c>
    </row>
    <row r="4032" spans="2:8" x14ac:dyDescent="0.25">
      <c r="B4032">
        <v>1.4328000000000001</v>
      </c>
      <c r="C4032">
        <v>350</v>
      </c>
      <c r="D4032">
        <v>175</v>
      </c>
      <c r="E4032">
        <v>0.35263</v>
      </c>
      <c r="F4032">
        <v>2.8359000000000001</v>
      </c>
      <c r="G4032">
        <v>795.25</v>
      </c>
      <c r="H4032">
        <v>1.4328000000000001</v>
      </c>
    </row>
    <row r="4034" spans="1:8" x14ac:dyDescent="0.25">
      <c r="A4034">
        <v>180</v>
      </c>
      <c r="B4034">
        <v>9.6418000000000004E-2</v>
      </c>
      <c r="C4034">
        <v>0</v>
      </c>
      <c r="D4034">
        <v>180</v>
      </c>
      <c r="E4034">
        <v>41.381</v>
      </c>
      <c r="F4034">
        <v>2.4166E-2</v>
      </c>
      <c r="G4034">
        <v>43.113999999999997</v>
      </c>
      <c r="H4034">
        <v>9.6418000000000004E-2</v>
      </c>
    </row>
    <row r="4035" spans="1:8" x14ac:dyDescent="0.25">
      <c r="B4035">
        <v>0.10811999999999999</v>
      </c>
      <c r="C4035">
        <v>5</v>
      </c>
      <c r="D4035">
        <v>180</v>
      </c>
      <c r="E4035">
        <v>41.155000000000001</v>
      </c>
      <c r="F4035">
        <v>2.4298E-2</v>
      </c>
      <c r="G4035">
        <v>48.521999999999998</v>
      </c>
      <c r="H4035">
        <v>0.10811999999999999</v>
      </c>
    </row>
    <row r="4036" spans="1:8" x14ac:dyDescent="0.25">
      <c r="B4036">
        <v>0.11973</v>
      </c>
      <c r="C4036">
        <v>10</v>
      </c>
      <c r="D4036">
        <v>180</v>
      </c>
      <c r="E4036">
        <v>40.927999999999997</v>
      </c>
      <c r="F4036">
        <v>2.4433E-2</v>
      </c>
      <c r="G4036">
        <v>53.947000000000003</v>
      </c>
      <c r="H4036">
        <v>0.11973</v>
      </c>
    </row>
    <row r="4037" spans="1:8" x14ac:dyDescent="0.25">
      <c r="B4037">
        <v>0.13125999999999999</v>
      </c>
      <c r="C4037">
        <v>15</v>
      </c>
      <c r="D4037">
        <v>180</v>
      </c>
      <c r="E4037">
        <v>40.698</v>
      </c>
      <c r="F4037">
        <v>2.4570999999999999E-2</v>
      </c>
      <c r="G4037">
        <v>59.389000000000003</v>
      </c>
      <c r="H4037">
        <v>0.13125999999999999</v>
      </c>
    </row>
    <row r="4038" spans="1:8" x14ac:dyDescent="0.25">
      <c r="B4038">
        <v>0.14269999999999999</v>
      </c>
      <c r="C4038">
        <v>20</v>
      </c>
      <c r="D4038">
        <v>180</v>
      </c>
      <c r="E4038">
        <v>40.466000000000001</v>
      </c>
      <c r="F4038">
        <v>2.4712000000000001E-2</v>
      </c>
      <c r="G4038">
        <v>64.847999999999999</v>
      </c>
      <c r="H4038">
        <v>0.14269999999999999</v>
      </c>
    </row>
    <row r="4039" spans="1:8" x14ac:dyDescent="0.25">
      <c r="B4039">
        <v>0.15406</v>
      </c>
      <c r="C4039">
        <v>25</v>
      </c>
      <c r="D4039">
        <v>180</v>
      </c>
      <c r="E4039">
        <v>40.231999999999999</v>
      </c>
      <c r="F4039">
        <v>2.4856E-2</v>
      </c>
      <c r="G4039">
        <v>70.323999999999998</v>
      </c>
      <c r="H4039">
        <v>0.15406</v>
      </c>
    </row>
    <row r="4040" spans="1:8" x14ac:dyDescent="0.25">
      <c r="B4040">
        <v>0.16533</v>
      </c>
      <c r="C4040">
        <v>30</v>
      </c>
      <c r="D4040">
        <v>180</v>
      </c>
      <c r="E4040">
        <v>39.994999999999997</v>
      </c>
      <c r="F4040">
        <v>2.5003000000000001E-2</v>
      </c>
      <c r="G4040">
        <v>75.816999999999993</v>
      </c>
      <c r="H4040">
        <v>0.16533</v>
      </c>
    </row>
    <row r="4041" spans="1:8" x14ac:dyDescent="0.25">
      <c r="B4041">
        <v>0.17652999999999999</v>
      </c>
      <c r="C4041">
        <v>35</v>
      </c>
      <c r="D4041">
        <v>180</v>
      </c>
      <c r="E4041">
        <v>39.756999999999998</v>
      </c>
      <c r="F4041">
        <v>2.5152999999999998E-2</v>
      </c>
      <c r="G4041">
        <v>81.328999999999994</v>
      </c>
      <c r="H4041">
        <v>0.17652999999999999</v>
      </c>
    </row>
    <row r="4042" spans="1:8" x14ac:dyDescent="0.25">
      <c r="B4042">
        <v>0.18765000000000001</v>
      </c>
      <c r="C4042">
        <v>40</v>
      </c>
      <c r="D4042">
        <v>180</v>
      </c>
      <c r="E4042">
        <v>39.515999999999998</v>
      </c>
      <c r="F4042">
        <v>2.5305999999999999E-2</v>
      </c>
      <c r="G4042">
        <v>86.858999999999995</v>
      </c>
      <c r="H4042">
        <v>0.18765000000000001</v>
      </c>
    </row>
    <row r="4043" spans="1:8" x14ac:dyDescent="0.25">
      <c r="B4043">
        <v>0.19871</v>
      </c>
      <c r="C4043">
        <v>45</v>
      </c>
      <c r="D4043">
        <v>180</v>
      </c>
      <c r="E4043">
        <v>39.271999999999998</v>
      </c>
      <c r="F4043">
        <v>2.5463E-2</v>
      </c>
      <c r="G4043">
        <v>92.409000000000006</v>
      </c>
      <c r="H4043">
        <v>0.19871</v>
      </c>
    </row>
    <row r="4044" spans="1:8" x14ac:dyDescent="0.25">
      <c r="B4044">
        <v>0.20968999999999999</v>
      </c>
      <c r="C4044">
        <v>50</v>
      </c>
      <c r="D4044">
        <v>180</v>
      </c>
      <c r="E4044">
        <v>39.026000000000003</v>
      </c>
      <c r="F4044">
        <v>2.5624000000000001E-2</v>
      </c>
      <c r="G4044">
        <v>97.98</v>
      </c>
      <c r="H4044">
        <v>0.20968999999999999</v>
      </c>
    </row>
    <row r="4045" spans="1:8" x14ac:dyDescent="0.25">
      <c r="B4045">
        <v>0.22061</v>
      </c>
      <c r="C4045">
        <v>55</v>
      </c>
      <c r="D4045">
        <v>180</v>
      </c>
      <c r="E4045">
        <v>38.777000000000001</v>
      </c>
      <c r="F4045">
        <v>2.5788999999999999E-2</v>
      </c>
      <c r="G4045">
        <v>103.57</v>
      </c>
      <c r="H4045">
        <v>0.22061</v>
      </c>
    </row>
    <row r="4046" spans="1:8" x14ac:dyDescent="0.25">
      <c r="B4046">
        <v>0.23146</v>
      </c>
      <c r="C4046">
        <v>60</v>
      </c>
      <c r="D4046">
        <v>180</v>
      </c>
      <c r="E4046">
        <v>38.524999999999999</v>
      </c>
      <c r="F4046">
        <v>2.5957000000000001E-2</v>
      </c>
      <c r="G4046">
        <v>109.19</v>
      </c>
      <c r="H4046">
        <v>0.23146</v>
      </c>
    </row>
    <row r="4047" spans="1:8" x14ac:dyDescent="0.25">
      <c r="B4047">
        <v>0.24226</v>
      </c>
      <c r="C4047">
        <v>65</v>
      </c>
      <c r="D4047">
        <v>180</v>
      </c>
      <c r="E4047">
        <v>38.268999999999998</v>
      </c>
      <c r="F4047">
        <v>2.6131000000000001E-2</v>
      </c>
      <c r="G4047">
        <v>114.82</v>
      </c>
      <c r="H4047">
        <v>0.24226</v>
      </c>
    </row>
    <row r="4048" spans="1:8" x14ac:dyDescent="0.25">
      <c r="B4048">
        <v>0.253</v>
      </c>
      <c r="C4048">
        <v>70</v>
      </c>
      <c r="D4048">
        <v>180</v>
      </c>
      <c r="E4048">
        <v>38.011000000000003</v>
      </c>
      <c r="F4048">
        <v>2.6308000000000002E-2</v>
      </c>
      <c r="G4048">
        <v>120.49</v>
      </c>
      <c r="H4048">
        <v>0.253</v>
      </c>
    </row>
    <row r="4049" spans="2:8" x14ac:dyDescent="0.25">
      <c r="B4049">
        <v>0.26368999999999998</v>
      </c>
      <c r="C4049">
        <v>75</v>
      </c>
      <c r="D4049">
        <v>180</v>
      </c>
      <c r="E4049">
        <v>37.749000000000002</v>
      </c>
      <c r="F4049">
        <v>2.6491000000000001E-2</v>
      </c>
      <c r="G4049">
        <v>126.17</v>
      </c>
      <c r="H4049">
        <v>0.26368999999999998</v>
      </c>
    </row>
    <row r="4050" spans="2:8" x14ac:dyDescent="0.25">
      <c r="B4050">
        <v>0.27433000000000002</v>
      </c>
      <c r="C4050">
        <v>80</v>
      </c>
      <c r="D4050">
        <v>180</v>
      </c>
      <c r="E4050">
        <v>37.484000000000002</v>
      </c>
      <c r="F4050">
        <v>2.6678E-2</v>
      </c>
      <c r="G4050">
        <v>131.88999999999999</v>
      </c>
      <c r="H4050">
        <v>0.27433000000000002</v>
      </c>
    </row>
    <row r="4051" spans="2:8" x14ac:dyDescent="0.25">
      <c r="B4051">
        <v>0.28493000000000002</v>
      </c>
      <c r="C4051">
        <v>85</v>
      </c>
      <c r="D4051">
        <v>180</v>
      </c>
      <c r="E4051">
        <v>37.213999999999999</v>
      </c>
      <c r="F4051">
        <v>2.6870999999999999E-2</v>
      </c>
      <c r="G4051">
        <v>137.63999999999999</v>
      </c>
      <c r="H4051">
        <v>0.28493000000000002</v>
      </c>
    </row>
    <row r="4052" spans="2:8" x14ac:dyDescent="0.25">
      <c r="B4052">
        <v>1.1842999999999999</v>
      </c>
      <c r="C4052">
        <v>90</v>
      </c>
      <c r="D4052">
        <v>180</v>
      </c>
      <c r="E4052">
        <v>0.59987000000000001</v>
      </c>
      <c r="F4052">
        <v>1.667</v>
      </c>
      <c r="G4052">
        <v>631.74</v>
      </c>
      <c r="H4052">
        <v>1.1842999999999999</v>
      </c>
    </row>
    <row r="4053" spans="2:8" x14ac:dyDescent="0.25">
      <c r="B4053">
        <v>1.1913</v>
      </c>
      <c r="C4053">
        <v>95</v>
      </c>
      <c r="D4053">
        <v>180</v>
      </c>
      <c r="E4053">
        <v>0.59055999999999997</v>
      </c>
      <c r="F4053">
        <v>1.6933</v>
      </c>
      <c r="G4053">
        <v>635.63</v>
      </c>
      <c r="H4053">
        <v>1.1913</v>
      </c>
    </row>
    <row r="4054" spans="2:8" x14ac:dyDescent="0.25">
      <c r="B4054">
        <v>1.1981999999999999</v>
      </c>
      <c r="C4054">
        <v>100</v>
      </c>
      <c r="D4054">
        <v>180</v>
      </c>
      <c r="E4054">
        <v>0.58172000000000001</v>
      </c>
      <c r="F4054">
        <v>1.7190000000000001</v>
      </c>
      <c r="G4054">
        <v>639.41999999999996</v>
      </c>
      <c r="H4054">
        <v>1.1981999999999999</v>
      </c>
    </row>
    <row r="4055" spans="2:8" x14ac:dyDescent="0.25">
      <c r="B4055">
        <v>1.2048000000000001</v>
      </c>
      <c r="C4055">
        <v>105</v>
      </c>
      <c r="D4055">
        <v>180</v>
      </c>
      <c r="E4055">
        <v>0.57330999999999999</v>
      </c>
      <c r="F4055">
        <v>1.7442</v>
      </c>
      <c r="G4055">
        <v>643.14</v>
      </c>
      <c r="H4055">
        <v>1.2048000000000001</v>
      </c>
    </row>
    <row r="4056" spans="2:8" x14ac:dyDescent="0.25">
      <c r="B4056">
        <v>1.2112000000000001</v>
      </c>
      <c r="C4056">
        <v>110</v>
      </c>
      <c r="D4056">
        <v>180</v>
      </c>
      <c r="E4056">
        <v>0.56528999999999996</v>
      </c>
      <c r="F4056">
        <v>1.7689999999999999</v>
      </c>
      <c r="G4056">
        <v>646.77</v>
      </c>
      <c r="H4056">
        <v>1.2112000000000001</v>
      </c>
    </row>
    <row r="4057" spans="2:8" x14ac:dyDescent="0.25">
      <c r="B4057">
        <v>1.2174</v>
      </c>
      <c r="C4057">
        <v>115</v>
      </c>
      <c r="D4057">
        <v>180</v>
      </c>
      <c r="E4057">
        <v>0.55762</v>
      </c>
      <c r="F4057">
        <v>1.7932999999999999</v>
      </c>
      <c r="G4057">
        <v>650.35</v>
      </c>
      <c r="H4057">
        <v>1.2174</v>
      </c>
    </row>
    <row r="4058" spans="2:8" x14ac:dyDescent="0.25">
      <c r="B4058">
        <v>1.2235</v>
      </c>
      <c r="C4058">
        <v>120</v>
      </c>
      <c r="D4058">
        <v>180</v>
      </c>
      <c r="E4058">
        <v>0.55025999999999997</v>
      </c>
      <c r="F4058">
        <v>1.8172999999999999</v>
      </c>
      <c r="G4058">
        <v>653.86</v>
      </c>
      <c r="H4058">
        <v>1.2235</v>
      </c>
    </row>
    <row r="4059" spans="2:8" x14ac:dyDescent="0.25">
      <c r="B4059">
        <v>1.2295</v>
      </c>
      <c r="C4059">
        <v>125</v>
      </c>
      <c r="D4059">
        <v>180</v>
      </c>
      <c r="E4059">
        <v>0.54320000000000002</v>
      </c>
      <c r="F4059">
        <v>1.841</v>
      </c>
      <c r="G4059">
        <v>657.32</v>
      </c>
      <c r="H4059">
        <v>1.2295</v>
      </c>
    </row>
    <row r="4060" spans="2:8" x14ac:dyDescent="0.25">
      <c r="B4060">
        <v>1.2353000000000001</v>
      </c>
      <c r="C4060">
        <v>130</v>
      </c>
      <c r="D4060">
        <v>180</v>
      </c>
      <c r="E4060">
        <v>0.53639999999999999</v>
      </c>
      <c r="F4060">
        <v>1.8643000000000001</v>
      </c>
      <c r="G4060">
        <v>660.73</v>
      </c>
      <c r="H4060">
        <v>1.2353000000000001</v>
      </c>
    </row>
    <row r="4061" spans="2:8" x14ac:dyDescent="0.25">
      <c r="B4061">
        <v>1.2410000000000001</v>
      </c>
      <c r="C4061">
        <v>135</v>
      </c>
      <c r="D4061">
        <v>180</v>
      </c>
      <c r="E4061">
        <v>0.52986</v>
      </c>
      <c r="F4061">
        <v>1.8873</v>
      </c>
      <c r="G4061">
        <v>664.1</v>
      </c>
      <c r="H4061">
        <v>1.2410000000000001</v>
      </c>
    </row>
    <row r="4062" spans="2:8" x14ac:dyDescent="0.25">
      <c r="B4062">
        <v>1.2464999999999999</v>
      </c>
      <c r="C4062">
        <v>140</v>
      </c>
      <c r="D4062">
        <v>180</v>
      </c>
      <c r="E4062">
        <v>0.52354000000000001</v>
      </c>
      <c r="F4062">
        <v>1.9100999999999999</v>
      </c>
      <c r="G4062">
        <v>667.43</v>
      </c>
      <c r="H4062">
        <v>1.2464999999999999</v>
      </c>
    </row>
    <row r="4063" spans="2:8" x14ac:dyDescent="0.25">
      <c r="B4063">
        <v>1.252</v>
      </c>
      <c r="C4063">
        <v>145</v>
      </c>
      <c r="D4063">
        <v>180</v>
      </c>
      <c r="E4063">
        <v>0.51744000000000001</v>
      </c>
      <c r="F4063">
        <v>1.9326000000000001</v>
      </c>
      <c r="G4063">
        <v>670.73</v>
      </c>
      <c r="H4063">
        <v>1.252</v>
      </c>
    </row>
    <row r="4064" spans="2:8" x14ac:dyDescent="0.25">
      <c r="B4064">
        <v>1.2574000000000001</v>
      </c>
      <c r="C4064">
        <v>150</v>
      </c>
      <c r="D4064">
        <v>180</v>
      </c>
      <c r="E4064">
        <v>0.51153999999999999</v>
      </c>
      <c r="F4064">
        <v>1.9549000000000001</v>
      </c>
      <c r="G4064">
        <v>673.99</v>
      </c>
      <c r="H4064">
        <v>1.2574000000000001</v>
      </c>
    </row>
    <row r="4065" spans="2:8" x14ac:dyDescent="0.25">
      <c r="B4065">
        <v>1.2626999999999999</v>
      </c>
      <c r="C4065">
        <v>155</v>
      </c>
      <c r="D4065">
        <v>180</v>
      </c>
      <c r="E4065">
        <v>0.50583</v>
      </c>
      <c r="F4065">
        <v>1.9770000000000001</v>
      </c>
      <c r="G4065">
        <v>677.22</v>
      </c>
      <c r="H4065">
        <v>1.2626999999999999</v>
      </c>
    </row>
    <row r="4066" spans="2:8" x14ac:dyDescent="0.25">
      <c r="B4066">
        <v>1.2678</v>
      </c>
      <c r="C4066">
        <v>160</v>
      </c>
      <c r="D4066">
        <v>180</v>
      </c>
      <c r="E4066">
        <v>0.50029000000000001</v>
      </c>
      <c r="F4066">
        <v>1.9987999999999999</v>
      </c>
      <c r="G4066">
        <v>680.43</v>
      </c>
      <c r="H4066">
        <v>1.2678</v>
      </c>
    </row>
    <row r="4067" spans="2:8" x14ac:dyDescent="0.25">
      <c r="B4067">
        <v>1.2729999999999999</v>
      </c>
      <c r="C4067">
        <v>165</v>
      </c>
      <c r="D4067">
        <v>180</v>
      </c>
      <c r="E4067">
        <v>0.49492000000000003</v>
      </c>
      <c r="F4067">
        <v>2.0205000000000002</v>
      </c>
      <c r="G4067">
        <v>683.61</v>
      </c>
      <c r="H4067">
        <v>1.2729999999999999</v>
      </c>
    </row>
    <row r="4068" spans="2:8" x14ac:dyDescent="0.25">
      <c r="B4068">
        <v>1.278</v>
      </c>
      <c r="C4068">
        <v>170</v>
      </c>
      <c r="D4068">
        <v>180</v>
      </c>
      <c r="E4068">
        <v>0.48970000000000002</v>
      </c>
      <c r="F4068">
        <v>2.0421</v>
      </c>
      <c r="G4068">
        <v>686.77</v>
      </c>
      <c r="H4068">
        <v>1.278</v>
      </c>
    </row>
    <row r="4069" spans="2:8" x14ac:dyDescent="0.25">
      <c r="B4069">
        <v>1.2829999999999999</v>
      </c>
      <c r="C4069">
        <v>175</v>
      </c>
      <c r="D4069">
        <v>180</v>
      </c>
      <c r="E4069">
        <v>0.48463000000000001</v>
      </c>
      <c r="F4069">
        <v>2.0634000000000001</v>
      </c>
      <c r="G4069">
        <v>689.9</v>
      </c>
      <c r="H4069">
        <v>1.2829999999999999</v>
      </c>
    </row>
    <row r="4070" spans="2:8" x14ac:dyDescent="0.25">
      <c r="B4070">
        <v>1.2879</v>
      </c>
      <c r="C4070">
        <v>180</v>
      </c>
      <c r="D4070">
        <v>180</v>
      </c>
      <c r="E4070">
        <v>0.47969000000000001</v>
      </c>
      <c r="F4070">
        <v>2.0847000000000002</v>
      </c>
      <c r="G4070">
        <v>693.02</v>
      </c>
      <c r="H4070">
        <v>1.2879</v>
      </c>
    </row>
    <row r="4071" spans="2:8" x14ac:dyDescent="0.25">
      <c r="B4071">
        <v>1.2927</v>
      </c>
      <c r="C4071">
        <v>185</v>
      </c>
      <c r="D4071">
        <v>180</v>
      </c>
      <c r="E4071">
        <v>0.47488999999999998</v>
      </c>
      <c r="F4071">
        <v>2.1057000000000001</v>
      </c>
      <c r="G4071">
        <v>696.13</v>
      </c>
      <c r="H4071">
        <v>1.2927</v>
      </c>
    </row>
    <row r="4072" spans="2:8" x14ac:dyDescent="0.25">
      <c r="B4072">
        <v>1.2975000000000001</v>
      </c>
      <c r="C4072">
        <v>190</v>
      </c>
      <c r="D4072">
        <v>180</v>
      </c>
      <c r="E4072">
        <v>0.47022000000000003</v>
      </c>
      <c r="F4072">
        <v>2.1267</v>
      </c>
      <c r="G4072">
        <v>699.21</v>
      </c>
      <c r="H4072">
        <v>1.2975000000000001</v>
      </c>
    </row>
    <row r="4073" spans="2:8" x14ac:dyDescent="0.25">
      <c r="B4073">
        <v>1.3022</v>
      </c>
      <c r="C4073">
        <v>195</v>
      </c>
      <c r="D4073">
        <v>180</v>
      </c>
      <c r="E4073">
        <v>0.46566000000000002</v>
      </c>
      <c r="F4073">
        <v>2.1475</v>
      </c>
      <c r="G4073">
        <v>702.29</v>
      </c>
      <c r="H4073">
        <v>1.3022</v>
      </c>
    </row>
    <row r="4074" spans="2:8" x14ac:dyDescent="0.25">
      <c r="B4074">
        <v>1.3068</v>
      </c>
      <c r="C4074">
        <v>200</v>
      </c>
      <c r="D4074">
        <v>180</v>
      </c>
      <c r="E4074">
        <v>0.46121000000000001</v>
      </c>
      <c r="F4074">
        <v>2.1682000000000001</v>
      </c>
      <c r="G4074">
        <v>705.35</v>
      </c>
      <c r="H4074">
        <v>1.3068</v>
      </c>
    </row>
    <row r="4075" spans="2:8" x14ac:dyDescent="0.25">
      <c r="B4075">
        <v>1.3113999999999999</v>
      </c>
      <c r="C4075">
        <v>205</v>
      </c>
      <c r="D4075">
        <v>180</v>
      </c>
      <c r="E4075">
        <v>0.45687</v>
      </c>
      <c r="F4075">
        <v>2.1888000000000001</v>
      </c>
      <c r="G4075">
        <v>708.4</v>
      </c>
      <c r="H4075">
        <v>1.3113999999999999</v>
      </c>
    </row>
    <row r="4076" spans="2:8" x14ac:dyDescent="0.25">
      <c r="B4076">
        <v>1.3160000000000001</v>
      </c>
      <c r="C4076">
        <v>210</v>
      </c>
      <c r="D4076">
        <v>180</v>
      </c>
      <c r="E4076">
        <v>0.45263999999999999</v>
      </c>
      <c r="F4076">
        <v>2.2092999999999998</v>
      </c>
      <c r="G4076">
        <v>711.44</v>
      </c>
      <c r="H4076">
        <v>1.3160000000000001</v>
      </c>
    </row>
    <row r="4077" spans="2:8" x14ac:dyDescent="0.25">
      <c r="B4077">
        <v>1.3205</v>
      </c>
      <c r="C4077">
        <v>215</v>
      </c>
      <c r="D4077">
        <v>180</v>
      </c>
      <c r="E4077">
        <v>0.44850000000000001</v>
      </c>
      <c r="F4077">
        <v>2.2296</v>
      </c>
      <c r="G4077">
        <v>714.46</v>
      </c>
      <c r="H4077">
        <v>1.3205</v>
      </c>
    </row>
    <row r="4078" spans="2:8" x14ac:dyDescent="0.25">
      <c r="B4078">
        <v>1.325</v>
      </c>
      <c r="C4078">
        <v>220</v>
      </c>
      <c r="D4078">
        <v>180</v>
      </c>
      <c r="E4078">
        <v>0.44446000000000002</v>
      </c>
      <c r="F4078">
        <v>2.2498999999999998</v>
      </c>
      <c r="G4078">
        <v>717.49</v>
      </c>
      <c r="H4078">
        <v>1.325</v>
      </c>
    </row>
    <row r="4079" spans="2:8" x14ac:dyDescent="0.25">
      <c r="B4079">
        <v>1.3293999999999999</v>
      </c>
      <c r="C4079">
        <v>225</v>
      </c>
      <c r="D4079">
        <v>180</v>
      </c>
      <c r="E4079">
        <v>0.4405</v>
      </c>
      <c r="F4079">
        <v>2.2700999999999998</v>
      </c>
      <c r="G4079">
        <v>720.5</v>
      </c>
      <c r="H4079">
        <v>1.3293999999999999</v>
      </c>
    </row>
    <row r="4080" spans="2:8" x14ac:dyDescent="0.25">
      <c r="B4080">
        <v>1.3337000000000001</v>
      </c>
      <c r="C4080">
        <v>230</v>
      </c>
      <c r="D4080">
        <v>180</v>
      </c>
      <c r="E4080">
        <v>0.43663999999999997</v>
      </c>
      <c r="F4080">
        <v>2.2902</v>
      </c>
      <c r="G4080">
        <v>723.51</v>
      </c>
      <c r="H4080">
        <v>1.3337000000000001</v>
      </c>
    </row>
    <row r="4081" spans="2:8" x14ac:dyDescent="0.25">
      <c r="B4081">
        <v>1.3381000000000001</v>
      </c>
      <c r="C4081">
        <v>235</v>
      </c>
      <c r="D4081">
        <v>180</v>
      </c>
      <c r="E4081">
        <v>0.43285000000000001</v>
      </c>
      <c r="F4081">
        <v>2.3102999999999998</v>
      </c>
      <c r="G4081">
        <v>726.51</v>
      </c>
      <c r="H4081">
        <v>1.3381000000000001</v>
      </c>
    </row>
    <row r="4082" spans="2:8" x14ac:dyDescent="0.25">
      <c r="B4082">
        <v>1.3424</v>
      </c>
      <c r="C4082">
        <v>240</v>
      </c>
      <c r="D4082">
        <v>180</v>
      </c>
      <c r="E4082">
        <v>0.42914999999999998</v>
      </c>
      <c r="F4082">
        <v>2.3302</v>
      </c>
      <c r="G4082">
        <v>729.5</v>
      </c>
      <c r="H4082">
        <v>1.3424</v>
      </c>
    </row>
    <row r="4083" spans="2:8" x14ac:dyDescent="0.25">
      <c r="B4083">
        <v>1.3466</v>
      </c>
      <c r="C4083">
        <v>245</v>
      </c>
      <c r="D4083">
        <v>180</v>
      </c>
      <c r="E4083">
        <v>0.42552000000000001</v>
      </c>
      <c r="F4083">
        <v>2.3500999999999999</v>
      </c>
      <c r="G4083">
        <v>732.49</v>
      </c>
      <c r="H4083">
        <v>1.3466</v>
      </c>
    </row>
    <row r="4084" spans="2:8" x14ac:dyDescent="0.25">
      <c r="B4084">
        <v>1.3509</v>
      </c>
      <c r="C4084">
        <v>250</v>
      </c>
      <c r="D4084">
        <v>180</v>
      </c>
      <c r="E4084">
        <v>0.42196</v>
      </c>
      <c r="F4084">
        <v>2.3698999999999999</v>
      </c>
      <c r="G4084">
        <v>735.48</v>
      </c>
      <c r="H4084">
        <v>1.3509</v>
      </c>
    </row>
    <row r="4085" spans="2:8" x14ac:dyDescent="0.25">
      <c r="B4085">
        <v>1.355</v>
      </c>
      <c r="C4085">
        <v>255</v>
      </c>
      <c r="D4085">
        <v>180</v>
      </c>
      <c r="E4085">
        <v>0.41848000000000002</v>
      </c>
      <c r="F4085">
        <v>2.3896000000000002</v>
      </c>
      <c r="G4085">
        <v>738.46</v>
      </c>
      <c r="H4085">
        <v>1.355</v>
      </c>
    </row>
    <row r="4086" spans="2:8" x14ac:dyDescent="0.25">
      <c r="B4086">
        <v>1.3592</v>
      </c>
      <c r="C4086">
        <v>260</v>
      </c>
      <c r="D4086">
        <v>180</v>
      </c>
      <c r="E4086">
        <v>0.41505999999999998</v>
      </c>
      <c r="F4086">
        <v>2.4093</v>
      </c>
      <c r="G4086">
        <v>741.44</v>
      </c>
      <c r="H4086">
        <v>1.3592</v>
      </c>
    </row>
    <row r="4087" spans="2:8" x14ac:dyDescent="0.25">
      <c r="B4087">
        <v>1.3633</v>
      </c>
      <c r="C4087">
        <v>265</v>
      </c>
      <c r="D4087">
        <v>180</v>
      </c>
      <c r="E4087">
        <v>0.41171000000000002</v>
      </c>
      <c r="F4087">
        <v>2.4289000000000001</v>
      </c>
      <c r="G4087">
        <v>744.41</v>
      </c>
      <c r="H4087">
        <v>1.3633</v>
      </c>
    </row>
    <row r="4088" spans="2:8" x14ac:dyDescent="0.25">
      <c r="B4088">
        <v>1.3673999999999999</v>
      </c>
      <c r="C4088">
        <v>270</v>
      </c>
      <c r="D4088">
        <v>180</v>
      </c>
      <c r="E4088">
        <v>0.40842000000000001</v>
      </c>
      <c r="F4088">
        <v>2.4483999999999999</v>
      </c>
      <c r="G4088">
        <v>747.39</v>
      </c>
      <c r="H4088">
        <v>1.3673999999999999</v>
      </c>
    </row>
    <row r="4089" spans="2:8" x14ac:dyDescent="0.25">
      <c r="B4089">
        <v>1.3714999999999999</v>
      </c>
      <c r="C4089">
        <v>275</v>
      </c>
      <c r="D4089">
        <v>180</v>
      </c>
      <c r="E4089">
        <v>0.4052</v>
      </c>
      <c r="F4089">
        <v>2.4679000000000002</v>
      </c>
      <c r="G4089">
        <v>750.36</v>
      </c>
      <c r="H4089">
        <v>1.3714999999999999</v>
      </c>
    </row>
    <row r="4090" spans="2:8" x14ac:dyDescent="0.25">
      <c r="B4090">
        <v>1.3754999999999999</v>
      </c>
      <c r="C4090">
        <v>280</v>
      </c>
      <c r="D4090">
        <v>180</v>
      </c>
      <c r="E4090">
        <v>0.40203</v>
      </c>
      <c r="F4090">
        <v>2.4874000000000001</v>
      </c>
      <c r="G4090">
        <v>753.33</v>
      </c>
      <c r="H4090">
        <v>1.3754999999999999</v>
      </c>
    </row>
    <row r="4091" spans="2:8" x14ac:dyDescent="0.25">
      <c r="B4091">
        <v>1.3794999999999999</v>
      </c>
      <c r="C4091">
        <v>285</v>
      </c>
      <c r="D4091">
        <v>180</v>
      </c>
      <c r="E4091">
        <v>0.39892</v>
      </c>
      <c r="F4091">
        <v>2.5068000000000001</v>
      </c>
      <c r="G4091">
        <v>756.3</v>
      </c>
      <c r="H4091">
        <v>1.3794999999999999</v>
      </c>
    </row>
    <row r="4092" spans="2:8" x14ac:dyDescent="0.25">
      <c r="B4092">
        <v>1.3835</v>
      </c>
      <c r="C4092">
        <v>290</v>
      </c>
      <c r="D4092">
        <v>180</v>
      </c>
      <c r="E4092">
        <v>0.39587</v>
      </c>
      <c r="F4092">
        <v>2.5261</v>
      </c>
      <c r="G4092">
        <v>759.27</v>
      </c>
      <c r="H4092">
        <v>1.3835</v>
      </c>
    </row>
    <row r="4093" spans="2:8" x14ac:dyDescent="0.25">
      <c r="B4093">
        <v>1.3874</v>
      </c>
      <c r="C4093">
        <v>295</v>
      </c>
      <c r="D4093">
        <v>180</v>
      </c>
      <c r="E4093">
        <v>0.39287</v>
      </c>
      <c r="F4093">
        <v>2.5453999999999999</v>
      </c>
      <c r="G4093">
        <v>762.24</v>
      </c>
      <c r="H4093">
        <v>1.3874</v>
      </c>
    </row>
    <row r="4094" spans="2:8" x14ac:dyDescent="0.25">
      <c r="B4094">
        <v>1.3913</v>
      </c>
      <c r="C4094">
        <v>300</v>
      </c>
      <c r="D4094">
        <v>180</v>
      </c>
      <c r="E4094">
        <v>0.38991999999999999</v>
      </c>
      <c r="F4094">
        <v>2.5646</v>
      </c>
      <c r="G4094">
        <v>765.21</v>
      </c>
      <c r="H4094">
        <v>1.3913</v>
      </c>
    </row>
    <row r="4095" spans="2:8" x14ac:dyDescent="0.25">
      <c r="B4095">
        <v>1.3952</v>
      </c>
      <c r="C4095">
        <v>305</v>
      </c>
      <c r="D4095">
        <v>180</v>
      </c>
      <c r="E4095">
        <v>0.38701999999999998</v>
      </c>
      <c r="F4095">
        <v>2.5838000000000001</v>
      </c>
      <c r="G4095">
        <v>768.18</v>
      </c>
      <c r="H4095">
        <v>1.3952</v>
      </c>
    </row>
    <row r="4096" spans="2:8" x14ac:dyDescent="0.25">
      <c r="B4096">
        <v>1.3991</v>
      </c>
      <c r="C4096">
        <v>310</v>
      </c>
      <c r="D4096">
        <v>180</v>
      </c>
      <c r="E4096">
        <v>0.38418000000000002</v>
      </c>
      <c r="F4096">
        <v>2.6030000000000002</v>
      </c>
      <c r="G4096">
        <v>771.15</v>
      </c>
      <c r="H4096">
        <v>1.3991</v>
      </c>
    </row>
    <row r="4097" spans="1:8" x14ac:dyDescent="0.25">
      <c r="B4097">
        <v>1.403</v>
      </c>
      <c r="C4097">
        <v>315</v>
      </c>
      <c r="D4097">
        <v>180</v>
      </c>
      <c r="E4097">
        <v>0.38138</v>
      </c>
      <c r="F4097">
        <v>2.6221000000000001</v>
      </c>
      <c r="G4097">
        <v>774.12</v>
      </c>
      <c r="H4097">
        <v>1.403</v>
      </c>
    </row>
    <row r="4098" spans="1:8" x14ac:dyDescent="0.25">
      <c r="B4098">
        <v>1.4068000000000001</v>
      </c>
      <c r="C4098">
        <v>320</v>
      </c>
      <c r="D4098">
        <v>180</v>
      </c>
      <c r="E4098">
        <v>0.37862000000000001</v>
      </c>
      <c r="F4098">
        <v>2.6412</v>
      </c>
      <c r="G4098">
        <v>777.1</v>
      </c>
      <c r="H4098">
        <v>1.4068000000000001</v>
      </c>
    </row>
    <row r="4099" spans="1:8" x14ac:dyDescent="0.25">
      <c r="B4099">
        <v>1.4106000000000001</v>
      </c>
      <c r="C4099">
        <v>325</v>
      </c>
      <c r="D4099">
        <v>180</v>
      </c>
      <c r="E4099">
        <v>0.37591000000000002</v>
      </c>
      <c r="F4099">
        <v>2.6602000000000001</v>
      </c>
      <c r="G4099">
        <v>780.07</v>
      </c>
      <c r="H4099">
        <v>1.4106000000000001</v>
      </c>
    </row>
    <row r="4100" spans="1:8" x14ac:dyDescent="0.25">
      <c r="B4100">
        <v>1.4144000000000001</v>
      </c>
      <c r="C4100">
        <v>330</v>
      </c>
      <c r="D4100">
        <v>180</v>
      </c>
      <c r="E4100">
        <v>0.37325000000000003</v>
      </c>
      <c r="F4100">
        <v>2.6791999999999998</v>
      </c>
      <c r="G4100">
        <v>783.05</v>
      </c>
      <c r="H4100">
        <v>1.4144000000000001</v>
      </c>
    </row>
    <row r="4101" spans="1:8" x14ac:dyDescent="0.25">
      <c r="B4101">
        <v>1.4180999999999999</v>
      </c>
      <c r="C4101">
        <v>335</v>
      </c>
      <c r="D4101">
        <v>180</v>
      </c>
      <c r="E4101">
        <v>0.37062</v>
      </c>
      <c r="F4101">
        <v>2.6981999999999999</v>
      </c>
      <c r="G4101">
        <v>786.03</v>
      </c>
      <c r="H4101">
        <v>1.4180999999999999</v>
      </c>
    </row>
    <row r="4102" spans="1:8" x14ac:dyDescent="0.25">
      <c r="B4102">
        <v>1.4218999999999999</v>
      </c>
      <c r="C4102">
        <v>340</v>
      </c>
      <c r="D4102">
        <v>180</v>
      </c>
      <c r="E4102">
        <v>0.36803999999999998</v>
      </c>
      <c r="F4102">
        <v>2.7170999999999998</v>
      </c>
      <c r="G4102">
        <v>789.01</v>
      </c>
      <c r="H4102">
        <v>1.4218999999999999</v>
      </c>
    </row>
    <row r="4103" spans="1:8" x14ac:dyDescent="0.25">
      <c r="B4103">
        <v>1.4256</v>
      </c>
      <c r="C4103">
        <v>345</v>
      </c>
      <c r="D4103">
        <v>180</v>
      </c>
      <c r="E4103">
        <v>0.36549999999999999</v>
      </c>
      <c r="F4103">
        <v>2.7360000000000002</v>
      </c>
      <c r="G4103">
        <v>791.99</v>
      </c>
      <c r="H4103">
        <v>1.4256</v>
      </c>
    </row>
    <row r="4104" spans="1:8" x14ac:dyDescent="0.25">
      <c r="B4104">
        <v>1.4293</v>
      </c>
      <c r="C4104">
        <v>350</v>
      </c>
      <c r="D4104">
        <v>180</v>
      </c>
      <c r="E4104">
        <v>0.36299999999999999</v>
      </c>
      <c r="F4104">
        <v>2.7547999999999999</v>
      </c>
      <c r="G4104">
        <v>794.98</v>
      </c>
      <c r="H4104">
        <v>1.4293</v>
      </c>
    </row>
    <row r="4106" spans="1:8" x14ac:dyDescent="0.25">
      <c r="A4106">
        <v>185</v>
      </c>
      <c r="B4106">
        <v>9.6393999999999994E-2</v>
      </c>
      <c r="C4106">
        <v>0</v>
      </c>
      <c r="D4106">
        <v>185</v>
      </c>
      <c r="E4106">
        <v>41.381999999999998</v>
      </c>
      <c r="F4106">
        <v>2.4164999999999999E-2</v>
      </c>
      <c r="G4106">
        <v>43.125</v>
      </c>
      <c r="H4106">
        <v>9.6393999999999994E-2</v>
      </c>
    </row>
    <row r="4107" spans="1:8" x14ac:dyDescent="0.25">
      <c r="B4107">
        <v>0.1081</v>
      </c>
      <c r="C4107">
        <v>5</v>
      </c>
      <c r="D4107">
        <v>185</v>
      </c>
      <c r="E4107">
        <v>41.156999999999996</v>
      </c>
      <c r="F4107">
        <v>2.4296999999999999E-2</v>
      </c>
      <c r="G4107">
        <v>48.533000000000001</v>
      </c>
      <c r="H4107">
        <v>0.1081</v>
      </c>
    </row>
    <row r="4108" spans="1:8" x14ac:dyDescent="0.25">
      <c r="B4108">
        <v>0.11971</v>
      </c>
      <c r="C4108">
        <v>10</v>
      </c>
      <c r="D4108">
        <v>185</v>
      </c>
      <c r="E4108">
        <v>40.929000000000002</v>
      </c>
      <c r="F4108">
        <v>2.4433E-2</v>
      </c>
      <c r="G4108">
        <v>53.957999999999998</v>
      </c>
      <c r="H4108">
        <v>0.11971</v>
      </c>
    </row>
    <row r="4109" spans="1:8" x14ac:dyDescent="0.25">
      <c r="B4109">
        <v>0.13123000000000001</v>
      </c>
      <c r="C4109">
        <v>15</v>
      </c>
      <c r="D4109">
        <v>185</v>
      </c>
      <c r="E4109">
        <v>40.698999999999998</v>
      </c>
      <c r="F4109">
        <v>2.4570999999999999E-2</v>
      </c>
      <c r="G4109">
        <v>59.4</v>
      </c>
      <c r="H4109">
        <v>0.13123000000000001</v>
      </c>
    </row>
    <row r="4110" spans="1:8" x14ac:dyDescent="0.25">
      <c r="B4110">
        <v>0.14266999999999999</v>
      </c>
      <c r="C4110">
        <v>20</v>
      </c>
      <c r="D4110">
        <v>185</v>
      </c>
      <c r="E4110">
        <v>40.466999999999999</v>
      </c>
      <c r="F4110">
        <v>2.4711E-2</v>
      </c>
      <c r="G4110">
        <v>64.858000000000004</v>
      </c>
      <c r="H4110">
        <v>0.14266999999999999</v>
      </c>
    </row>
    <row r="4111" spans="1:8" x14ac:dyDescent="0.25">
      <c r="B4111">
        <v>0.15403</v>
      </c>
      <c r="C4111">
        <v>25</v>
      </c>
      <c r="D4111">
        <v>185</v>
      </c>
      <c r="E4111">
        <v>40.232999999999997</v>
      </c>
      <c r="F4111">
        <v>2.4854999999999999E-2</v>
      </c>
      <c r="G4111">
        <v>70.332999999999998</v>
      </c>
      <c r="H4111">
        <v>0.15403</v>
      </c>
    </row>
    <row r="4112" spans="1:8" x14ac:dyDescent="0.25">
      <c r="B4112">
        <v>0.1653</v>
      </c>
      <c r="C4112">
        <v>30</v>
      </c>
      <c r="D4112">
        <v>185</v>
      </c>
      <c r="E4112">
        <v>39.997</v>
      </c>
      <c r="F4112">
        <v>2.5002E-2</v>
      </c>
      <c r="G4112">
        <v>75.826999999999998</v>
      </c>
      <c r="H4112">
        <v>0.1653</v>
      </c>
    </row>
    <row r="4113" spans="2:8" x14ac:dyDescent="0.25">
      <c r="B4113">
        <v>0.17649999999999999</v>
      </c>
      <c r="C4113">
        <v>35</v>
      </c>
      <c r="D4113">
        <v>185</v>
      </c>
      <c r="E4113">
        <v>39.758000000000003</v>
      </c>
      <c r="F4113">
        <v>2.5152000000000001E-2</v>
      </c>
      <c r="G4113">
        <v>81.337999999999994</v>
      </c>
      <c r="H4113">
        <v>0.17649999999999999</v>
      </c>
    </row>
    <row r="4114" spans="2:8" x14ac:dyDescent="0.25">
      <c r="B4114">
        <v>0.18762999999999999</v>
      </c>
      <c r="C4114">
        <v>40</v>
      </c>
      <c r="D4114">
        <v>185</v>
      </c>
      <c r="E4114">
        <v>39.517000000000003</v>
      </c>
      <c r="F4114">
        <v>2.5305000000000001E-2</v>
      </c>
      <c r="G4114">
        <v>86.867999999999995</v>
      </c>
      <c r="H4114">
        <v>0.18762999999999999</v>
      </c>
    </row>
    <row r="4115" spans="2:8" x14ac:dyDescent="0.25">
      <c r="B4115">
        <v>0.19868</v>
      </c>
      <c r="C4115">
        <v>45</v>
      </c>
      <c r="D4115">
        <v>185</v>
      </c>
      <c r="E4115">
        <v>39.274000000000001</v>
      </c>
      <c r="F4115">
        <v>2.5461999999999999E-2</v>
      </c>
      <c r="G4115">
        <v>92.418000000000006</v>
      </c>
      <c r="H4115">
        <v>0.19868</v>
      </c>
    </row>
    <row r="4116" spans="2:8" x14ac:dyDescent="0.25">
      <c r="B4116">
        <v>0.20966000000000001</v>
      </c>
      <c r="C4116">
        <v>50</v>
      </c>
      <c r="D4116">
        <v>185</v>
      </c>
      <c r="E4116">
        <v>39.027000000000001</v>
      </c>
      <c r="F4116">
        <v>2.5623E-2</v>
      </c>
      <c r="G4116">
        <v>97.988</v>
      </c>
      <c r="H4116">
        <v>0.20966000000000001</v>
      </c>
    </row>
    <row r="4117" spans="2:8" x14ac:dyDescent="0.25">
      <c r="B4117">
        <v>0.22058</v>
      </c>
      <c r="C4117">
        <v>55</v>
      </c>
      <c r="D4117">
        <v>185</v>
      </c>
      <c r="E4117">
        <v>38.777999999999999</v>
      </c>
      <c r="F4117">
        <v>2.5787999999999998E-2</v>
      </c>
      <c r="G4117">
        <v>103.58</v>
      </c>
      <c r="H4117">
        <v>0.22058</v>
      </c>
    </row>
    <row r="4118" spans="2:8" x14ac:dyDescent="0.25">
      <c r="B4118">
        <v>0.23143</v>
      </c>
      <c r="C4118">
        <v>60</v>
      </c>
      <c r="D4118">
        <v>185</v>
      </c>
      <c r="E4118">
        <v>38.526000000000003</v>
      </c>
      <c r="F4118">
        <v>2.5956E-2</v>
      </c>
      <c r="G4118">
        <v>109.19</v>
      </c>
      <c r="H4118">
        <v>0.23143</v>
      </c>
    </row>
    <row r="4119" spans="2:8" x14ac:dyDescent="0.25">
      <c r="B4119">
        <v>0.24223</v>
      </c>
      <c r="C4119">
        <v>65</v>
      </c>
      <c r="D4119">
        <v>185</v>
      </c>
      <c r="E4119">
        <v>38.271000000000001</v>
      </c>
      <c r="F4119">
        <v>2.6128999999999999E-2</v>
      </c>
      <c r="G4119">
        <v>114.83</v>
      </c>
      <c r="H4119">
        <v>0.24223</v>
      </c>
    </row>
    <row r="4120" spans="2:8" x14ac:dyDescent="0.25">
      <c r="B4120">
        <v>0.25296999999999997</v>
      </c>
      <c r="C4120">
        <v>70</v>
      </c>
      <c r="D4120">
        <v>185</v>
      </c>
      <c r="E4120">
        <v>38.012999999999998</v>
      </c>
      <c r="F4120">
        <v>2.6307000000000001E-2</v>
      </c>
      <c r="G4120">
        <v>120.49</v>
      </c>
      <c r="H4120">
        <v>0.25296999999999997</v>
      </c>
    </row>
    <row r="4121" spans="2:8" x14ac:dyDescent="0.25">
      <c r="B4121">
        <v>0.26366000000000001</v>
      </c>
      <c r="C4121">
        <v>75</v>
      </c>
      <c r="D4121">
        <v>185</v>
      </c>
      <c r="E4121">
        <v>37.750999999999998</v>
      </c>
      <c r="F4121">
        <v>2.6488999999999999E-2</v>
      </c>
      <c r="G4121">
        <v>126.18</v>
      </c>
      <c r="H4121">
        <v>0.26366000000000001</v>
      </c>
    </row>
    <row r="4122" spans="2:8" x14ac:dyDescent="0.25">
      <c r="B4122">
        <v>0.27429999999999999</v>
      </c>
      <c r="C4122">
        <v>80</v>
      </c>
      <c r="D4122">
        <v>185</v>
      </c>
      <c r="E4122">
        <v>37.485999999999997</v>
      </c>
      <c r="F4122">
        <v>2.6676999999999999E-2</v>
      </c>
      <c r="G4122">
        <v>131.9</v>
      </c>
      <c r="H4122">
        <v>0.27429999999999999</v>
      </c>
    </row>
    <row r="4123" spans="2:8" x14ac:dyDescent="0.25">
      <c r="B4123">
        <v>0.28489999999999999</v>
      </c>
      <c r="C4123">
        <v>85</v>
      </c>
      <c r="D4123">
        <v>185</v>
      </c>
      <c r="E4123">
        <v>37.216000000000001</v>
      </c>
      <c r="F4123">
        <v>2.6870000000000002E-2</v>
      </c>
      <c r="G4123">
        <v>137.63999999999999</v>
      </c>
      <c r="H4123">
        <v>0.28489999999999999</v>
      </c>
    </row>
    <row r="4124" spans="2:8" x14ac:dyDescent="0.25">
      <c r="B4124">
        <v>0.29546</v>
      </c>
      <c r="C4124">
        <v>90</v>
      </c>
      <c r="D4124">
        <v>185</v>
      </c>
      <c r="E4124">
        <v>36.942999999999998</v>
      </c>
      <c r="F4124">
        <v>2.7068999999999999E-2</v>
      </c>
      <c r="G4124">
        <v>143.41999999999999</v>
      </c>
      <c r="H4124">
        <v>0.29546</v>
      </c>
    </row>
    <row r="4125" spans="2:8" x14ac:dyDescent="0.25">
      <c r="B4125">
        <v>1.1866000000000001</v>
      </c>
      <c r="C4125">
        <v>95</v>
      </c>
      <c r="D4125">
        <v>185</v>
      </c>
      <c r="E4125">
        <v>0.60987000000000002</v>
      </c>
      <c r="F4125">
        <v>1.6396999999999999</v>
      </c>
      <c r="G4125">
        <v>634.52</v>
      </c>
      <c r="H4125">
        <v>1.1866000000000001</v>
      </c>
    </row>
    <row r="4126" spans="2:8" x14ac:dyDescent="0.25">
      <c r="B4126">
        <v>1.1935</v>
      </c>
      <c r="C4126">
        <v>100</v>
      </c>
      <c r="D4126">
        <v>185</v>
      </c>
      <c r="E4126">
        <v>0.60058</v>
      </c>
      <c r="F4126">
        <v>1.6651</v>
      </c>
      <c r="G4126">
        <v>638.37</v>
      </c>
      <c r="H4126">
        <v>1.1935</v>
      </c>
    </row>
    <row r="4127" spans="2:8" x14ac:dyDescent="0.25">
      <c r="B4127">
        <v>1.2001999999999999</v>
      </c>
      <c r="C4127">
        <v>105</v>
      </c>
      <c r="D4127">
        <v>185</v>
      </c>
      <c r="E4127">
        <v>0.59175</v>
      </c>
      <c r="F4127">
        <v>1.6899</v>
      </c>
      <c r="G4127">
        <v>642.13</v>
      </c>
      <c r="H4127">
        <v>1.2001999999999999</v>
      </c>
    </row>
    <row r="4128" spans="2:8" x14ac:dyDescent="0.25">
      <c r="B4128">
        <v>1.2067000000000001</v>
      </c>
      <c r="C4128">
        <v>110</v>
      </c>
      <c r="D4128">
        <v>185</v>
      </c>
      <c r="E4128">
        <v>0.58333999999999997</v>
      </c>
      <c r="F4128">
        <v>1.7142999999999999</v>
      </c>
      <c r="G4128">
        <v>645.82000000000005</v>
      </c>
      <c r="H4128">
        <v>1.2067000000000001</v>
      </c>
    </row>
    <row r="4129" spans="2:8" x14ac:dyDescent="0.25">
      <c r="B4129">
        <v>1.2130000000000001</v>
      </c>
      <c r="C4129">
        <v>115</v>
      </c>
      <c r="D4129">
        <v>185</v>
      </c>
      <c r="E4129">
        <v>0.57530000000000003</v>
      </c>
      <c r="F4129">
        <v>1.7382</v>
      </c>
      <c r="G4129">
        <v>649.42999999999995</v>
      </c>
      <c r="H4129">
        <v>1.2130000000000001</v>
      </c>
    </row>
    <row r="4130" spans="2:8" x14ac:dyDescent="0.25">
      <c r="B4130">
        <v>1.2191000000000001</v>
      </c>
      <c r="C4130">
        <v>120</v>
      </c>
      <c r="D4130">
        <v>185</v>
      </c>
      <c r="E4130">
        <v>0.56760999999999995</v>
      </c>
      <c r="F4130">
        <v>1.7618</v>
      </c>
      <c r="G4130">
        <v>652.99</v>
      </c>
      <c r="H4130">
        <v>1.2191000000000001</v>
      </c>
    </row>
    <row r="4131" spans="2:8" x14ac:dyDescent="0.25">
      <c r="B4131">
        <v>1.2251000000000001</v>
      </c>
      <c r="C4131">
        <v>125</v>
      </c>
      <c r="D4131">
        <v>185</v>
      </c>
      <c r="E4131">
        <v>0.56022000000000005</v>
      </c>
      <c r="F4131">
        <v>1.7849999999999999</v>
      </c>
      <c r="G4131">
        <v>656.48</v>
      </c>
      <c r="H4131">
        <v>1.2251000000000001</v>
      </c>
    </row>
    <row r="4132" spans="2:8" x14ac:dyDescent="0.25">
      <c r="B4132">
        <v>1.2310000000000001</v>
      </c>
      <c r="C4132">
        <v>130</v>
      </c>
      <c r="D4132">
        <v>185</v>
      </c>
      <c r="E4132">
        <v>0.55313000000000001</v>
      </c>
      <c r="F4132">
        <v>1.8079000000000001</v>
      </c>
      <c r="G4132">
        <v>659.93</v>
      </c>
      <c r="H4132">
        <v>1.2310000000000001</v>
      </c>
    </row>
    <row r="4133" spans="2:8" x14ac:dyDescent="0.25">
      <c r="B4133">
        <v>1.2367999999999999</v>
      </c>
      <c r="C4133">
        <v>135</v>
      </c>
      <c r="D4133">
        <v>185</v>
      </c>
      <c r="E4133">
        <v>0.54630000000000001</v>
      </c>
      <c r="F4133">
        <v>1.8305</v>
      </c>
      <c r="G4133">
        <v>663.33</v>
      </c>
      <c r="H4133">
        <v>1.2367999999999999</v>
      </c>
    </row>
    <row r="4134" spans="2:8" x14ac:dyDescent="0.25">
      <c r="B4134">
        <v>1.2423999999999999</v>
      </c>
      <c r="C4134">
        <v>140</v>
      </c>
      <c r="D4134">
        <v>185</v>
      </c>
      <c r="E4134">
        <v>0.53971000000000002</v>
      </c>
      <c r="F4134">
        <v>1.8528</v>
      </c>
      <c r="G4134">
        <v>666.69</v>
      </c>
      <c r="H4134">
        <v>1.2423999999999999</v>
      </c>
    </row>
    <row r="4135" spans="2:8" x14ac:dyDescent="0.25">
      <c r="B4135">
        <v>1.2479</v>
      </c>
      <c r="C4135">
        <v>145</v>
      </c>
      <c r="D4135">
        <v>185</v>
      </c>
      <c r="E4135">
        <v>0.53334999999999999</v>
      </c>
      <c r="F4135">
        <v>1.8749</v>
      </c>
      <c r="G4135">
        <v>670.01</v>
      </c>
      <c r="H4135">
        <v>1.2479</v>
      </c>
    </row>
    <row r="4136" spans="2:8" x14ac:dyDescent="0.25">
      <c r="B4136">
        <v>1.2533000000000001</v>
      </c>
      <c r="C4136">
        <v>150</v>
      </c>
      <c r="D4136">
        <v>185</v>
      </c>
      <c r="E4136">
        <v>0.52720999999999996</v>
      </c>
      <c r="F4136">
        <v>1.8968</v>
      </c>
      <c r="G4136">
        <v>673.29</v>
      </c>
      <c r="H4136">
        <v>1.2533000000000001</v>
      </c>
    </row>
    <row r="4137" spans="2:8" x14ac:dyDescent="0.25">
      <c r="B4137">
        <v>1.2585999999999999</v>
      </c>
      <c r="C4137">
        <v>155</v>
      </c>
      <c r="D4137">
        <v>185</v>
      </c>
      <c r="E4137">
        <v>0.52125999999999995</v>
      </c>
      <c r="F4137">
        <v>1.9184000000000001</v>
      </c>
      <c r="G4137">
        <v>676.55</v>
      </c>
      <c r="H4137">
        <v>1.2585999999999999</v>
      </c>
    </row>
    <row r="4138" spans="2:8" x14ac:dyDescent="0.25">
      <c r="B4138">
        <v>1.2639</v>
      </c>
      <c r="C4138">
        <v>160</v>
      </c>
      <c r="D4138">
        <v>185</v>
      </c>
      <c r="E4138">
        <v>0.51549999999999996</v>
      </c>
      <c r="F4138">
        <v>1.9399</v>
      </c>
      <c r="G4138">
        <v>679.77</v>
      </c>
      <c r="H4138">
        <v>1.2639</v>
      </c>
    </row>
    <row r="4139" spans="2:8" x14ac:dyDescent="0.25">
      <c r="B4139">
        <v>1.2689999999999999</v>
      </c>
      <c r="C4139">
        <v>165</v>
      </c>
      <c r="D4139">
        <v>185</v>
      </c>
      <c r="E4139">
        <v>0.50990999999999997</v>
      </c>
      <c r="F4139">
        <v>1.9611000000000001</v>
      </c>
      <c r="G4139">
        <v>682.98</v>
      </c>
      <c r="H4139">
        <v>1.2689999999999999</v>
      </c>
    </row>
    <row r="4140" spans="2:8" x14ac:dyDescent="0.25">
      <c r="B4140">
        <v>1.2741</v>
      </c>
      <c r="C4140">
        <v>170</v>
      </c>
      <c r="D4140">
        <v>185</v>
      </c>
      <c r="E4140">
        <v>0.50448999999999999</v>
      </c>
      <c r="F4140">
        <v>1.9822</v>
      </c>
      <c r="G4140">
        <v>686.15</v>
      </c>
      <c r="H4140">
        <v>1.2741</v>
      </c>
    </row>
    <row r="4141" spans="2:8" x14ac:dyDescent="0.25">
      <c r="B4141">
        <v>1.2790999999999999</v>
      </c>
      <c r="C4141">
        <v>175</v>
      </c>
      <c r="D4141">
        <v>185</v>
      </c>
      <c r="E4141">
        <v>0.49922</v>
      </c>
      <c r="F4141">
        <v>2.0030999999999999</v>
      </c>
      <c r="G4141">
        <v>689.31</v>
      </c>
      <c r="H4141">
        <v>1.2790999999999999</v>
      </c>
    </row>
    <row r="4142" spans="2:8" x14ac:dyDescent="0.25">
      <c r="B4142">
        <v>1.284</v>
      </c>
      <c r="C4142">
        <v>180</v>
      </c>
      <c r="D4142">
        <v>185</v>
      </c>
      <c r="E4142">
        <v>0.49409999999999998</v>
      </c>
      <c r="F4142">
        <v>2.0238999999999998</v>
      </c>
      <c r="G4142">
        <v>692.45</v>
      </c>
      <c r="H4142">
        <v>1.284</v>
      </c>
    </row>
    <row r="4143" spans="2:8" x14ac:dyDescent="0.25">
      <c r="B4143">
        <v>1.2887999999999999</v>
      </c>
      <c r="C4143">
        <v>185</v>
      </c>
      <c r="D4143">
        <v>185</v>
      </c>
      <c r="E4143">
        <v>0.48912</v>
      </c>
      <c r="F4143">
        <v>2.0445000000000002</v>
      </c>
      <c r="G4143">
        <v>695.57</v>
      </c>
      <c r="H4143">
        <v>1.2887999999999999</v>
      </c>
    </row>
    <row r="4144" spans="2:8" x14ac:dyDescent="0.25">
      <c r="B4144">
        <v>1.2936000000000001</v>
      </c>
      <c r="C4144">
        <v>190</v>
      </c>
      <c r="D4144">
        <v>185</v>
      </c>
      <c r="E4144">
        <v>0.48426000000000002</v>
      </c>
      <c r="F4144">
        <v>2.0649999999999999</v>
      </c>
      <c r="G4144">
        <v>698.67</v>
      </c>
      <c r="H4144">
        <v>1.2936000000000001</v>
      </c>
    </row>
    <row r="4145" spans="2:8" x14ac:dyDescent="0.25">
      <c r="B4145">
        <v>1.2984</v>
      </c>
      <c r="C4145">
        <v>195</v>
      </c>
      <c r="D4145">
        <v>185</v>
      </c>
      <c r="E4145">
        <v>0.47954000000000002</v>
      </c>
      <c r="F4145">
        <v>2.0853000000000002</v>
      </c>
      <c r="G4145">
        <v>701.76</v>
      </c>
      <c r="H4145">
        <v>1.2984</v>
      </c>
    </row>
    <row r="4146" spans="2:8" x14ac:dyDescent="0.25">
      <c r="B4146">
        <v>1.3030999999999999</v>
      </c>
      <c r="C4146">
        <v>200</v>
      </c>
      <c r="D4146">
        <v>185</v>
      </c>
      <c r="E4146">
        <v>0.47493000000000002</v>
      </c>
      <c r="F4146">
        <v>2.1055999999999999</v>
      </c>
      <c r="G4146">
        <v>704.83</v>
      </c>
      <c r="H4146">
        <v>1.3030999999999999</v>
      </c>
    </row>
    <row r="4147" spans="2:8" x14ac:dyDescent="0.25">
      <c r="B4147">
        <v>1.3077000000000001</v>
      </c>
      <c r="C4147">
        <v>205</v>
      </c>
      <c r="D4147">
        <v>185</v>
      </c>
      <c r="E4147">
        <v>0.47043000000000001</v>
      </c>
      <c r="F4147">
        <v>2.1257000000000001</v>
      </c>
      <c r="G4147">
        <v>707.9</v>
      </c>
      <c r="H4147">
        <v>1.3077000000000001</v>
      </c>
    </row>
    <row r="4148" spans="2:8" x14ac:dyDescent="0.25">
      <c r="B4148">
        <v>1.3122</v>
      </c>
      <c r="C4148">
        <v>210</v>
      </c>
      <c r="D4148">
        <v>185</v>
      </c>
      <c r="E4148">
        <v>0.46604000000000001</v>
      </c>
      <c r="F4148">
        <v>2.1457000000000002</v>
      </c>
      <c r="G4148">
        <v>710.95</v>
      </c>
      <c r="H4148">
        <v>1.3122</v>
      </c>
    </row>
    <row r="4149" spans="2:8" x14ac:dyDescent="0.25">
      <c r="B4149">
        <v>1.3168</v>
      </c>
      <c r="C4149">
        <v>215</v>
      </c>
      <c r="D4149">
        <v>185</v>
      </c>
      <c r="E4149">
        <v>0.46176</v>
      </c>
      <c r="F4149">
        <v>2.1656</v>
      </c>
      <c r="G4149">
        <v>713.99</v>
      </c>
      <c r="H4149">
        <v>1.3168</v>
      </c>
    </row>
    <row r="4150" spans="2:8" x14ac:dyDescent="0.25">
      <c r="B4150">
        <v>1.3212999999999999</v>
      </c>
      <c r="C4150">
        <v>220</v>
      </c>
      <c r="D4150">
        <v>185</v>
      </c>
      <c r="E4150">
        <v>0.45756999999999998</v>
      </c>
      <c r="F4150">
        <v>2.1855000000000002</v>
      </c>
      <c r="G4150">
        <v>717.02</v>
      </c>
      <c r="H4150">
        <v>1.3212999999999999</v>
      </c>
    </row>
    <row r="4151" spans="2:8" x14ac:dyDescent="0.25">
      <c r="B4151">
        <v>1.3257000000000001</v>
      </c>
      <c r="C4151">
        <v>225</v>
      </c>
      <c r="D4151">
        <v>185</v>
      </c>
      <c r="E4151">
        <v>0.45346999999999998</v>
      </c>
      <c r="F4151">
        <v>2.2052</v>
      </c>
      <c r="G4151">
        <v>720.05</v>
      </c>
      <c r="H4151">
        <v>1.3257000000000001</v>
      </c>
    </row>
    <row r="4152" spans="2:8" x14ac:dyDescent="0.25">
      <c r="B4152">
        <v>1.3301000000000001</v>
      </c>
      <c r="C4152">
        <v>230</v>
      </c>
      <c r="D4152">
        <v>185</v>
      </c>
      <c r="E4152">
        <v>0.44946999999999998</v>
      </c>
      <c r="F4152">
        <v>2.2248000000000001</v>
      </c>
      <c r="G4152">
        <v>723.06</v>
      </c>
      <c r="H4152">
        <v>1.3301000000000001</v>
      </c>
    </row>
    <row r="4153" spans="2:8" x14ac:dyDescent="0.25">
      <c r="B4153">
        <v>1.3344</v>
      </c>
      <c r="C4153">
        <v>235</v>
      </c>
      <c r="D4153">
        <v>185</v>
      </c>
      <c r="E4153">
        <v>0.44555</v>
      </c>
      <c r="F4153">
        <v>2.2444000000000002</v>
      </c>
      <c r="G4153">
        <v>726.07</v>
      </c>
      <c r="H4153">
        <v>1.3344</v>
      </c>
    </row>
    <row r="4154" spans="2:8" x14ac:dyDescent="0.25">
      <c r="B4154">
        <v>1.3387</v>
      </c>
      <c r="C4154">
        <v>240</v>
      </c>
      <c r="D4154">
        <v>185</v>
      </c>
      <c r="E4154">
        <v>0.44172</v>
      </c>
      <c r="F4154">
        <v>2.2639</v>
      </c>
      <c r="G4154">
        <v>729.08</v>
      </c>
      <c r="H4154">
        <v>1.3387</v>
      </c>
    </row>
    <row r="4155" spans="2:8" x14ac:dyDescent="0.25">
      <c r="B4155">
        <v>1.343</v>
      </c>
      <c r="C4155">
        <v>245</v>
      </c>
      <c r="D4155">
        <v>185</v>
      </c>
      <c r="E4155">
        <v>0.43796000000000002</v>
      </c>
      <c r="F4155">
        <v>2.2833000000000001</v>
      </c>
      <c r="G4155">
        <v>732.08</v>
      </c>
      <c r="H4155">
        <v>1.343</v>
      </c>
    </row>
    <row r="4156" spans="2:8" x14ac:dyDescent="0.25">
      <c r="B4156">
        <v>1.3472</v>
      </c>
      <c r="C4156">
        <v>250</v>
      </c>
      <c r="D4156">
        <v>185</v>
      </c>
      <c r="E4156">
        <v>0.43429000000000001</v>
      </c>
      <c r="F4156">
        <v>2.3026</v>
      </c>
      <c r="G4156">
        <v>735.07</v>
      </c>
      <c r="H4156">
        <v>1.3472</v>
      </c>
    </row>
    <row r="4157" spans="2:8" x14ac:dyDescent="0.25">
      <c r="B4157">
        <v>1.3513999999999999</v>
      </c>
      <c r="C4157">
        <v>255</v>
      </c>
      <c r="D4157">
        <v>185</v>
      </c>
      <c r="E4157">
        <v>0.43068000000000001</v>
      </c>
      <c r="F4157">
        <v>2.3218999999999999</v>
      </c>
      <c r="G4157">
        <v>738.06</v>
      </c>
      <c r="H4157">
        <v>1.3513999999999999</v>
      </c>
    </row>
    <row r="4158" spans="2:8" x14ac:dyDescent="0.25">
      <c r="B4158">
        <v>1.3555999999999999</v>
      </c>
      <c r="C4158">
        <v>260</v>
      </c>
      <c r="D4158">
        <v>185</v>
      </c>
      <c r="E4158">
        <v>0.42714999999999997</v>
      </c>
      <c r="F4158">
        <v>2.3411</v>
      </c>
      <c r="G4158">
        <v>741.05</v>
      </c>
      <c r="H4158">
        <v>1.3555999999999999</v>
      </c>
    </row>
    <row r="4159" spans="2:8" x14ac:dyDescent="0.25">
      <c r="B4159">
        <v>1.3596999999999999</v>
      </c>
      <c r="C4159">
        <v>265</v>
      </c>
      <c r="D4159">
        <v>185</v>
      </c>
      <c r="E4159">
        <v>0.42369000000000001</v>
      </c>
      <c r="F4159">
        <v>2.3601999999999999</v>
      </c>
      <c r="G4159">
        <v>744.03</v>
      </c>
      <c r="H4159">
        <v>1.3596999999999999</v>
      </c>
    </row>
    <row r="4160" spans="2:8" x14ac:dyDescent="0.25">
      <c r="B4160">
        <v>1.3637999999999999</v>
      </c>
      <c r="C4160">
        <v>270</v>
      </c>
      <c r="D4160">
        <v>185</v>
      </c>
      <c r="E4160">
        <v>0.42029</v>
      </c>
      <c r="F4160">
        <v>2.3793000000000002</v>
      </c>
      <c r="G4160">
        <v>747.02</v>
      </c>
      <c r="H4160">
        <v>1.3637999999999999</v>
      </c>
    </row>
    <row r="4161" spans="2:8" x14ac:dyDescent="0.25">
      <c r="B4161">
        <v>1.3678999999999999</v>
      </c>
      <c r="C4161">
        <v>275</v>
      </c>
      <c r="D4161">
        <v>185</v>
      </c>
      <c r="E4161">
        <v>0.41694999999999999</v>
      </c>
      <c r="F4161">
        <v>2.3982999999999999</v>
      </c>
      <c r="G4161">
        <v>750</v>
      </c>
      <c r="H4161">
        <v>1.3678999999999999</v>
      </c>
    </row>
    <row r="4162" spans="2:8" x14ac:dyDescent="0.25">
      <c r="B4162">
        <v>1.3720000000000001</v>
      </c>
      <c r="C4162">
        <v>280</v>
      </c>
      <c r="D4162">
        <v>185</v>
      </c>
      <c r="E4162">
        <v>0.41367999999999999</v>
      </c>
      <c r="F4162">
        <v>2.4173</v>
      </c>
      <c r="G4162">
        <v>752.97</v>
      </c>
      <c r="H4162">
        <v>1.3720000000000001</v>
      </c>
    </row>
    <row r="4163" spans="2:8" x14ac:dyDescent="0.25">
      <c r="B4163">
        <v>1.3759999999999999</v>
      </c>
      <c r="C4163">
        <v>285</v>
      </c>
      <c r="D4163">
        <v>185</v>
      </c>
      <c r="E4163">
        <v>0.41047</v>
      </c>
      <c r="F4163">
        <v>2.4361999999999999</v>
      </c>
      <c r="G4163">
        <v>755.95</v>
      </c>
      <c r="H4163">
        <v>1.3759999999999999</v>
      </c>
    </row>
    <row r="4164" spans="2:8" x14ac:dyDescent="0.25">
      <c r="B4164">
        <v>1.3798999999999999</v>
      </c>
      <c r="C4164">
        <v>290</v>
      </c>
      <c r="D4164">
        <v>185</v>
      </c>
      <c r="E4164">
        <v>0.40732000000000002</v>
      </c>
      <c r="F4164">
        <v>2.4550999999999998</v>
      </c>
      <c r="G4164">
        <v>758.93</v>
      </c>
      <c r="H4164">
        <v>1.3798999999999999</v>
      </c>
    </row>
    <row r="4165" spans="2:8" x14ac:dyDescent="0.25">
      <c r="B4165">
        <v>1.3838999999999999</v>
      </c>
      <c r="C4165">
        <v>295</v>
      </c>
      <c r="D4165">
        <v>185</v>
      </c>
      <c r="E4165">
        <v>0.40422000000000002</v>
      </c>
      <c r="F4165">
        <v>2.4739</v>
      </c>
      <c r="G4165">
        <v>761.91</v>
      </c>
      <c r="H4165">
        <v>1.3838999999999999</v>
      </c>
    </row>
    <row r="4166" spans="2:8" x14ac:dyDescent="0.25">
      <c r="B4166">
        <v>1.3877999999999999</v>
      </c>
      <c r="C4166">
        <v>300</v>
      </c>
      <c r="D4166">
        <v>185</v>
      </c>
      <c r="E4166">
        <v>0.40117000000000003</v>
      </c>
      <c r="F4166">
        <v>2.4927000000000001</v>
      </c>
      <c r="G4166">
        <v>764.88</v>
      </c>
      <c r="H4166">
        <v>1.3877999999999999</v>
      </c>
    </row>
    <row r="4167" spans="2:8" x14ac:dyDescent="0.25">
      <c r="B4167">
        <v>1.3916999999999999</v>
      </c>
      <c r="C4167">
        <v>305</v>
      </c>
      <c r="D4167">
        <v>185</v>
      </c>
      <c r="E4167">
        <v>0.39817999999999998</v>
      </c>
      <c r="F4167">
        <v>2.5114000000000001</v>
      </c>
      <c r="G4167">
        <v>767.86</v>
      </c>
      <c r="H4167">
        <v>1.3916999999999999</v>
      </c>
    </row>
    <row r="4168" spans="2:8" x14ac:dyDescent="0.25">
      <c r="B4168">
        <v>1.3956</v>
      </c>
      <c r="C4168">
        <v>310</v>
      </c>
      <c r="D4168">
        <v>185</v>
      </c>
      <c r="E4168">
        <v>0.39523999999999998</v>
      </c>
      <c r="F4168">
        <v>2.5301</v>
      </c>
      <c r="G4168">
        <v>770.83</v>
      </c>
      <c r="H4168">
        <v>1.3956</v>
      </c>
    </row>
    <row r="4169" spans="2:8" x14ac:dyDescent="0.25">
      <c r="B4169">
        <v>1.3995</v>
      </c>
      <c r="C4169">
        <v>315</v>
      </c>
      <c r="D4169">
        <v>185</v>
      </c>
      <c r="E4169">
        <v>0.39234999999999998</v>
      </c>
      <c r="F4169">
        <v>2.5487000000000002</v>
      </c>
      <c r="G4169">
        <v>773.81</v>
      </c>
      <c r="H4169">
        <v>1.3995</v>
      </c>
    </row>
    <row r="4170" spans="2:8" x14ac:dyDescent="0.25">
      <c r="B4170">
        <v>1.4033</v>
      </c>
      <c r="C4170">
        <v>320</v>
      </c>
      <c r="D4170">
        <v>185</v>
      </c>
      <c r="E4170">
        <v>0.38951000000000002</v>
      </c>
      <c r="F4170">
        <v>2.5672999999999999</v>
      </c>
      <c r="G4170">
        <v>776.79</v>
      </c>
      <c r="H4170">
        <v>1.4033</v>
      </c>
    </row>
    <row r="4171" spans="2:8" x14ac:dyDescent="0.25">
      <c r="B4171">
        <v>1.4071</v>
      </c>
      <c r="C4171">
        <v>325</v>
      </c>
      <c r="D4171">
        <v>185</v>
      </c>
      <c r="E4171">
        <v>0.38671</v>
      </c>
      <c r="F4171">
        <v>2.5859000000000001</v>
      </c>
      <c r="G4171">
        <v>779.77</v>
      </c>
      <c r="H4171">
        <v>1.4071</v>
      </c>
    </row>
    <row r="4172" spans="2:8" x14ac:dyDescent="0.25">
      <c r="B4172">
        <v>1.4109</v>
      </c>
      <c r="C4172">
        <v>330</v>
      </c>
      <c r="D4172">
        <v>185</v>
      </c>
      <c r="E4172">
        <v>0.38396000000000002</v>
      </c>
      <c r="F4172">
        <v>2.6044</v>
      </c>
      <c r="G4172">
        <v>782.75</v>
      </c>
      <c r="H4172">
        <v>1.4109</v>
      </c>
    </row>
    <row r="4173" spans="2:8" x14ac:dyDescent="0.25">
      <c r="B4173">
        <v>1.4147000000000001</v>
      </c>
      <c r="C4173">
        <v>335</v>
      </c>
      <c r="D4173">
        <v>185</v>
      </c>
      <c r="E4173">
        <v>0.38124999999999998</v>
      </c>
      <c r="F4173">
        <v>2.6229</v>
      </c>
      <c r="G4173">
        <v>785.74</v>
      </c>
      <c r="H4173">
        <v>1.4147000000000001</v>
      </c>
    </row>
    <row r="4174" spans="2:8" x14ac:dyDescent="0.25">
      <c r="B4174">
        <v>1.4184000000000001</v>
      </c>
      <c r="C4174">
        <v>340</v>
      </c>
      <c r="D4174">
        <v>185</v>
      </c>
      <c r="E4174">
        <v>0.37858999999999998</v>
      </c>
      <c r="F4174">
        <v>2.6414</v>
      </c>
      <c r="G4174">
        <v>788.72</v>
      </c>
      <c r="H4174">
        <v>1.4184000000000001</v>
      </c>
    </row>
    <row r="4175" spans="2:8" x14ac:dyDescent="0.25">
      <c r="B4175">
        <v>1.4220999999999999</v>
      </c>
      <c r="C4175">
        <v>345</v>
      </c>
      <c r="D4175">
        <v>185</v>
      </c>
      <c r="E4175">
        <v>0.37597000000000003</v>
      </c>
      <c r="F4175">
        <v>2.6598000000000002</v>
      </c>
      <c r="G4175">
        <v>791.71</v>
      </c>
      <c r="H4175">
        <v>1.4220999999999999</v>
      </c>
    </row>
    <row r="4176" spans="2:8" x14ac:dyDescent="0.25">
      <c r="B4176">
        <v>1.4258999999999999</v>
      </c>
      <c r="C4176">
        <v>350</v>
      </c>
      <c r="D4176">
        <v>185</v>
      </c>
      <c r="E4176">
        <v>0.37339</v>
      </c>
      <c r="F4176">
        <v>2.6781999999999999</v>
      </c>
      <c r="G4176">
        <v>794.7</v>
      </c>
      <c r="H4176">
        <v>1.4258999999999999</v>
      </c>
    </row>
    <row r="4178" spans="1:8" x14ac:dyDescent="0.25">
      <c r="A4178">
        <v>190</v>
      </c>
      <c r="B4178">
        <v>9.6369999999999997E-2</v>
      </c>
      <c r="C4178">
        <v>0</v>
      </c>
      <c r="D4178">
        <v>190</v>
      </c>
      <c r="E4178">
        <v>41.384</v>
      </c>
      <c r="F4178">
        <v>2.4164000000000001E-2</v>
      </c>
      <c r="G4178">
        <v>43.136000000000003</v>
      </c>
      <c r="H4178">
        <v>9.6369999999999997E-2</v>
      </c>
    </row>
    <row r="4179" spans="1:8" x14ac:dyDescent="0.25">
      <c r="B4179">
        <v>0.10807</v>
      </c>
      <c r="C4179">
        <v>5</v>
      </c>
      <c r="D4179">
        <v>190</v>
      </c>
      <c r="E4179">
        <v>41.158000000000001</v>
      </c>
      <c r="F4179">
        <v>2.4296999999999999E-2</v>
      </c>
      <c r="G4179">
        <v>48.543999999999997</v>
      </c>
      <c r="H4179">
        <v>0.10807</v>
      </c>
    </row>
    <row r="4180" spans="1:8" x14ac:dyDescent="0.25">
      <c r="B4180">
        <v>0.11967999999999999</v>
      </c>
      <c r="C4180">
        <v>10</v>
      </c>
      <c r="D4180">
        <v>190</v>
      </c>
      <c r="E4180">
        <v>40.93</v>
      </c>
      <c r="F4180">
        <v>2.4431999999999999E-2</v>
      </c>
      <c r="G4180">
        <v>53.969000000000001</v>
      </c>
      <c r="H4180">
        <v>0.11967999999999999</v>
      </c>
    </row>
    <row r="4181" spans="1:8" x14ac:dyDescent="0.25">
      <c r="B4181">
        <v>0.13120999999999999</v>
      </c>
      <c r="C4181">
        <v>15</v>
      </c>
      <c r="D4181">
        <v>190</v>
      </c>
      <c r="E4181">
        <v>40.701000000000001</v>
      </c>
      <c r="F4181">
        <v>2.4570000000000002E-2</v>
      </c>
      <c r="G4181">
        <v>59.41</v>
      </c>
      <c r="H4181">
        <v>0.13120999999999999</v>
      </c>
    </row>
    <row r="4182" spans="1:8" x14ac:dyDescent="0.25">
      <c r="B4182">
        <v>0.14265</v>
      </c>
      <c r="C4182">
        <v>20</v>
      </c>
      <c r="D4182">
        <v>190</v>
      </c>
      <c r="E4182">
        <v>40.469000000000001</v>
      </c>
      <c r="F4182">
        <v>2.4709999999999999E-2</v>
      </c>
      <c r="G4182">
        <v>64.867999999999995</v>
      </c>
      <c r="H4182">
        <v>0.14265</v>
      </c>
    </row>
    <row r="4183" spans="1:8" x14ac:dyDescent="0.25">
      <c r="B4183">
        <v>0.154</v>
      </c>
      <c r="C4183">
        <v>25</v>
      </c>
      <c r="D4183">
        <v>190</v>
      </c>
      <c r="E4183">
        <v>40.234999999999999</v>
      </c>
      <c r="F4183">
        <v>2.4854000000000001E-2</v>
      </c>
      <c r="G4183">
        <v>70.343000000000004</v>
      </c>
      <c r="H4183">
        <v>0.154</v>
      </c>
    </row>
    <row r="4184" spans="1:8" x14ac:dyDescent="0.25">
      <c r="B4184">
        <v>0.16528000000000001</v>
      </c>
      <c r="C4184">
        <v>30</v>
      </c>
      <c r="D4184">
        <v>190</v>
      </c>
      <c r="E4184">
        <v>39.997999999999998</v>
      </c>
      <c r="F4184">
        <v>2.5000999999999999E-2</v>
      </c>
      <c r="G4184">
        <v>75.835999999999999</v>
      </c>
      <c r="H4184">
        <v>0.16528000000000001</v>
      </c>
    </row>
    <row r="4185" spans="1:8" x14ac:dyDescent="0.25">
      <c r="B4185">
        <v>0.17646999999999999</v>
      </c>
      <c r="C4185">
        <v>35</v>
      </c>
      <c r="D4185">
        <v>190</v>
      </c>
      <c r="E4185">
        <v>39.76</v>
      </c>
      <c r="F4185">
        <v>2.5151E-2</v>
      </c>
      <c r="G4185">
        <v>81.346999999999994</v>
      </c>
      <c r="H4185">
        <v>0.17646999999999999</v>
      </c>
    </row>
    <row r="4186" spans="1:8" x14ac:dyDescent="0.25">
      <c r="B4186">
        <v>0.18759999999999999</v>
      </c>
      <c r="C4186">
        <v>40</v>
      </c>
      <c r="D4186">
        <v>190</v>
      </c>
      <c r="E4186">
        <v>39.518999999999998</v>
      </c>
      <c r="F4186">
        <v>2.5304E-2</v>
      </c>
      <c r="G4186">
        <v>86.876999999999995</v>
      </c>
      <c r="H4186">
        <v>0.18759999999999999</v>
      </c>
    </row>
    <row r="4187" spans="1:8" x14ac:dyDescent="0.25">
      <c r="B4187">
        <v>0.19864999999999999</v>
      </c>
      <c r="C4187">
        <v>45</v>
      </c>
      <c r="D4187">
        <v>190</v>
      </c>
      <c r="E4187">
        <v>39.274999999999999</v>
      </c>
      <c r="F4187">
        <v>2.5461000000000001E-2</v>
      </c>
      <c r="G4187">
        <v>92.427000000000007</v>
      </c>
      <c r="H4187">
        <v>0.19864999999999999</v>
      </c>
    </row>
    <row r="4188" spans="1:8" x14ac:dyDescent="0.25">
      <c r="B4188">
        <v>0.20963000000000001</v>
      </c>
      <c r="C4188">
        <v>50</v>
      </c>
      <c r="D4188">
        <v>190</v>
      </c>
      <c r="E4188">
        <v>39.029000000000003</v>
      </c>
      <c r="F4188">
        <v>2.5621999999999999E-2</v>
      </c>
      <c r="G4188">
        <v>97.995999999999995</v>
      </c>
      <c r="H4188">
        <v>0.20963000000000001</v>
      </c>
    </row>
    <row r="4189" spans="1:8" x14ac:dyDescent="0.25">
      <c r="B4189">
        <v>0.22055</v>
      </c>
      <c r="C4189">
        <v>55</v>
      </c>
      <c r="D4189">
        <v>190</v>
      </c>
      <c r="E4189">
        <v>38.78</v>
      </c>
      <c r="F4189">
        <v>2.5786E-2</v>
      </c>
      <c r="G4189">
        <v>103.59</v>
      </c>
      <c r="H4189">
        <v>0.22055</v>
      </c>
    </row>
    <row r="4190" spans="1:8" x14ac:dyDescent="0.25">
      <c r="B4190">
        <v>0.23139999999999999</v>
      </c>
      <c r="C4190">
        <v>60</v>
      </c>
      <c r="D4190">
        <v>190</v>
      </c>
      <c r="E4190">
        <v>38.527999999999999</v>
      </c>
      <c r="F4190">
        <v>2.5954999999999999E-2</v>
      </c>
      <c r="G4190">
        <v>109.2</v>
      </c>
      <c r="H4190">
        <v>0.23139999999999999</v>
      </c>
    </row>
    <row r="4191" spans="1:8" x14ac:dyDescent="0.25">
      <c r="B4191">
        <v>0.24218999999999999</v>
      </c>
      <c r="C4191">
        <v>65</v>
      </c>
      <c r="D4191">
        <v>190</v>
      </c>
      <c r="E4191">
        <v>38.273000000000003</v>
      </c>
      <c r="F4191">
        <v>2.6127999999999998E-2</v>
      </c>
      <c r="G4191">
        <v>114.84</v>
      </c>
      <c r="H4191">
        <v>0.24218999999999999</v>
      </c>
    </row>
    <row r="4192" spans="1:8" x14ac:dyDescent="0.25">
      <c r="B4192">
        <v>0.25292999999999999</v>
      </c>
      <c r="C4192">
        <v>70</v>
      </c>
      <c r="D4192">
        <v>190</v>
      </c>
      <c r="E4192">
        <v>38.015000000000001</v>
      </c>
      <c r="F4192">
        <v>2.6304999999999999E-2</v>
      </c>
      <c r="G4192">
        <v>120.5</v>
      </c>
      <c r="H4192">
        <v>0.25292999999999999</v>
      </c>
    </row>
    <row r="4193" spans="2:8" x14ac:dyDescent="0.25">
      <c r="B4193">
        <v>0.26362000000000002</v>
      </c>
      <c r="C4193">
        <v>75</v>
      </c>
      <c r="D4193">
        <v>190</v>
      </c>
      <c r="E4193">
        <v>37.753</v>
      </c>
      <c r="F4193">
        <v>2.6488000000000001E-2</v>
      </c>
      <c r="G4193">
        <v>126.19</v>
      </c>
      <c r="H4193">
        <v>0.26362000000000002</v>
      </c>
    </row>
    <row r="4194" spans="2:8" x14ac:dyDescent="0.25">
      <c r="B4194">
        <v>0.27426</v>
      </c>
      <c r="C4194">
        <v>80</v>
      </c>
      <c r="D4194">
        <v>190</v>
      </c>
      <c r="E4194">
        <v>37.488</v>
      </c>
      <c r="F4194">
        <v>2.6675000000000001E-2</v>
      </c>
      <c r="G4194">
        <v>131.9</v>
      </c>
      <c r="H4194">
        <v>0.27426</v>
      </c>
    </row>
    <row r="4195" spans="2:8" x14ac:dyDescent="0.25">
      <c r="B4195">
        <v>0.28486</v>
      </c>
      <c r="C4195">
        <v>85</v>
      </c>
      <c r="D4195">
        <v>190</v>
      </c>
      <c r="E4195">
        <v>37.219000000000001</v>
      </c>
      <c r="F4195">
        <v>2.6868E-2</v>
      </c>
      <c r="G4195">
        <v>137.65</v>
      </c>
      <c r="H4195">
        <v>0.28486</v>
      </c>
    </row>
    <row r="4196" spans="2:8" x14ac:dyDescent="0.25">
      <c r="B4196">
        <v>0.29542000000000002</v>
      </c>
      <c r="C4196">
        <v>90</v>
      </c>
      <c r="D4196">
        <v>190</v>
      </c>
      <c r="E4196">
        <v>36.945</v>
      </c>
      <c r="F4196">
        <v>2.7067000000000001E-2</v>
      </c>
      <c r="G4196">
        <v>143.43</v>
      </c>
      <c r="H4196">
        <v>0.29542000000000002</v>
      </c>
    </row>
    <row r="4197" spans="2:8" x14ac:dyDescent="0.25">
      <c r="B4197">
        <v>1.1819</v>
      </c>
      <c r="C4197">
        <v>95</v>
      </c>
      <c r="D4197">
        <v>190</v>
      </c>
      <c r="E4197">
        <v>0.62939999999999996</v>
      </c>
      <c r="F4197">
        <v>1.5888</v>
      </c>
      <c r="G4197">
        <v>633.4</v>
      </c>
      <c r="H4197">
        <v>1.1819</v>
      </c>
    </row>
    <row r="4198" spans="2:8" x14ac:dyDescent="0.25">
      <c r="B4198">
        <v>1.1889000000000001</v>
      </c>
      <c r="C4198">
        <v>100</v>
      </c>
      <c r="D4198">
        <v>190</v>
      </c>
      <c r="E4198">
        <v>0.61963999999999997</v>
      </c>
      <c r="F4198">
        <v>1.6137999999999999</v>
      </c>
      <c r="G4198">
        <v>637.30999999999995</v>
      </c>
      <c r="H4198">
        <v>1.1889000000000001</v>
      </c>
    </row>
    <row r="4199" spans="2:8" x14ac:dyDescent="0.25">
      <c r="B4199">
        <v>1.1957</v>
      </c>
      <c r="C4199">
        <v>105</v>
      </c>
      <c r="D4199">
        <v>190</v>
      </c>
      <c r="E4199">
        <v>0.61036999999999997</v>
      </c>
      <c r="F4199">
        <v>1.6383000000000001</v>
      </c>
      <c r="G4199">
        <v>641.12</v>
      </c>
      <c r="H4199">
        <v>1.1957</v>
      </c>
    </row>
    <row r="4200" spans="2:8" x14ac:dyDescent="0.25">
      <c r="B4200">
        <v>1.2021999999999999</v>
      </c>
      <c r="C4200">
        <v>110</v>
      </c>
      <c r="D4200">
        <v>190</v>
      </c>
      <c r="E4200">
        <v>0.60155999999999998</v>
      </c>
      <c r="F4200">
        <v>1.6624000000000001</v>
      </c>
      <c r="G4200">
        <v>644.85</v>
      </c>
      <c r="H4200">
        <v>1.2021999999999999</v>
      </c>
    </row>
    <row r="4201" spans="2:8" x14ac:dyDescent="0.25">
      <c r="B4201">
        <v>1.2085999999999999</v>
      </c>
      <c r="C4201">
        <v>115</v>
      </c>
      <c r="D4201">
        <v>190</v>
      </c>
      <c r="E4201">
        <v>0.59314</v>
      </c>
      <c r="F4201">
        <v>1.6859</v>
      </c>
      <c r="G4201">
        <v>648.51</v>
      </c>
      <c r="H4201">
        <v>1.2085999999999999</v>
      </c>
    </row>
    <row r="4202" spans="2:8" x14ac:dyDescent="0.25">
      <c r="B4202">
        <v>1.2148000000000001</v>
      </c>
      <c r="C4202">
        <v>120</v>
      </c>
      <c r="D4202">
        <v>190</v>
      </c>
      <c r="E4202">
        <v>0.58509</v>
      </c>
      <c r="F4202">
        <v>1.7091000000000001</v>
      </c>
      <c r="G4202">
        <v>652.1</v>
      </c>
      <c r="H4202">
        <v>1.2148000000000001</v>
      </c>
    </row>
    <row r="4203" spans="2:8" x14ac:dyDescent="0.25">
      <c r="B4203">
        <v>1.2209000000000001</v>
      </c>
      <c r="C4203">
        <v>125</v>
      </c>
      <c r="D4203">
        <v>190</v>
      </c>
      <c r="E4203">
        <v>0.57738</v>
      </c>
      <c r="F4203">
        <v>1.732</v>
      </c>
      <c r="G4203">
        <v>655.64</v>
      </c>
      <c r="H4203">
        <v>1.2209000000000001</v>
      </c>
    </row>
    <row r="4204" spans="2:8" x14ac:dyDescent="0.25">
      <c r="B4204">
        <v>1.2267999999999999</v>
      </c>
      <c r="C4204">
        <v>130</v>
      </c>
      <c r="D4204">
        <v>190</v>
      </c>
      <c r="E4204">
        <v>0.56996999999999998</v>
      </c>
      <c r="F4204">
        <v>1.7544999999999999</v>
      </c>
      <c r="G4204">
        <v>659.11</v>
      </c>
      <c r="H4204">
        <v>1.2267999999999999</v>
      </c>
    </row>
    <row r="4205" spans="2:8" x14ac:dyDescent="0.25">
      <c r="B4205">
        <v>1.2325999999999999</v>
      </c>
      <c r="C4205">
        <v>135</v>
      </c>
      <c r="D4205">
        <v>190</v>
      </c>
      <c r="E4205">
        <v>0.56284999999999996</v>
      </c>
      <c r="F4205">
        <v>1.7766999999999999</v>
      </c>
      <c r="G4205">
        <v>662.54</v>
      </c>
      <c r="H4205">
        <v>1.2325999999999999</v>
      </c>
    </row>
    <row r="4206" spans="2:8" x14ac:dyDescent="0.25">
      <c r="B4206">
        <v>1.2383</v>
      </c>
      <c r="C4206">
        <v>140</v>
      </c>
      <c r="D4206">
        <v>190</v>
      </c>
      <c r="E4206">
        <v>0.55598999999999998</v>
      </c>
      <c r="F4206">
        <v>1.7986</v>
      </c>
      <c r="G4206">
        <v>665.93</v>
      </c>
      <c r="H4206">
        <v>1.2383</v>
      </c>
    </row>
    <row r="4207" spans="2:8" x14ac:dyDescent="0.25">
      <c r="B4207">
        <v>1.2439</v>
      </c>
      <c r="C4207">
        <v>145</v>
      </c>
      <c r="D4207">
        <v>190</v>
      </c>
      <c r="E4207">
        <v>0.54935999999999996</v>
      </c>
      <c r="F4207">
        <v>1.8203</v>
      </c>
      <c r="G4207">
        <v>669.28</v>
      </c>
      <c r="H4207">
        <v>1.2439</v>
      </c>
    </row>
    <row r="4208" spans="2:8" x14ac:dyDescent="0.25">
      <c r="B4208">
        <v>1.2493000000000001</v>
      </c>
      <c r="C4208">
        <v>150</v>
      </c>
      <c r="D4208">
        <v>190</v>
      </c>
      <c r="E4208">
        <v>0.54296999999999995</v>
      </c>
      <c r="F4208">
        <v>1.8416999999999999</v>
      </c>
      <c r="G4208">
        <v>672.59</v>
      </c>
      <c r="H4208">
        <v>1.2493000000000001</v>
      </c>
    </row>
    <row r="4209" spans="2:8" x14ac:dyDescent="0.25">
      <c r="B4209">
        <v>1.2546999999999999</v>
      </c>
      <c r="C4209">
        <v>155</v>
      </c>
      <c r="D4209">
        <v>190</v>
      </c>
      <c r="E4209">
        <v>0.53678000000000003</v>
      </c>
      <c r="F4209">
        <v>1.8629</v>
      </c>
      <c r="G4209">
        <v>675.87</v>
      </c>
      <c r="H4209">
        <v>1.2546999999999999</v>
      </c>
    </row>
    <row r="4210" spans="2:8" x14ac:dyDescent="0.25">
      <c r="B4210">
        <v>1.2599</v>
      </c>
      <c r="C4210">
        <v>160</v>
      </c>
      <c r="D4210">
        <v>190</v>
      </c>
      <c r="E4210">
        <v>0.53078999999999998</v>
      </c>
      <c r="F4210">
        <v>1.8839999999999999</v>
      </c>
      <c r="G4210">
        <v>679.12</v>
      </c>
      <c r="H4210">
        <v>1.2599</v>
      </c>
    </row>
    <row r="4211" spans="2:8" x14ac:dyDescent="0.25">
      <c r="B4211">
        <v>1.2650999999999999</v>
      </c>
      <c r="C4211">
        <v>165</v>
      </c>
      <c r="D4211">
        <v>190</v>
      </c>
      <c r="E4211">
        <v>0.52498999999999996</v>
      </c>
      <c r="F4211">
        <v>1.9048</v>
      </c>
      <c r="G4211">
        <v>682.34</v>
      </c>
      <c r="H4211">
        <v>1.2650999999999999</v>
      </c>
    </row>
    <row r="4212" spans="2:8" x14ac:dyDescent="0.25">
      <c r="B4212">
        <v>1.2702</v>
      </c>
      <c r="C4212">
        <v>170</v>
      </c>
      <c r="D4212">
        <v>190</v>
      </c>
      <c r="E4212">
        <v>0.51936000000000004</v>
      </c>
      <c r="F4212">
        <v>1.9255</v>
      </c>
      <c r="G4212">
        <v>685.54</v>
      </c>
      <c r="H4212">
        <v>1.2702</v>
      </c>
    </row>
    <row r="4213" spans="2:8" x14ac:dyDescent="0.25">
      <c r="B4213">
        <v>1.2751999999999999</v>
      </c>
      <c r="C4213">
        <v>175</v>
      </c>
      <c r="D4213">
        <v>190</v>
      </c>
      <c r="E4213">
        <v>0.51388999999999996</v>
      </c>
      <c r="F4213">
        <v>1.9459</v>
      </c>
      <c r="G4213">
        <v>688.71</v>
      </c>
      <c r="H4213">
        <v>1.2751999999999999</v>
      </c>
    </row>
    <row r="4214" spans="2:8" x14ac:dyDescent="0.25">
      <c r="B4214">
        <v>1.2802</v>
      </c>
      <c r="C4214">
        <v>180</v>
      </c>
      <c r="D4214">
        <v>190</v>
      </c>
      <c r="E4214">
        <v>0.50856999999999997</v>
      </c>
      <c r="F4214">
        <v>1.9662999999999999</v>
      </c>
      <c r="G4214">
        <v>691.87</v>
      </c>
      <c r="H4214">
        <v>1.2802</v>
      </c>
    </row>
    <row r="4215" spans="2:8" x14ac:dyDescent="0.25">
      <c r="B4215">
        <v>1.2850999999999999</v>
      </c>
      <c r="C4215">
        <v>185</v>
      </c>
      <c r="D4215">
        <v>190</v>
      </c>
      <c r="E4215">
        <v>0.50341000000000002</v>
      </c>
      <c r="F4215">
        <v>1.9864999999999999</v>
      </c>
      <c r="G4215">
        <v>695.01</v>
      </c>
      <c r="H4215">
        <v>1.2850999999999999</v>
      </c>
    </row>
    <row r="4216" spans="2:8" x14ac:dyDescent="0.25">
      <c r="B4216">
        <v>1.2899</v>
      </c>
      <c r="C4216">
        <v>190</v>
      </c>
      <c r="D4216">
        <v>190</v>
      </c>
      <c r="E4216">
        <v>0.49836999999999998</v>
      </c>
      <c r="F4216">
        <v>2.0065</v>
      </c>
      <c r="G4216">
        <v>698.12</v>
      </c>
      <c r="H4216">
        <v>1.2899</v>
      </c>
    </row>
    <row r="4217" spans="2:8" x14ac:dyDescent="0.25">
      <c r="B4217">
        <v>1.2947</v>
      </c>
      <c r="C4217">
        <v>195</v>
      </c>
      <c r="D4217">
        <v>190</v>
      </c>
      <c r="E4217">
        <v>0.49347000000000002</v>
      </c>
      <c r="F4217">
        <v>2.0265</v>
      </c>
      <c r="G4217">
        <v>701.23</v>
      </c>
      <c r="H4217">
        <v>1.2947</v>
      </c>
    </row>
    <row r="4218" spans="2:8" x14ac:dyDescent="0.25">
      <c r="B4218">
        <v>1.2994000000000001</v>
      </c>
      <c r="C4218">
        <v>200</v>
      </c>
      <c r="D4218">
        <v>190</v>
      </c>
      <c r="E4218">
        <v>0.48870000000000002</v>
      </c>
      <c r="F4218">
        <v>2.0463</v>
      </c>
      <c r="G4218">
        <v>704.32</v>
      </c>
      <c r="H4218">
        <v>1.2994000000000001</v>
      </c>
    </row>
    <row r="4219" spans="2:8" x14ac:dyDescent="0.25">
      <c r="B4219">
        <v>1.304</v>
      </c>
      <c r="C4219">
        <v>205</v>
      </c>
      <c r="D4219">
        <v>190</v>
      </c>
      <c r="E4219">
        <v>0.48404000000000003</v>
      </c>
      <c r="F4219">
        <v>2.0659000000000001</v>
      </c>
      <c r="G4219">
        <v>707.39</v>
      </c>
      <c r="H4219">
        <v>1.304</v>
      </c>
    </row>
    <row r="4220" spans="2:8" x14ac:dyDescent="0.25">
      <c r="B4220">
        <v>1.3086</v>
      </c>
      <c r="C4220">
        <v>210</v>
      </c>
      <c r="D4220">
        <v>190</v>
      </c>
      <c r="E4220">
        <v>0.47949000000000003</v>
      </c>
      <c r="F4220">
        <v>2.0855000000000001</v>
      </c>
      <c r="G4220">
        <v>710.46</v>
      </c>
      <c r="H4220">
        <v>1.3086</v>
      </c>
    </row>
    <row r="4221" spans="2:8" x14ac:dyDescent="0.25">
      <c r="B4221">
        <v>1.3130999999999999</v>
      </c>
      <c r="C4221">
        <v>215</v>
      </c>
      <c r="D4221">
        <v>190</v>
      </c>
      <c r="E4221">
        <v>0.47505999999999998</v>
      </c>
      <c r="F4221">
        <v>2.105</v>
      </c>
      <c r="G4221">
        <v>713.51</v>
      </c>
      <c r="H4221">
        <v>1.3130999999999999</v>
      </c>
    </row>
    <row r="4222" spans="2:8" x14ac:dyDescent="0.25">
      <c r="B4222">
        <v>1.3176000000000001</v>
      </c>
      <c r="C4222">
        <v>220</v>
      </c>
      <c r="D4222">
        <v>190</v>
      </c>
      <c r="E4222">
        <v>0.47072000000000003</v>
      </c>
      <c r="F4222">
        <v>2.1244000000000001</v>
      </c>
      <c r="G4222">
        <v>716.56</v>
      </c>
      <c r="H4222">
        <v>1.3176000000000001</v>
      </c>
    </row>
    <row r="4223" spans="2:8" x14ac:dyDescent="0.25">
      <c r="B4223">
        <v>1.3221000000000001</v>
      </c>
      <c r="C4223">
        <v>225</v>
      </c>
      <c r="D4223">
        <v>190</v>
      </c>
      <c r="E4223">
        <v>0.46649000000000002</v>
      </c>
      <c r="F4223">
        <v>2.1436999999999999</v>
      </c>
      <c r="G4223">
        <v>719.59</v>
      </c>
      <c r="H4223">
        <v>1.3221000000000001</v>
      </c>
    </row>
    <row r="4224" spans="2:8" x14ac:dyDescent="0.25">
      <c r="B4224">
        <v>1.3265</v>
      </c>
      <c r="C4224">
        <v>230</v>
      </c>
      <c r="D4224">
        <v>190</v>
      </c>
      <c r="E4224">
        <v>0.46233999999999997</v>
      </c>
      <c r="F4224">
        <v>2.1629</v>
      </c>
      <c r="G4224">
        <v>722.62</v>
      </c>
      <c r="H4224">
        <v>1.3265</v>
      </c>
    </row>
    <row r="4225" spans="2:8" x14ac:dyDescent="0.25">
      <c r="B4225">
        <v>1.3309</v>
      </c>
      <c r="C4225">
        <v>235</v>
      </c>
      <c r="D4225">
        <v>190</v>
      </c>
      <c r="E4225">
        <v>0.45828999999999998</v>
      </c>
      <c r="F4225">
        <v>2.1819999999999999</v>
      </c>
      <c r="G4225">
        <v>725.64</v>
      </c>
      <c r="H4225">
        <v>1.3309</v>
      </c>
    </row>
    <row r="4226" spans="2:8" x14ac:dyDescent="0.25">
      <c r="B4226">
        <v>1.3351999999999999</v>
      </c>
      <c r="C4226">
        <v>240</v>
      </c>
      <c r="D4226">
        <v>190</v>
      </c>
      <c r="E4226">
        <v>0.45433000000000001</v>
      </c>
      <c r="F4226">
        <v>2.2010000000000001</v>
      </c>
      <c r="G4226">
        <v>728.65</v>
      </c>
      <c r="H4226">
        <v>1.3351999999999999</v>
      </c>
    </row>
    <row r="4227" spans="2:8" x14ac:dyDescent="0.25">
      <c r="B4227">
        <v>1.3394999999999999</v>
      </c>
      <c r="C4227">
        <v>245</v>
      </c>
      <c r="D4227">
        <v>190</v>
      </c>
      <c r="E4227">
        <v>0.45045000000000002</v>
      </c>
      <c r="F4227">
        <v>2.2200000000000002</v>
      </c>
      <c r="G4227">
        <v>731.66</v>
      </c>
      <c r="H4227">
        <v>1.3394999999999999</v>
      </c>
    </row>
    <row r="4228" spans="2:8" x14ac:dyDescent="0.25">
      <c r="B4228">
        <v>1.3436999999999999</v>
      </c>
      <c r="C4228">
        <v>250</v>
      </c>
      <c r="D4228">
        <v>190</v>
      </c>
      <c r="E4228">
        <v>0.44664999999999999</v>
      </c>
      <c r="F4228">
        <v>2.2389000000000001</v>
      </c>
      <c r="G4228">
        <v>734.67</v>
      </c>
      <c r="H4228">
        <v>1.3436999999999999</v>
      </c>
    </row>
    <row r="4229" spans="2:8" x14ac:dyDescent="0.25">
      <c r="B4229">
        <v>1.3479000000000001</v>
      </c>
      <c r="C4229">
        <v>255</v>
      </c>
      <c r="D4229">
        <v>190</v>
      </c>
      <c r="E4229">
        <v>0.44291999999999998</v>
      </c>
      <c r="F4229">
        <v>2.2576999999999998</v>
      </c>
      <c r="G4229">
        <v>737.67</v>
      </c>
      <c r="H4229">
        <v>1.3479000000000001</v>
      </c>
    </row>
    <row r="4230" spans="2:8" x14ac:dyDescent="0.25">
      <c r="B4230">
        <v>1.3521000000000001</v>
      </c>
      <c r="C4230">
        <v>260</v>
      </c>
      <c r="D4230">
        <v>190</v>
      </c>
      <c r="E4230">
        <v>0.43926999999999999</v>
      </c>
      <c r="F4230">
        <v>2.2765</v>
      </c>
      <c r="G4230">
        <v>740.66</v>
      </c>
      <c r="H4230">
        <v>1.3521000000000001</v>
      </c>
    </row>
    <row r="4231" spans="2:8" x14ac:dyDescent="0.25">
      <c r="B4231">
        <v>1.3562000000000001</v>
      </c>
      <c r="C4231">
        <v>265</v>
      </c>
      <c r="D4231">
        <v>190</v>
      </c>
      <c r="E4231">
        <v>0.43569000000000002</v>
      </c>
      <c r="F4231">
        <v>2.2951999999999999</v>
      </c>
      <c r="G4231">
        <v>743.65</v>
      </c>
      <c r="H4231">
        <v>1.3562000000000001</v>
      </c>
    </row>
    <row r="4232" spans="2:8" x14ac:dyDescent="0.25">
      <c r="B4232">
        <v>1.3604000000000001</v>
      </c>
      <c r="C4232">
        <v>270</v>
      </c>
      <c r="D4232">
        <v>190</v>
      </c>
      <c r="E4232">
        <v>0.43218000000000001</v>
      </c>
      <c r="F4232">
        <v>2.3138000000000001</v>
      </c>
      <c r="G4232">
        <v>746.64</v>
      </c>
      <c r="H4232">
        <v>1.3604000000000001</v>
      </c>
    </row>
    <row r="4233" spans="2:8" x14ac:dyDescent="0.25">
      <c r="B4233">
        <v>1.3644000000000001</v>
      </c>
      <c r="C4233">
        <v>275</v>
      </c>
      <c r="D4233">
        <v>190</v>
      </c>
      <c r="E4233">
        <v>0.42874000000000001</v>
      </c>
      <c r="F4233">
        <v>2.3323999999999998</v>
      </c>
      <c r="G4233">
        <v>749.63</v>
      </c>
      <c r="H4233">
        <v>1.3644000000000001</v>
      </c>
    </row>
    <row r="4234" spans="2:8" x14ac:dyDescent="0.25">
      <c r="B4234">
        <v>1.3685</v>
      </c>
      <c r="C4234">
        <v>280</v>
      </c>
      <c r="D4234">
        <v>190</v>
      </c>
      <c r="E4234">
        <v>0.42536000000000002</v>
      </c>
      <c r="F4234">
        <v>2.3509000000000002</v>
      </c>
      <c r="G4234">
        <v>752.62</v>
      </c>
      <c r="H4234">
        <v>1.3685</v>
      </c>
    </row>
    <row r="4235" spans="2:8" x14ac:dyDescent="0.25">
      <c r="B4235">
        <v>1.3725000000000001</v>
      </c>
      <c r="C4235">
        <v>285</v>
      </c>
      <c r="D4235">
        <v>190</v>
      </c>
      <c r="E4235">
        <v>0.42204999999999998</v>
      </c>
      <c r="F4235">
        <v>2.3694000000000002</v>
      </c>
      <c r="G4235">
        <v>755.6</v>
      </c>
      <c r="H4235">
        <v>1.3725000000000001</v>
      </c>
    </row>
    <row r="4236" spans="2:8" x14ac:dyDescent="0.25">
      <c r="B4236">
        <v>1.3765000000000001</v>
      </c>
      <c r="C4236">
        <v>290</v>
      </c>
      <c r="D4236">
        <v>190</v>
      </c>
      <c r="E4236">
        <v>0.41879</v>
      </c>
      <c r="F4236">
        <v>2.3877999999999999</v>
      </c>
      <c r="G4236">
        <v>758.59</v>
      </c>
      <c r="H4236">
        <v>1.3765000000000001</v>
      </c>
    </row>
    <row r="4237" spans="2:8" x14ac:dyDescent="0.25">
      <c r="B4237">
        <v>1.3805000000000001</v>
      </c>
      <c r="C4237">
        <v>295</v>
      </c>
      <c r="D4237">
        <v>190</v>
      </c>
      <c r="E4237">
        <v>0.41559000000000001</v>
      </c>
      <c r="F4237">
        <v>2.4062000000000001</v>
      </c>
      <c r="G4237">
        <v>761.57</v>
      </c>
      <c r="H4237">
        <v>1.3805000000000001</v>
      </c>
    </row>
    <row r="4238" spans="2:8" x14ac:dyDescent="0.25">
      <c r="B4238">
        <v>1.3844000000000001</v>
      </c>
      <c r="C4238">
        <v>300</v>
      </c>
      <c r="D4238">
        <v>190</v>
      </c>
      <c r="E4238">
        <v>0.41244999999999998</v>
      </c>
      <c r="F4238">
        <v>2.4245000000000001</v>
      </c>
      <c r="G4238">
        <v>764.55</v>
      </c>
      <c r="H4238">
        <v>1.3844000000000001</v>
      </c>
    </row>
    <row r="4239" spans="2:8" x14ac:dyDescent="0.25">
      <c r="B4239">
        <v>1.3883000000000001</v>
      </c>
      <c r="C4239">
        <v>305</v>
      </c>
      <c r="D4239">
        <v>190</v>
      </c>
      <c r="E4239">
        <v>0.40936</v>
      </c>
      <c r="F4239">
        <v>2.4428000000000001</v>
      </c>
      <c r="G4239">
        <v>767.53</v>
      </c>
      <c r="H4239">
        <v>1.3883000000000001</v>
      </c>
    </row>
    <row r="4240" spans="2:8" x14ac:dyDescent="0.25">
      <c r="B4240">
        <v>1.3922000000000001</v>
      </c>
      <c r="C4240">
        <v>310</v>
      </c>
      <c r="D4240">
        <v>190</v>
      </c>
      <c r="E4240">
        <v>0.40633000000000002</v>
      </c>
      <c r="F4240">
        <v>2.4609999999999999</v>
      </c>
      <c r="G4240">
        <v>770.52</v>
      </c>
      <c r="H4240">
        <v>1.3922000000000001</v>
      </c>
    </row>
    <row r="4241" spans="1:8" x14ac:dyDescent="0.25">
      <c r="B4241">
        <v>1.3960999999999999</v>
      </c>
      <c r="C4241">
        <v>315</v>
      </c>
      <c r="D4241">
        <v>190</v>
      </c>
      <c r="E4241">
        <v>0.40334999999999999</v>
      </c>
      <c r="F4241">
        <v>2.4792000000000001</v>
      </c>
      <c r="G4241">
        <v>773.5</v>
      </c>
      <c r="H4241">
        <v>1.3960999999999999</v>
      </c>
    </row>
    <row r="4242" spans="1:8" x14ac:dyDescent="0.25">
      <c r="B4242">
        <v>1.3998999999999999</v>
      </c>
      <c r="C4242">
        <v>320</v>
      </c>
      <c r="D4242">
        <v>190</v>
      </c>
      <c r="E4242">
        <v>0.40042</v>
      </c>
      <c r="F4242">
        <v>2.4973999999999998</v>
      </c>
      <c r="G4242">
        <v>776.49</v>
      </c>
      <c r="H4242">
        <v>1.3998999999999999</v>
      </c>
    </row>
    <row r="4243" spans="1:8" x14ac:dyDescent="0.25">
      <c r="B4243">
        <v>1.4036999999999999</v>
      </c>
      <c r="C4243">
        <v>325</v>
      </c>
      <c r="D4243">
        <v>190</v>
      </c>
      <c r="E4243">
        <v>0.39752999999999999</v>
      </c>
      <c r="F4243">
        <v>2.5154999999999998</v>
      </c>
      <c r="G4243">
        <v>779.47</v>
      </c>
      <c r="H4243">
        <v>1.4036999999999999</v>
      </c>
    </row>
    <row r="4244" spans="1:8" x14ac:dyDescent="0.25">
      <c r="B4244">
        <v>1.4075</v>
      </c>
      <c r="C4244">
        <v>330</v>
      </c>
      <c r="D4244">
        <v>190</v>
      </c>
      <c r="E4244">
        <v>0.3947</v>
      </c>
      <c r="F4244">
        <v>2.5335999999999999</v>
      </c>
      <c r="G4244">
        <v>782.46</v>
      </c>
      <c r="H4244">
        <v>1.4075</v>
      </c>
    </row>
    <row r="4245" spans="1:8" x14ac:dyDescent="0.25">
      <c r="B4245">
        <v>1.4113</v>
      </c>
      <c r="C4245">
        <v>335</v>
      </c>
      <c r="D4245">
        <v>190</v>
      </c>
      <c r="E4245">
        <v>0.39190000000000003</v>
      </c>
      <c r="F4245">
        <v>2.5516000000000001</v>
      </c>
      <c r="G4245">
        <v>785.45</v>
      </c>
      <c r="H4245">
        <v>1.4113</v>
      </c>
    </row>
    <row r="4246" spans="1:8" x14ac:dyDescent="0.25">
      <c r="B4246">
        <v>1.415</v>
      </c>
      <c r="C4246">
        <v>340</v>
      </c>
      <c r="D4246">
        <v>190</v>
      </c>
      <c r="E4246">
        <v>0.38916000000000001</v>
      </c>
      <c r="F4246">
        <v>2.5697000000000001</v>
      </c>
      <c r="G4246">
        <v>788.44</v>
      </c>
      <c r="H4246">
        <v>1.415</v>
      </c>
    </row>
    <row r="4247" spans="1:8" x14ac:dyDescent="0.25">
      <c r="B4247">
        <v>1.4188000000000001</v>
      </c>
      <c r="C4247">
        <v>345</v>
      </c>
      <c r="D4247">
        <v>190</v>
      </c>
      <c r="E4247">
        <v>0.38645000000000002</v>
      </c>
      <c r="F4247">
        <v>2.5876000000000001</v>
      </c>
      <c r="G4247">
        <v>791.43</v>
      </c>
      <c r="H4247">
        <v>1.4188000000000001</v>
      </c>
    </row>
    <row r="4248" spans="1:8" x14ac:dyDescent="0.25">
      <c r="B4248">
        <v>1.4225000000000001</v>
      </c>
      <c r="C4248">
        <v>350</v>
      </c>
      <c r="D4248">
        <v>190</v>
      </c>
      <c r="E4248">
        <v>0.38379000000000002</v>
      </c>
      <c r="F4248">
        <v>2.6055999999999999</v>
      </c>
      <c r="G4248">
        <v>794.43</v>
      </c>
      <c r="H4248">
        <v>1.4225000000000001</v>
      </c>
    </row>
    <row r="4250" spans="1:8" x14ac:dyDescent="0.25">
      <c r="A4250">
        <v>195</v>
      </c>
      <c r="B4250">
        <v>9.6346000000000001E-2</v>
      </c>
      <c r="C4250">
        <v>0</v>
      </c>
      <c r="D4250">
        <v>195</v>
      </c>
      <c r="E4250">
        <v>41.384999999999998</v>
      </c>
      <c r="F4250">
        <v>2.4163E-2</v>
      </c>
      <c r="G4250">
        <v>43.146999999999998</v>
      </c>
      <c r="H4250">
        <v>9.6346000000000001E-2</v>
      </c>
    </row>
    <row r="4251" spans="1:8" x14ac:dyDescent="0.25">
      <c r="B4251">
        <v>0.10804999999999999</v>
      </c>
      <c r="C4251">
        <v>5</v>
      </c>
      <c r="D4251">
        <v>195</v>
      </c>
      <c r="E4251">
        <v>41.158999999999999</v>
      </c>
      <c r="F4251">
        <v>2.4296000000000002E-2</v>
      </c>
      <c r="G4251">
        <v>48.555</v>
      </c>
      <c r="H4251">
        <v>0.10804999999999999</v>
      </c>
    </row>
    <row r="4252" spans="1:8" x14ac:dyDescent="0.25">
      <c r="B4252">
        <v>0.11966</v>
      </c>
      <c r="C4252">
        <v>10</v>
      </c>
      <c r="D4252">
        <v>195</v>
      </c>
      <c r="E4252">
        <v>40.932000000000002</v>
      </c>
      <c r="F4252">
        <v>2.4431000000000001E-2</v>
      </c>
      <c r="G4252">
        <v>53.98</v>
      </c>
      <c r="H4252">
        <v>0.11966</v>
      </c>
    </row>
    <row r="4253" spans="1:8" x14ac:dyDescent="0.25">
      <c r="B4253">
        <v>0.13117999999999999</v>
      </c>
      <c r="C4253">
        <v>15</v>
      </c>
      <c r="D4253">
        <v>195</v>
      </c>
      <c r="E4253">
        <v>40.701999999999998</v>
      </c>
      <c r="F4253">
        <v>2.4569000000000001E-2</v>
      </c>
      <c r="G4253">
        <v>59.420999999999999</v>
      </c>
      <c r="H4253">
        <v>0.13117999999999999</v>
      </c>
    </row>
    <row r="4254" spans="1:8" x14ac:dyDescent="0.25">
      <c r="B4254">
        <v>0.14262</v>
      </c>
      <c r="C4254">
        <v>20</v>
      </c>
      <c r="D4254">
        <v>195</v>
      </c>
      <c r="E4254">
        <v>40.47</v>
      </c>
      <c r="F4254">
        <v>2.4709999999999999E-2</v>
      </c>
      <c r="G4254">
        <v>64.878</v>
      </c>
      <c r="H4254">
        <v>0.14262</v>
      </c>
    </row>
    <row r="4255" spans="1:8" x14ac:dyDescent="0.25">
      <c r="B4255">
        <v>0.15397</v>
      </c>
      <c r="C4255">
        <v>25</v>
      </c>
      <c r="D4255">
        <v>195</v>
      </c>
      <c r="E4255">
        <v>40.235999999999997</v>
      </c>
      <c r="F4255">
        <v>2.4853E-2</v>
      </c>
      <c r="G4255">
        <v>70.352999999999994</v>
      </c>
      <c r="H4255">
        <v>0.15397</v>
      </c>
    </row>
    <row r="4256" spans="1:8" x14ac:dyDescent="0.25">
      <c r="B4256">
        <v>0.16525000000000001</v>
      </c>
      <c r="C4256">
        <v>30</v>
      </c>
      <c r="D4256">
        <v>195</v>
      </c>
      <c r="E4256">
        <v>40</v>
      </c>
      <c r="F4256">
        <v>2.5000000000000001E-2</v>
      </c>
      <c r="G4256">
        <v>75.846000000000004</v>
      </c>
      <c r="H4256">
        <v>0.16525000000000001</v>
      </c>
    </row>
    <row r="4257" spans="2:8" x14ac:dyDescent="0.25">
      <c r="B4257">
        <v>0.17645</v>
      </c>
      <c r="C4257">
        <v>35</v>
      </c>
      <c r="D4257">
        <v>195</v>
      </c>
      <c r="E4257">
        <v>39.761000000000003</v>
      </c>
      <c r="F4257">
        <v>2.5149999999999999E-2</v>
      </c>
      <c r="G4257">
        <v>81.356999999999999</v>
      </c>
      <c r="H4257">
        <v>0.17645</v>
      </c>
    </row>
    <row r="4258" spans="2:8" x14ac:dyDescent="0.25">
      <c r="B4258">
        <v>0.18756999999999999</v>
      </c>
      <c r="C4258">
        <v>40</v>
      </c>
      <c r="D4258">
        <v>195</v>
      </c>
      <c r="E4258">
        <v>39.520000000000003</v>
      </c>
      <c r="F4258">
        <v>2.5302999999999999E-2</v>
      </c>
      <c r="G4258">
        <v>86.885999999999996</v>
      </c>
      <c r="H4258">
        <v>0.18756999999999999</v>
      </c>
    </row>
    <row r="4259" spans="2:8" x14ac:dyDescent="0.25">
      <c r="B4259">
        <v>0.19861999999999999</v>
      </c>
      <c r="C4259">
        <v>45</v>
      </c>
      <c r="D4259">
        <v>195</v>
      </c>
      <c r="E4259">
        <v>39.277000000000001</v>
      </c>
      <c r="F4259">
        <v>2.546E-2</v>
      </c>
      <c r="G4259">
        <v>92.435000000000002</v>
      </c>
      <c r="H4259">
        <v>0.19861999999999999</v>
      </c>
    </row>
    <row r="4260" spans="2:8" x14ac:dyDescent="0.25">
      <c r="B4260">
        <v>0.20960000000000001</v>
      </c>
      <c r="C4260">
        <v>50</v>
      </c>
      <c r="D4260">
        <v>195</v>
      </c>
      <c r="E4260">
        <v>39.030999999999999</v>
      </c>
      <c r="F4260">
        <v>2.5621000000000001E-2</v>
      </c>
      <c r="G4260">
        <v>98.004999999999995</v>
      </c>
      <c r="H4260">
        <v>0.20960000000000001</v>
      </c>
    </row>
    <row r="4261" spans="2:8" x14ac:dyDescent="0.25">
      <c r="B4261">
        <v>0.22051999999999999</v>
      </c>
      <c r="C4261">
        <v>55</v>
      </c>
      <c r="D4261">
        <v>195</v>
      </c>
      <c r="E4261">
        <v>38.781999999999996</v>
      </c>
      <c r="F4261">
        <v>2.5784999999999999E-2</v>
      </c>
      <c r="G4261">
        <v>103.6</v>
      </c>
      <c r="H4261">
        <v>0.22051999999999999</v>
      </c>
    </row>
    <row r="4262" spans="2:8" x14ac:dyDescent="0.25">
      <c r="B4262">
        <v>0.23136999999999999</v>
      </c>
      <c r="C4262">
        <v>60</v>
      </c>
      <c r="D4262">
        <v>195</v>
      </c>
      <c r="E4262">
        <v>38.53</v>
      </c>
      <c r="F4262">
        <v>2.5954000000000001E-2</v>
      </c>
      <c r="G4262">
        <v>109.21</v>
      </c>
      <c r="H4262">
        <v>0.23136999999999999</v>
      </c>
    </row>
    <row r="4263" spans="2:8" x14ac:dyDescent="0.25">
      <c r="B4263">
        <v>0.24215999999999999</v>
      </c>
      <c r="C4263">
        <v>65</v>
      </c>
      <c r="D4263">
        <v>195</v>
      </c>
      <c r="E4263">
        <v>38.274999999999999</v>
      </c>
      <c r="F4263">
        <v>2.6127000000000001E-2</v>
      </c>
      <c r="G4263">
        <v>114.84</v>
      </c>
      <c r="H4263">
        <v>0.24215999999999999</v>
      </c>
    </row>
    <row r="4264" spans="2:8" x14ac:dyDescent="0.25">
      <c r="B4264">
        <v>0.25290000000000001</v>
      </c>
      <c r="C4264">
        <v>70</v>
      </c>
      <c r="D4264">
        <v>195</v>
      </c>
      <c r="E4264">
        <v>38.017000000000003</v>
      </c>
      <c r="F4264">
        <v>2.6304000000000001E-2</v>
      </c>
      <c r="G4264">
        <v>120.51</v>
      </c>
      <c r="H4264">
        <v>0.25290000000000001</v>
      </c>
    </row>
    <row r="4265" spans="2:8" x14ac:dyDescent="0.25">
      <c r="B4265">
        <v>0.26358999999999999</v>
      </c>
      <c r="C4265">
        <v>75</v>
      </c>
      <c r="D4265">
        <v>195</v>
      </c>
      <c r="E4265">
        <v>37.755000000000003</v>
      </c>
      <c r="F4265">
        <v>2.6485999999999999E-2</v>
      </c>
      <c r="G4265">
        <v>126.19</v>
      </c>
      <c r="H4265">
        <v>0.26358999999999999</v>
      </c>
    </row>
    <row r="4266" spans="2:8" x14ac:dyDescent="0.25">
      <c r="B4266">
        <v>0.27422999999999997</v>
      </c>
      <c r="C4266">
        <v>80</v>
      </c>
      <c r="D4266">
        <v>195</v>
      </c>
      <c r="E4266">
        <v>37.49</v>
      </c>
      <c r="F4266">
        <v>2.6674E-2</v>
      </c>
      <c r="G4266">
        <v>131.91</v>
      </c>
      <c r="H4266">
        <v>0.27422999999999997</v>
      </c>
    </row>
    <row r="4267" spans="2:8" x14ac:dyDescent="0.25">
      <c r="B4267">
        <v>0.28482000000000002</v>
      </c>
      <c r="C4267">
        <v>85</v>
      </c>
      <c r="D4267">
        <v>195</v>
      </c>
      <c r="E4267">
        <v>37.220999999999997</v>
      </c>
      <c r="F4267">
        <v>2.6866999999999999E-2</v>
      </c>
      <c r="G4267">
        <v>137.65</v>
      </c>
      <c r="H4267">
        <v>0.28482000000000002</v>
      </c>
    </row>
    <row r="4268" spans="2:8" x14ac:dyDescent="0.25">
      <c r="B4268">
        <v>0.29537999999999998</v>
      </c>
      <c r="C4268">
        <v>90</v>
      </c>
      <c r="D4268">
        <v>195</v>
      </c>
      <c r="E4268">
        <v>36.947000000000003</v>
      </c>
      <c r="F4268">
        <v>2.7064999999999999E-2</v>
      </c>
      <c r="G4268">
        <v>143.43</v>
      </c>
      <c r="H4268">
        <v>0.29537999999999998</v>
      </c>
    </row>
    <row r="4269" spans="2:8" x14ac:dyDescent="0.25">
      <c r="B4269">
        <v>1.1772</v>
      </c>
      <c r="C4269">
        <v>95</v>
      </c>
      <c r="D4269">
        <v>195</v>
      </c>
      <c r="E4269">
        <v>0.64915999999999996</v>
      </c>
      <c r="F4269">
        <v>1.5405</v>
      </c>
      <c r="G4269">
        <v>632.26</v>
      </c>
      <c r="H4269">
        <v>1.1772</v>
      </c>
    </row>
    <row r="4270" spans="2:8" x14ac:dyDescent="0.25">
      <c r="B4270">
        <v>1.1842999999999999</v>
      </c>
      <c r="C4270">
        <v>100</v>
      </c>
      <c r="D4270">
        <v>195</v>
      </c>
      <c r="E4270">
        <v>0.63890000000000002</v>
      </c>
      <c r="F4270">
        <v>1.5651999999999999</v>
      </c>
      <c r="G4270">
        <v>636.23</v>
      </c>
      <c r="H4270">
        <v>1.1842999999999999</v>
      </c>
    </row>
    <row r="4271" spans="2:8" x14ac:dyDescent="0.25">
      <c r="B4271">
        <v>1.1912</v>
      </c>
      <c r="C4271">
        <v>105</v>
      </c>
      <c r="D4271">
        <v>195</v>
      </c>
      <c r="E4271">
        <v>0.62917999999999996</v>
      </c>
      <c r="F4271">
        <v>1.5893999999999999</v>
      </c>
      <c r="G4271">
        <v>640.1</v>
      </c>
      <c r="H4271">
        <v>1.1912</v>
      </c>
    </row>
    <row r="4272" spans="2:8" x14ac:dyDescent="0.25">
      <c r="B4272">
        <v>1.1979</v>
      </c>
      <c r="C4272">
        <v>110</v>
      </c>
      <c r="D4272">
        <v>195</v>
      </c>
      <c r="E4272">
        <v>0.61994000000000005</v>
      </c>
      <c r="F4272">
        <v>1.6131</v>
      </c>
      <c r="G4272">
        <v>643.88</v>
      </c>
      <c r="H4272">
        <v>1.1979</v>
      </c>
    </row>
    <row r="4273" spans="2:8" x14ac:dyDescent="0.25">
      <c r="B4273">
        <v>1.2042999999999999</v>
      </c>
      <c r="C4273">
        <v>115</v>
      </c>
      <c r="D4273">
        <v>195</v>
      </c>
      <c r="E4273">
        <v>0.61114000000000002</v>
      </c>
      <c r="F4273">
        <v>1.6363000000000001</v>
      </c>
      <c r="G4273">
        <v>647.58000000000004</v>
      </c>
      <c r="H4273">
        <v>1.2042999999999999</v>
      </c>
    </row>
    <row r="4274" spans="2:8" x14ac:dyDescent="0.25">
      <c r="B4274">
        <v>1.2105999999999999</v>
      </c>
      <c r="C4274">
        <v>120</v>
      </c>
      <c r="D4274">
        <v>195</v>
      </c>
      <c r="E4274">
        <v>0.60272999999999999</v>
      </c>
      <c r="F4274">
        <v>1.6591</v>
      </c>
      <c r="G4274">
        <v>651.21</v>
      </c>
      <c r="H4274">
        <v>1.2105999999999999</v>
      </c>
    </row>
    <row r="4275" spans="2:8" x14ac:dyDescent="0.25">
      <c r="B4275">
        <v>1.2168000000000001</v>
      </c>
      <c r="C4275">
        <v>125</v>
      </c>
      <c r="D4275">
        <v>195</v>
      </c>
      <c r="E4275">
        <v>0.59467000000000003</v>
      </c>
      <c r="F4275">
        <v>1.6816</v>
      </c>
      <c r="G4275">
        <v>654.78</v>
      </c>
      <c r="H4275">
        <v>1.2168000000000001</v>
      </c>
    </row>
    <row r="4276" spans="2:8" x14ac:dyDescent="0.25">
      <c r="B4276">
        <v>1.2226999999999999</v>
      </c>
      <c r="C4276">
        <v>130</v>
      </c>
      <c r="D4276">
        <v>195</v>
      </c>
      <c r="E4276">
        <v>0.58694999999999997</v>
      </c>
      <c r="F4276">
        <v>1.7037</v>
      </c>
      <c r="G4276">
        <v>658.29</v>
      </c>
      <c r="H4276">
        <v>1.2226999999999999</v>
      </c>
    </row>
    <row r="4277" spans="2:8" x14ac:dyDescent="0.25">
      <c r="B4277">
        <v>1.2285999999999999</v>
      </c>
      <c r="C4277">
        <v>135</v>
      </c>
      <c r="D4277">
        <v>195</v>
      </c>
      <c r="E4277">
        <v>0.57952000000000004</v>
      </c>
      <c r="F4277">
        <v>1.7256</v>
      </c>
      <c r="G4277">
        <v>661.76</v>
      </c>
      <c r="H4277">
        <v>1.2285999999999999</v>
      </c>
    </row>
    <row r="4278" spans="2:8" x14ac:dyDescent="0.25">
      <c r="B4278">
        <v>1.2343</v>
      </c>
      <c r="C4278">
        <v>140</v>
      </c>
      <c r="D4278">
        <v>195</v>
      </c>
      <c r="E4278">
        <v>0.57237000000000005</v>
      </c>
      <c r="F4278">
        <v>1.7471000000000001</v>
      </c>
      <c r="G4278">
        <v>665.17</v>
      </c>
      <c r="H4278">
        <v>1.2343</v>
      </c>
    </row>
    <row r="4279" spans="2:8" x14ac:dyDescent="0.25">
      <c r="B4279">
        <v>1.2399</v>
      </c>
      <c r="C4279">
        <v>145</v>
      </c>
      <c r="D4279">
        <v>195</v>
      </c>
      <c r="E4279">
        <v>0.56547999999999998</v>
      </c>
      <c r="F4279">
        <v>1.7684</v>
      </c>
      <c r="G4279">
        <v>668.55</v>
      </c>
      <c r="H4279">
        <v>1.2399</v>
      </c>
    </row>
    <row r="4280" spans="2:8" x14ac:dyDescent="0.25">
      <c r="B4280">
        <v>1.2454000000000001</v>
      </c>
      <c r="C4280">
        <v>150</v>
      </c>
      <c r="D4280">
        <v>195</v>
      </c>
      <c r="E4280">
        <v>0.55883000000000005</v>
      </c>
      <c r="F4280">
        <v>1.7895000000000001</v>
      </c>
      <c r="G4280">
        <v>671.89</v>
      </c>
      <c r="H4280">
        <v>1.2454000000000001</v>
      </c>
    </row>
    <row r="4281" spans="2:8" x14ac:dyDescent="0.25">
      <c r="B4281">
        <v>1.2507999999999999</v>
      </c>
      <c r="C4281">
        <v>155</v>
      </c>
      <c r="D4281">
        <v>195</v>
      </c>
      <c r="E4281">
        <v>0.5524</v>
      </c>
      <c r="F4281">
        <v>1.8103</v>
      </c>
      <c r="G4281">
        <v>675.19</v>
      </c>
      <c r="H4281">
        <v>1.2507999999999999</v>
      </c>
    </row>
    <row r="4282" spans="2:8" x14ac:dyDescent="0.25">
      <c r="B4282">
        <v>1.2561</v>
      </c>
      <c r="C4282">
        <v>160</v>
      </c>
      <c r="D4282">
        <v>195</v>
      </c>
      <c r="E4282">
        <v>0.54617000000000004</v>
      </c>
      <c r="F4282">
        <v>1.8309</v>
      </c>
      <c r="G4282">
        <v>678.46</v>
      </c>
      <c r="H4282">
        <v>1.2561</v>
      </c>
    </row>
    <row r="4283" spans="2:8" x14ac:dyDescent="0.25">
      <c r="B4283">
        <v>1.2613000000000001</v>
      </c>
      <c r="C4283">
        <v>165</v>
      </c>
      <c r="D4283">
        <v>195</v>
      </c>
      <c r="E4283">
        <v>0.54015000000000002</v>
      </c>
      <c r="F4283">
        <v>1.8512999999999999</v>
      </c>
      <c r="G4283">
        <v>681.7</v>
      </c>
      <c r="H4283">
        <v>1.2613000000000001</v>
      </c>
    </row>
    <row r="4284" spans="2:8" x14ac:dyDescent="0.25">
      <c r="B4284">
        <v>1.2664</v>
      </c>
      <c r="C4284">
        <v>170</v>
      </c>
      <c r="D4284">
        <v>195</v>
      </c>
      <c r="E4284">
        <v>0.5343</v>
      </c>
      <c r="F4284">
        <v>1.8715999999999999</v>
      </c>
      <c r="G4284">
        <v>684.92</v>
      </c>
      <c r="H4284">
        <v>1.2664</v>
      </c>
    </row>
    <row r="4285" spans="2:8" x14ac:dyDescent="0.25">
      <c r="B4285">
        <v>1.2715000000000001</v>
      </c>
      <c r="C4285">
        <v>175</v>
      </c>
      <c r="D4285">
        <v>195</v>
      </c>
      <c r="E4285">
        <v>0.52863000000000004</v>
      </c>
      <c r="F4285">
        <v>1.8916999999999999</v>
      </c>
      <c r="G4285">
        <v>688.12</v>
      </c>
      <c r="H4285">
        <v>1.2715000000000001</v>
      </c>
    </row>
    <row r="4286" spans="2:8" x14ac:dyDescent="0.25">
      <c r="B4286">
        <v>1.2765</v>
      </c>
      <c r="C4286">
        <v>180</v>
      </c>
      <c r="D4286">
        <v>195</v>
      </c>
      <c r="E4286">
        <v>0.52312000000000003</v>
      </c>
      <c r="F4286">
        <v>1.9116</v>
      </c>
      <c r="G4286">
        <v>691.29</v>
      </c>
      <c r="H4286">
        <v>1.2765</v>
      </c>
    </row>
    <row r="4287" spans="2:8" x14ac:dyDescent="0.25">
      <c r="B4287">
        <v>1.2814000000000001</v>
      </c>
      <c r="C4287">
        <v>185</v>
      </c>
      <c r="D4287">
        <v>195</v>
      </c>
      <c r="E4287">
        <v>0.51776</v>
      </c>
      <c r="F4287">
        <v>1.9314</v>
      </c>
      <c r="G4287">
        <v>694.44</v>
      </c>
      <c r="H4287">
        <v>1.2814000000000001</v>
      </c>
    </row>
    <row r="4288" spans="2:8" x14ac:dyDescent="0.25">
      <c r="B4288">
        <v>1.2862</v>
      </c>
      <c r="C4288">
        <v>190</v>
      </c>
      <c r="D4288">
        <v>195</v>
      </c>
      <c r="E4288">
        <v>0.51254999999999995</v>
      </c>
      <c r="F4288">
        <v>1.9510000000000001</v>
      </c>
      <c r="G4288">
        <v>697.58</v>
      </c>
      <c r="H4288">
        <v>1.2862</v>
      </c>
    </row>
    <row r="4289" spans="2:8" x14ac:dyDescent="0.25">
      <c r="B4289">
        <v>1.2909999999999999</v>
      </c>
      <c r="C4289">
        <v>195</v>
      </c>
      <c r="D4289">
        <v>195</v>
      </c>
      <c r="E4289">
        <v>0.50746999999999998</v>
      </c>
      <c r="F4289">
        <v>1.9705999999999999</v>
      </c>
      <c r="G4289">
        <v>700.69</v>
      </c>
      <c r="H4289">
        <v>1.2909999999999999</v>
      </c>
    </row>
    <row r="4290" spans="2:8" x14ac:dyDescent="0.25">
      <c r="B4290">
        <v>1.2957000000000001</v>
      </c>
      <c r="C4290">
        <v>200</v>
      </c>
      <c r="D4290">
        <v>195</v>
      </c>
      <c r="E4290">
        <v>0.50251999999999997</v>
      </c>
      <c r="F4290">
        <v>1.99</v>
      </c>
      <c r="G4290">
        <v>703.8</v>
      </c>
      <c r="H4290">
        <v>1.2957000000000001</v>
      </c>
    </row>
    <row r="4291" spans="2:8" x14ac:dyDescent="0.25">
      <c r="B4291">
        <v>1.3004</v>
      </c>
      <c r="C4291">
        <v>205</v>
      </c>
      <c r="D4291">
        <v>195</v>
      </c>
      <c r="E4291">
        <v>0.49769999999999998</v>
      </c>
      <c r="F4291">
        <v>2.0091999999999999</v>
      </c>
      <c r="G4291">
        <v>706.89</v>
      </c>
      <c r="H4291">
        <v>1.3004</v>
      </c>
    </row>
    <row r="4292" spans="2:8" x14ac:dyDescent="0.25">
      <c r="B4292">
        <v>1.3049999999999999</v>
      </c>
      <c r="C4292">
        <v>210</v>
      </c>
      <c r="D4292">
        <v>195</v>
      </c>
      <c r="E4292">
        <v>0.49299999999999999</v>
      </c>
      <c r="F4292">
        <v>2.0284</v>
      </c>
      <c r="G4292">
        <v>709.97</v>
      </c>
      <c r="H4292">
        <v>1.3049999999999999</v>
      </c>
    </row>
    <row r="4293" spans="2:8" x14ac:dyDescent="0.25">
      <c r="B4293">
        <v>1.3096000000000001</v>
      </c>
      <c r="C4293">
        <v>215</v>
      </c>
      <c r="D4293">
        <v>195</v>
      </c>
      <c r="E4293">
        <v>0.48841000000000001</v>
      </c>
      <c r="F4293">
        <v>2.0474999999999999</v>
      </c>
      <c r="G4293">
        <v>713.03</v>
      </c>
      <c r="H4293">
        <v>1.3096000000000001</v>
      </c>
    </row>
    <row r="4294" spans="2:8" x14ac:dyDescent="0.25">
      <c r="B4294">
        <v>1.3141</v>
      </c>
      <c r="C4294">
        <v>220</v>
      </c>
      <c r="D4294">
        <v>195</v>
      </c>
      <c r="E4294">
        <v>0.48392000000000002</v>
      </c>
      <c r="F4294">
        <v>2.0663999999999998</v>
      </c>
      <c r="G4294">
        <v>716.09</v>
      </c>
      <c r="H4294">
        <v>1.3141</v>
      </c>
    </row>
    <row r="4295" spans="2:8" x14ac:dyDescent="0.25">
      <c r="B4295">
        <v>1.3186</v>
      </c>
      <c r="C4295">
        <v>225</v>
      </c>
      <c r="D4295">
        <v>195</v>
      </c>
      <c r="E4295">
        <v>0.47954000000000002</v>
      </c>
      <c r="F4295">
        <v>2.0853000000000002</v>
      </c>
      <c r="G4295">
        <v>719.13</v>
      </c>
      <c r="H4295">
        <v>1.3186</v>
      </c>
    </row>
    <row r="4296" spans="2:8" x14ac:dyDescent="0.25">
      <c r="B4296">
        <v>1.323</v>
      </c>
      <c r="C4296">
        <v>230</v>
      </c>
      <c r="D4296">
        <v>195</v>
      </c>
      <c r="E4296">
        <v>0.47526000000000002</v>
      </c>
      <c r="F4296">
        <v>2.1040999999999999</v>
      </c>
      <c r="G4296">
        <v>722.17</v>
      </c>
      <c r="H4296">
        <v>1.323</v>
      </c>
    </row>
    <row r="4297" spans="2:8" x14ac:dyDescent="0.25">
      <c r="B4297">
        <v>1.3273999999999999</v>
      </c>
      <c r="C4297">
        <v>235</v>
      </c>
      <c r="D4297">
        <v>195</v>
      </c>
      <c r="E4297">
        <v>0.47106999999999999</v>
      </c>
      <c r="F4297">
        <v>2.1227999999999998</v>
      </c>
      <c r="G4297">
        <v>725.2</v>
      </c>
      <c r="H4297">
        <v>1.3273999999999999</v>
      </c>
    </row>
    <row r="4298" spans="2:8" x14ac:dyDescent="0.25">
      <c r="B4298">
        <v>1.3317000000000001</v>
      </c>
      <c r="C4298">
        <v>240</v>
      </c>
      <c r="D4298">
        <v>195</v>
      </c>
      <c r="E4298">
        <v>0.46698000000000001</v>
      </c>
      <c r="F4298">
        <v>2.1414</v>
      </c>
      <c r="G4298">
        <v>728.23</v>
      </c>
      <c r="H4298">
        <v>1.3317000000000001</v>
      </c>
    </row>
    <row r="4299" spans="2:8" x14ac:dyDescent="0.25">
      <c r="B4299">
        <v>1.3360000000000001</v>
      </c>
      <c r="C4299">
        <v>245</v>
      </c>
      <c r="D4299">
        <v>195</v>
      </c>
      <c r="E4299">
        <v>0.46296999999999999</v>
      </c>
      <c r="F4299">
        <v>2.16</v>
      </c>
      <c r="G4299">
        <v>731.25</v>
      </c>
      <c r="H4299">
        <v>1.3360000000000001</v>
      </c>
    </row>
    <row r="4300" spans="2:8" x14ac:dyDescent="0.25">
      <c r="B4300">
        <v>1.3403</v>
      </c>
      <c r="C4300">
        <v>250</v>
      </c>
      <c r="D4300">
        <v>195</v>
      </c>
      <c r="E4300">
        <v>0.45904</v>
      </c>
      <c r="F4300">
        <v>2.1785000000000001</v>
      </c>
      <c r="G4300">
        <v>734.26</v>
      </c>
      <c r="H4300">
        <v>1.3403</v>
      </c>
    </row>
    <row r="4301" spans="2:8" x14ac:dyDescent="0.25">
      <c r="B4301">
        <v>1.3445</v>
      </c>
      <c r="C4301">
        <v>255</v>
      </c>
      <c r="D4301">
        <v>195</v>
      </c>
      <c r="E4301">
        <v>0.45519999999999999</v>
      </c>
      <c r="F4301">
        <v>2.1968999999999999</v>
      </c>
      <c r="G4301">
        <v>737.27</v>
      </c>
      <c r="H4301">
        <v>1.3445</v>
      </c>
    </row>
    <row r="4302" spans="2:8" x14ac:dyDescent="0.25">
      <c r="B4302">
        <v>1.3487</v>
      </c>
      <c r="C4302">
        <v>260</v>
      </c>
      <c r="D4302">
        <v>195</v>
      </c>
      <c r="E4302">
        <v>0.45143</v>
      </c>
      <c r="F4302">
        <v>2.2151999999999998</v>
      </c>
      <c r="G4302">
        <v>740.27</v>
      </c>
      <c r="H4302">
        <v>1.3487</v>
      </c>
    </row>
    <row r="4303" spans="2:8" x14ac:dyDescent="0.25">
      <c r="B4303">
        <v>1.3528</v>
      </c>
      <c r="C4303">
        <v>265</v>
      </c>
      <c r="D4303">
        <v>195</v>
      </c>
      <c r="E4303">
        <v>0.44773000000000002</v>
      </c>
      <c r="F4303">
        <v>2.2334999999999998</v>
      </c>
      <c r="G4303">
        <v>743.27</v>
      </c>
      <c r="H4303">
        <v>1.3528</v>
      </c>
    </row>
    <row r="4304" spans="2:8" x14ac:dyDescent="0.25">
      <c r="B4304">
        <v>1.3569</v>
      </c>
      <c r="C4304">
        <v>270</v>
      </c>
      <c r="D4304">
        <v>195</v>
      </c>
      <c r="E4304">
        <v>0.44411</v>
      </c>
      <c r="F4304">
        <v>2.2517</v>
      </c>
      <c r="G4304">
        <v>746.27</v>
      </c>
      <c r="H4304">
        <v>1.3569</v>
      </c>
    </row>
    <row r="4305" spans="2:8" x14ac:dyDescent="0.25">
      <c r="B4305">
        <v>1.361</v>
      </c>
      <c r="C4305">
        <v>275</v>
      </c>
      <c r="D4305">
        <v>195</v>
      </c>
      <c r="E4305">
        <v>0.44056000000000001</v>
      </c>
      <c r="F4305">
        <v>2.2698999999999998</v>
      </c>
      <c r="G4305">
        <v>749.27</v>
      </c>
      <c r="H4305">
        <v>1.361</v>
      </c>
    </row>
    <row r="4306" spans="2:8" x14ac:dyDescent="0.25">
      <c r="B4306">
        <v>1.3651</v>
      </c>
      <c r="C4306">
        <v>280</v>
      </c>
      <c r="D4306">
        <v>195</v>
      </c>
      <c r="E4306">
        <v>0.43707000000000001</v>
      </c>
      <c r="F4306">
        <v>2.2879999999999998</v>
      </c>
      <c r="G4306">
        <v>752.26</v>
      </c>
      <c r="H4306">
        <v>1.3651</v>
      </c>
    </row>
    <row r="4307" spans="2:8" x14ac:dyDescent="0.25">
      <c r="B4307">
        <v>1.3691</v>
      </c>
      <c r="C4307">
        <v>285</v>
      </c>
      <c r="D4307">
        <v>195</v>
      </c>
      <c r="E4307">
        <v>0.43364999999999998</v>
      </c>
      <c r="F4307">
        <v>2.306</v>
      </c>
      <c r="G4307">
        <v>755.25</v>
      </c>
      <c r="H4307">
        <v>1.3691</v>
      </c>
    </row>
    <row r="4308" spans="2:8" x14ac:dyDescent="0.25">
      <c r="B4308">
        <v>1.3731</v>
      </c>
      <c r="C4308">
        <v>290</v>
      </c>
      <c r="D4308">
        <v>195</v>
      </c>
      <c r="E4308">
        <v>0.43029000000000001</v>
      </c>
      <c r="F4308">
        <v>2.3239999999999998</v>
      </c>
      <c r="G4308">
        <v>758.24</v>
      </c>
      <c r="H4308">
        <v>1.3731</v>
      </c>
    </row>
    <row r="4309" spans="2:8" x14ac:dyDescent="0.25">
      <c r="B4309">
        <v>1.3771</v>
      </c>
      <c r="C4309">
        <v>295</v>
      </c>
      <c r="D4309">
        <v>195</v>
      </c>
      <c r="E4309">
        <v>0.42698999999999998</v>
      </c>
      <c r="F4309">
        <v>2.3420000000000001</v>
      </c>
      <c r="G4309">
        <v>761.23</v>
      </c>
      <c r="H4309">
        <v>1.3771</v>
      </c>
    </row>
    <row r="4310" spans="2:8" x14ac:dyDescent="0.25">
      <c r="B4310">
        <v>1.3811</v>
      </c>
      <c r="C4310">
        <v>300</v>
      </c>
      <c r="D4310">
        <v>195</v>
      </c>
      <c r="E4310">
        <v>0.42375000000000002</v>
      </c>
      <c r="F4310">
        <v>2.3599000000000001</v>
      </c>
      <c r="G4310">
        <v>764.22</v>
      </c>
      <c r="H4310">
        <v>1.3811</v>
      </c>
    </row>
    <row r="4311" spans="2:8" x14ac:dyDescent="0.25">
      <c r="B4311">
        <v>1.385</v>
      </c>
      <c r="C4311">
        <v>305</v>
      </c>
      <c r="D4311">
        <v>195</v>
      </c>
      <c r="E4311">
        <v>0.42057</v>
      </c>
      <c r="F4311">
        <v>2.3776999999999999</v>
      </c>
      <c r="G4311">
        <v>767.21</v>
      </c>
      <c r="H4311">
        <v>1.385</v>
      </c>
    </row>
    <row r="4312" spans="2:8" x14ac:dyDescent="0.25">
      <c r="B4312">
        <v>1.3889</v>
      </c>
      <c r="C4312">
        <v>310</v>
      </c>
      <c r="D4312">
        <v>195</v>
      </c>
      <c r="E4312">
        <v>0.41743999999999998</v>
      </c>
      <c r="F4312">
        <v>2.3955000000000002</v>
      </c>
      <c r="G4312">
        <v>770.2</v>
      </c>
      <c r="H4312">
        <v>1.3889</v>
      </c>
    </row>
    <row r="4313" spans="2:8" x14ac:dyDescent="0.25">
      <c r="B4313">
        <v>1.3927</v>
      </c>
      <c r="C4313">
        <v>315</v>
      </c>
      <c r="D4313">
        <v>195</v>
      </c>
      <c r="E4313">
        <v>0.41437000000000002</v>
      </c>
      <c r="F4313">
        <v>2.4133</v>
      </c>
      <c r="G4313">
        <v>773.19</v>
      </c>
      <c r="H4313">
        <v>1.3927</v>
      </c>
    </row>
    <row r="4314" spans="2:8" x14ac:dyDescent="0.25">
      <c r="B4314">
        <v>1.3966000000000001</v>
      </c>
      <c r="C4314">
        <v>320</v>
      </c>
      <c r="D4314">
        <v>195</v>
      </c>
      <c r="E4314">
        <v>0.41133999999999998</v>
      </c>
      <c r="F4314">
        <v>2.431</v>
      </c>
      <c r="G4314">
        <v>776.18</v>
      </c>
      <c r="H4314">
        <v>1.3966000000000001</v>
      </c>
    </row>
    <row r="4315" spans="2:8" x14ac:dyDescent="0.25">
      <c r="B4315">
        <v>1.4004000000000001</v>
      </c>
      <c r="C4315">
        <v>325</v>
      </c>
      <c r="D4315">
        <v>195</v>
      </c>
      <c r="E4315">
        <v>0.40837000000000001</v>
      </c>
      <c r="F4315">
        <v>2.4487000000000001</v>
      </c>
      <c r="G4315">
        <v>779.17</v>
      </c>
      <c r="H4315">
        <v>1.4004000000000001</v>
      </c>
    </row>
    <row r="4316" spans="2:8" x14ac:dyDescent="0.25">
      <c r="B4316">
        <v>1.4041999999999999</v>
      </c>
      <c r="C4316">
        <v>330</v>
      </c>
      <c r="D4316">
        <v>195</v>
      </c>
      <c r="E4316">
        <v>0.40544999999999998</v>
      </c>
      <c r="F4316">
        <v>2.4664000000000001</v>
      </c>
      <c r="G4316">
        <v>782.16</v>
      </c>
      <c r="H4316">
        <v>1.4041999999999999</v>
      </c>
    </row>
    <row r="4317" spans="2:8" x14ac:dyDescent="0.25">
      <c r="B4317">
        <v>1.4079999999999999</v>
      </c>
      <c r="C4317">
        <v>335</v>
      </c>
      <c r="D4317">
        <v>195</v>
      </c>
      <c r="E4317">
        <v>0.40256999999999998</v>
      </c>
      <c r="F4317">
        <v>2.484</v>
      </c>
      <c r="G4317">
        <v>785.16</v>
      </c>
      <c r="H4317">
        <v>1.4079999999999999</v>
      </c>
    </row>
    <row r="4318" spans="2:8" x14ac:dyDescent="0.25">
      <c r="B4318">
        <v>1.4117999999999999</v>
      </c>
      <c r="C4318">
        <v>340</v>
      </c>
      <c r="D4318">
        <v>195</v>
      </c>
      <c r="E4318">
        <v>0.39973999999999998</v>
      </c>
      <c r="F4318">
        <v>2.5015999999999998</v>
      </c>
      <c r="G4318">
        <v>788.15</v>
      </c>
      <c r="H4318">
        <v>1.4117999999999999</v>
      </c>
    </row>
    <row r="4319" spans="2:8" x14ac:dyDescent="0.25">
      <c r="B4319">
        <v>1.4155</v>
      </c>
      <c r="C4319">
        <v>345</v>
      </c>
      <c r="D4319">
        <v>195</v>
      </c>
      <c r="E4319">
        <v>0.39695999999999998</v>
      </c>
      <c r="F4319">
        <v>2.5192000000000001</v>
      </c>
      <c r="G4319">
        <v>791.15</v>
      </c>
      <c r="H4319">
        <v>1.4155</v>
      </c>
    </row>
    <row r="4320" spans="2:8" x14ac:dyDescent="0.25">
      <c r="B4320">
        <v>1.4192</v>
      </c>
      <c r="C4320">
        <v>350</v>
      </c>
      <c r="D4320">
        <v>195</v>
      </c>
      <c r="E4320">
        <v>0.39421</v>
      </c>
      <c r="F4320">
        <v>2.5367000000000002</v>
      </c>
      <c r="G4320">
        <v>794.15</v>
      </c>
      <c r="H4320">
        <v>1.4192</v>
      </c>
    </row>
    <row r="4322" spans="1:8" x14ac:dyDescent="0.25">
      <c r="A4322">
        <v>200</v>
      </c>
      <c r="B4322">
        <v>9.6321000000000004E-2</v>
      </c>
      <c r="C4322">
        <v>0</v>
      </c>
      <c r="D4322">
        <v>200</v>
      </c>
      <c r="E4322">
        <v>41.386000000000003</v>
      </c>
      <c r="F4322">
        <v>2.4163E-2</v>
      </c>
      <c r="G4322">
        <v>43.158000000000001</v>
      </c>
      <c r="H4322">
        <v>9.6321000000000004E-2</v>
      </c>
    </row>
    <row r="4323" spans="1:8" x14ac:dyDescent="0.25">
      <c r="B4323">
        <v>0.10802</v>
      </c>
      <c r="C4323">
        <v>5</v>
      </c>
      <c r="D4323">
        <v>200</v>
      </c>
      <c r="E4323">
        <v>41.16</v>
      </c>
      <c r="F4323">
        <v>2.4295000000000001E-2</v>
      </c>
      <c r="G4323">
        <v>48.566000000000003</v>
      </c>
      <c r="H4323">
        <v>0.10802</v>
      </c>
    </row>
    <row r="4324" spans="1:8" x14ac:dyDescent="0.25">
      <c r="B4324">
        <v>0.11963</v>
      </c>
      <c r="C4324">
        <v>10</v>
      </c>
      <c r="D4324">
        <v>200</v>
      </c>
      <c r="E4324">
        <v>40.933</v>
      </c>
      <c r="F4324">
        <v>2.443E-2</v>
      </c>
      <c r="G4324">
        <v>53.99</v>
      </c>
      <c r="H4324">
        <v>0.11963</v>
      </c>
    </row>
    <row r="4325" spans="1:8" x14ac:dyDescent="0.25">
      <c r="B4325">
        <v>0.13116</v>
      </c>
      <c r="C4325">
        <v>15</v>
      </c>
      <c r="D4325">
        <v>200</v>
      </c>
      <c r="E4325">
        <v>40.703000000000003</v>
      </c>
      <c r="F4325">
        <v>2.4568E-2</v>
      </c>
      <c r="G4325">
        <v>59.430999999999997</v>
      </c>
      <c r="H4325">
        <v>0.13116</v>
      </c>
    </row>
    <row r="4326" spans="1:8" x14ac:dyDescent="0.25">
      <c r="B4326">
        <v>0.14258999999999999</v>
      </c>
      <c r="C4326">
        <v>20</v>
      </c>
      <c r="D4326">
        <v>200</v>
      </c>
      <c r="E4326">
        <v>40.470999999999997</v>
      </c>
      <c r="F4326">
        <v>2.4708999999999998E-2</v>
      </c>
      <c r="G4326">
        <v>64.888999999999996</v>
      </c>
      <c r="H4326">
        <v>0.14258999999999999</v>
      </c>
    </row>
    <row r="4327" spans="1:8" x14ac:dyDescent="0.25">
      <c r="B4327">
        <v>0.15395</v>
      </c>
      <c r="C4327">
        <v>25</v>
      </c>
      <c r="D4327">
        <v>200</v>
      </c>
      <c r="E4327">
        <v>40.238</v>
      </c>
      <c r="F4327">
        <v>2.4851999999999999E-2</v>
      </c>
      <c r="G4327">
        <v>70.363</v>
      </c>
      <c r="H4327">
        <v>0.15395</v>
      </c>
    </row>
    <row r="4328" spans="1:8" x14ac:dyDescent="0.25">
      <c r="B4328">
        <v>0.16522000000000001</v>
      </c>
      <c r="C4328">
        <v>30</v>
      </c>
      <c r="D4328">
        <v>200</v>
      </c>
      <c r="E4328">
        <v>40.000999999999998</v>
      </c>
      <c r="F4328">
        <v>2.4999E-2</v>
      </c>
      <c r="G4328">
        <v>75.855999999999995</v>
      </c>
      <c r="H4328">
        <v>0.16522000000000001</v>
      </c>
    </row>
    <row r="4329" spans="1:8" x14ac:dyDescent="0.25">
      <c r="B4329">
        <v>0.17641999999999999</v>
      </c>
      <c r="C4329">
        <v>35</v>
      </c>
      <c r="D4329">
        <v>200</v>
      </c>
      <c r="E4329">
        <v>39.762999999999998</v>
      </c>
      <c r="F4329">
        <v>2.5149000000000001E-2</v>
      </c>
      <c r="G4329">
        <v>81.366</v>
      </c>
      <c r="H4329">
        <v>0.17641999999999999</v>
      </c>
    </row>
    <row r="4330" spans="1:8" x14ac:dyDescent="0.25">
      <c r="B4330">
        <v>0.18754000000000001</v>
      </c>
      <c r="C4330">
        <v>40</v>
      </c>
      <c r="D4330">
        <v>200</v>
      </c>
      <c r="E4330">
        <v>39.521999999999998</v>
      </c>
      <c r="F4330">
        <v>2.5302000000000002E-2</v>
      </c>
      <c r="G4330">
        <v>86.894999999999996</v>
      </c>
      <c r="H4330">
        <v>0.18754000000000001</v>
      </c>
    </row>
    <row r="4331" spans="1:8" x14ac:dyDescent="0.25">
      <c r="B4331">
        <v>0.19858999999999999</v>
      </c>
      <c r="C4331">
        <v>45</v>
      </c>
      <c r="D4331">
        <v>200</v>
      </c>
      <c r="E4331">
        <v>39.279000000000003</v>
      </c>
      <c r="F4331">
        <v>2.5458999999999999E-2</v>
      </c>
      <c r="G4331">
        <v>92.444000000000003</v>
      </c>
      <c r="H4331">
        <v>0.19858999999999999</v>
      </c>
    </row>
    <row r="4332" spans="1:8" x14ac:dyDescent="0.25">
      <c r="B4332">
        <v>0.20957000000000001</v>
      </c>
      <c r="C4332">
        <v>50</v>
      </c>
      <c r="D4332">
        <v>200</v>
      </c>
      <c r="E4332">
        <v>39.031999999999996</v>
      </c>
      <c r="F4332">
        <v>2.562E-2</v>
      </c>
      <c r="G4332">
        <v>98.013000000000005</v>
      </c>
      <c r="H4332">
        <v>0.20957000000000001</v>
      </c>
    </row>
    <row r="4333" spans="1:8" x14ac:dyDescent="0.25">
      <c r="B4333">
        <v>0.22048000000000001</v>
      </c>
      <c r="C4333">
        <v>55</v>
      </c>
      <c r="D4333">
        <v>200</v>
      </c>
      <c r="E4333">
        <v>38.783999999999999</v>
      </c>
      <c r="F4333">
        <v>2.5784000000000001E-2</v>
      </c>
      <c r="G4333">
        <v>103.6</v>
      </c>
      <c r="H4333">
        <v>0.22048000000000001</v>
      </c>
    </row>
    <row r="4334" spans="1:8" x14ac:dyDescent="0.25">
      <c r="B4334">
        <v>0.23133999999999999</v>
      </c>
      <c r="C4334">
        <v>60</v>
      </c>
      <c r="D4334">
        <v>200</v>
      </c>
      <c r="E4334">
        <v>38.531999999999996</v>
      </c>
      <c r="F4334">
        <v>2.5953E-2</v>
      </c>
      <c r="G4334">
        <v>109.22</v>
      </c>
      <c r="H4334">
        <v>0.23133999999999999</v>
      </c>
    </row>
    <row r="4335" spans="1:8" x14ac:dyDescent="0.25">
      <c r="B4335">
        <v>0.24213000000000001</v>
      </c>
      <c r="C4335">
        <v>65</v>
      </c>
      <c r="D4335">
        <v>200</v>
      </c>
      <c r="E4335">
        <v>38.277000000000001</v>
      </c>
      <c r="F4335">
        <v>2.6124999999999999E-2</v>
      </c>
      <c r="G4335">
        <v>114.85</v>
      </c>
      <c r="H4335">
        <v>0.24213000000000001</v>
      </c>
    </row>
    <row r="4336" spans="1:8" x14ac:dyDescent="0.25">
      <c r="B4336">
        <v>0.25286999999999998</v>
      </c>
      <c r="C4336">
        <v>70</v>
      </c>
      <c r="D4336">
        <v>200</v>
      </c>
      <c r="E4336">
        <v>38.018999999999998</v>
      </c>
      <c r="F4336">
        <v>2.6303E-2</v>
      </c>
      <c r="G4336">
        <v>120.51</v>
      </c>
      <c r="H4336">
        <v>0.25286999999999998</v>
      </c>
    </row>
    <row r="4337" spans="2:8" x14ac:dyDescent="0.25">
      <c r="B4337">
        <v>0.26355000000000001</v>
      </c>
      <c r="C4337">
        <v>75</v>
      </c>
      <c r="D4337">
        <v>200</v>
      </c>
      <c r="E4337">
        <v>37.756999999999998</v>
      </c>
      <c r="F4337">
        <v>2.6485000000000002E-2</v>
      </c>
      <c r="G4337">
        <v>126.2</v>
      </c>
      <c r="H4337">
        <v>0.26355000000000001</v>
      </c>
    </row>
    <row r="4338" spans="2:8" x14ac:dyDescent="0.25">
      <c r="B4338">
        <v>0.27418999999999999</v>
      </c>
      <c r="C4338">
        <v>80</v>
      </c>
      <c r="D4338">
        <v>200</v>
      </c>
      <c r="E4338">
        <v>37.491999999999997</v>
      </c>
      <c r="F4338">
        <v>2.6672000000000001E-2</v>
      </c>
      <c r="G4338">
        <v>131.91</v>
      </c>
      <c r="H4338">
        <v>0.27418999999999999</v>
      </c>
    </row>
    <row r="4339" spans="2:8" x14ac:dyDescent="0.25">
      <c r="B4339">
        <v>0.28478999999999999</v>
      </c>
      <c r="C4339">
        <v>85</v>
      </c>
      <c r="D4339">
        <v>200</v>
      </c>
      <c r="E4339">
        <v>37.222999999999999</v>
      </c>
      <c r="F4339">
        <v>2.6865E-2</v>
      </c>
      <c r="G4339">
        <v>137.66</v>
      </c>
      <c r="H4339">
        <v>0.28478999999999999</v>
      </c>
    </row>
    <row r="4340" spans="2:8" x14ac:dyDescent="0.25">
      <c r="B4340">
        <v>0.29533999999999999</v>
      </c>
      <c r="C4340">
        <v>90</v>
      </c>
      <c r="D4340">
        <v>200</v>
      </c>
      <c r="E4340">
        <v>36.950000000000003</v>
      </c>
      <c r="F4340">
        <v>2.7064000000000001E-2</v>
      </c>
      <c r="G4340">
        <v>143.43</v>
      </c>
      <c r="H4340">
        <v>0.29533999999999999</v>
      </c>
    </row>
    <row r="4341" spans="2:8" x14ac:dyDescent="0.25">
      <c r="B4341">
        <v>0.30586999999999998</v>
      </c>
      <c r="C4341">
        <v>95</v>
      </c>
      <c r="D4341">
        <v>200</v>
      </c>
      <c r="E4341">
        <v>36.671999999999997</v>
      </c>
      <c r="F4341">
        <v>2.7269000000000002E-2</v>
      </c>
      <c r="G4341">
        <v>149.24</v>
      </c>
      <c r="H4341">
        <v>0.30586999999999998</v>
      </c>
    </row>
    <row r="4342" spans="2:8" x14ac:dyDescent="0.25">
      <c r="B4342">
        <v>1.1798</v>
      </c>
      <c r="C4342">
        <v>100</v>
      </c>
      <c r="D4342">
        <v>200</v>
      </c>
      <c r="E4342">
        <v>0.65837999999999997</v>
      </c>
      <c r="F4342">
        <v>1.5188999999999999</v>
      </c>
      <c r="G4342">
        <v>635.14</v>
      </c>
      <c r="H4342">
        <v>1.1798</v>
      </c>
    </row>
    <row r="4343" spans="2:8" x14ac:dyDescent="0.25">
      <c r="B4343">
        <v>1.1868000000000001</v>
      </c>
      <c r="C4343">
        <v>105</v>
      </c>
      <c r="D4343">
        <v>200</v>
      </c>
      <c r="E4343">
        <v>0.64817999999999998</v>
      </c>
      <c r="F4343">
        <v>1.5427999999999999</v>
      </c>
      <c r="G4343">
        <v>639.05999999999995</v>
      </c>
      <c r="H4343">
        <v>1.1868000000000001</v>
      </c>
    </row>
    <row r="4344" spans="2:8" x14ac:dyDescent="0.25">
      <c r="B4344">
        <v>1.1935</v>
      </c>
      <c r="C4344">
        <v>110</v>
      </c>
      <c r="D4344">
        <v>200</v>
      </c>
      <c r="E4344">
        <v>0.63851000000000002</v>
      </c>
      <c r="F4344">
        <v>1.5662</v>
      </c>
      <c r="G4344">
        <v>642.89</v>
      </c>
      <c r="H4344">
        <v>1.1935</v>
      </c>
    </row>
    <row r="4345" spans="2:8" x14ac:dyDescent="0.25">
      <c r="B4345">
        <v>1.2000999999999999</v>
      </c>
      <c r="C4345">
        <v>115</v>
      </c>
      <c r="D4345">
        <v>200</v>
      </c>
      <c r="E4345">
        <v>0.62929999999999997</v>
      </c>
      <c r="F4345">
        <v>1.5891</v>
      </c>
      <c r="G4345">
        <v>646.64</v>
      </c>
      <c r="H4345">
        <v>1.2000999999999999</v>
      </c>
    </row>
    <row r="4346" spans="2:8" x14ac:dyDescent="0.25">
      <c r="B4346">
        <v>1.2064999999999999</v>
      </c>
      <c r="C4346">
        <v>120</v>
      </c>
      <c r="D4346">
        <v>200</v>
      </c>
      <c r="E4346">
        <v>0.62051000000000001</v>
      </c>
      <c r="F4346">
        <v>1.6115999999999999</v>
      </c>
      <c r="G4346">
        <v>650.30999999999995</v>
      </c>
      <c r="H4346">
        <v>1.2064999999999999</v>
      </c>
    </row>
    <row r="4347" spans="2:8" x14ac:dyDescent="0.25">
      <c r="B4347">
        <v>1.2126999999999999</v>
      </c>
      <c r="C4347">
        <v>125</v>
      </c>
      <c r="D4347">
        <v>200</v>
      </c>
      <c r="E4347">
        <v>0.61209999999999998</v>
      </c>
      <c r="F4347">
        <v>1.6336999999999999</v>
      </c>
      <c r="G4347">
        <v>653.91999999999996</v>
      </c>
      <c r="H4347">
        <v>1.2126999999999999</v>
      </c>
    </row>
    <row r="4348" spans="2:8" x14ac:dyDescent="0.25">
      <c r="B4348">
        <v>1.2186999999999999</v>
      </c>
      <c r="C4348">
        <v>130</v>
      </c>
      <c r="D4348">
        <v>200</v>
      </c>
      <c r="E4348">
        <v>0.60404999999999998</v>
      </c>
      <c r="F4348">
        <v>1.6555</v>
      </c>
      <c r="G4348">
        <v>657.47</v>
      </c>
      <c r="H4348">
        <v>1.2186999999999999</v>
      </c>
    </row>
    <row r="4349" spans="2:8" x14ac:dyDescent="0.25">
      <c r="B4349">
        <v>1.2245999999999999</v>
      </c>
      <c r="C4349">
        <v>135</v>
      </c>
      <c r="D4349">
        <v>200</v>
      </c>
      <c r="E4349">
        <v>0.59631000000000001</v>
      </c>
      <c r="F4349">
        <v>1.677</v>
      </c>
      <c r="G4349">
        <v>660.96</v>
      </c>
      <c r="H4349">
        <v>1.2245999999999999</v>
      </c>
    </row>
    <row r="4350" spans="2:8" x14ac:dyDescent="0.25">
      <c r="B4350">
        <v>1.2303999999999999</v>
      </c>
      <c r="C4350">
        <v>140</v>
      </c>
      <c r="D4350">
        <v>200</v>
      </c>
      <c r="E4350">
        <v>0.58887</v>
      </c>
      <c r="F4350">
        <v>1.6981999999999999</v>
      </c>
      <c r="G4350">
        <v>664.41</v>
      </c>
      <c r="H4350">
        <v>1.2303999999999999</v>
      </c>
    </row>
    <row r="4351" spans="2:8" x14ac:dyDescent="0.25">
      <c r="B4351">
        <v>1.236</v>
      </c>
      <c r="C4351">
        <v>145</v>
      </c>
      <c r="D4351">
        <v>200</v>
      </c>
      <c r="E4351">
        <v>0.58169999999999999</v>
      </c>
      <c r="F4351">
        <v>1.7191000000000001</v>
      </c>
      <c r="G4351">
        <v>667.81</v>
      </c>
      <c r="H4351">
        <v>1.236</v>
      </c>
    </row>
    <row r="4352" spans="2:8" x14ac:dyDescent="0.25">
      <c r="B4352">
        <v>1.2416</v>
      </c>
      <c r="C4352">
        <v>150</v>
      </c>
      <c r="D4352">
        <v>200</v>
      </c>
      <c r="E4352">
        <v>0.57477999999999996</v>
      </c>
      <c r="F4352">
        <v>1.7398</v>
      </c>
      <c r="G4352">
        <v>671.18</v>
      </c>
      <c r="H4352">
        <v>1.2416</v>
      </c>
    </row>
    <row r="4353" spans="2:8" x14ac:dyDescent="0.25">
      <c r="B4353">
        <v>1.2470000000000001</v>
      </c>
      <c r="C4353">
        <v>155</v>
      </c>
      <c r="D4353">
        <v>200</v>
      </c>
      <c r="E4353">
        <v>0.56810000000000005</v>
      </c>
      <c r="F4353">
        <v>1.7602</v>
      </c>
      <c r="G4353">
        <v>674.5</v>
      </c>
      <c r="H4353">
        <v>1.2470000000000001</v>
      </c>
    </row>
    <row r="4354" spans="2:8" x14ac:dyDescent="0.25">
      <c r="B4354">
        <v>1.2523</v>
      </c>
      <c r="C4354">
        <v>160</v>
      </c>
      <c r="D4354">
        <v>200</v>
      </c>
      <c r="E4354">
        <v>0.56164000000000003</v>
      </c>
      <c r="F4354">
        <v>1.7805</v>
      </c>
      <c r="G4354">
        <v>677.8</v>
      </c>
      <c r="H4354">
        <v>1.2523</v>
      </c>
    </row>
    <row r="4355" spans="2:8" x14ac:dyDescent="0.25">
      <c r="B4355">
        <v>1.2576000000000001</v>
      </c>
      <c r="C4355">
        <v>165</v>
      </c>
      <c r="D4355">
        <v>200</v>
      </c>
      <c r="E4355">
        <v>0.55539000000000005</v>
      </c>
      <c r="F4355">
        <v>1.8005</v>
      </c>
      <c r="G4355">
        <v>681.06</v>
      </c>
      <c r="H4355">
        <v>1.2576000000000001</v>
      </c>
    </row>
    <row r="4356" spans="2:8" x14ac:dyDescent="0.25">
      <c r="B4356">
        <v>1.2626999999999999</v>
      </c>
      <c r="C4356">
        <v>170</v>
      </c>
      <c r="D4356">
        <v>200</v>
      </c>
      <c r="E4356">
        <v>0.54932000000000003</v>
      </c>
      <c r="F4356">
        <v>1.8204</v>
      </c>
      <c r="G4356">
        <v>684.3</v>
      </c>
      <c r="H4356">
        <v>1.2626999999999999</v>
      </c>
    </row>
    <row r="4357" spans="2:8" x14ac:dyDescent="0.25">
      <c r="B4357">
        <v>1.2678</v>
      </c>
      <c r="C4357">
        <v>175</v>
      </c>
      <c r="D4357">
        <v>200</v>
      </c>
      <c r="E4357">
        <v>0.54344000000000003</v>
      </c>
      <c r="F4357">
        <v>1.8401000000000001</v>
      </c>
      <c r="G4357">
        <v>687.52</v>
      </c>
      <c r="H4357">
        <v>1.2678</v>
      </c>
    </row>
    <row r="4358" spans="2:8" x14ac:dyDescent="0.25">
      <c r="B4358">
        <v>1.2727999999999999</v>
      </c>
      <c r="C4358">
        <v>180</v>
      </c>
      <c r="D4358">
        <v>200</v>
      </c>
      <c r="E4358">
        <v>0.53773000000000004</v>
      </c>
      <c r="F4358">
        <v>1.8596999999999999</v>
      </c>
      <c r="G4358">
        <v>690.71</v>
      </c>
      <c r="H4358">
        <v>1.2727999999999999</v>
      </c>
    </row>
    <row r="4359" spans="2:8" x14ac:dyDescent="0.25">
      <c r="B4359">
        <v>1.2778</v>
      </c>
      <c r="C4359">
        <v>185</v>
      </c>
      <c r="D4359">
        <v>200</v>
      </c>
      <c r="E4359">
        <v>0.53217999999999999</v>
      </c>
      <c r="F4359">
        <v>1.8791</v>
      </c>
      <c r="G4359">
        <v>693.88</v>
      </c>
      <c r="H4359">
        <v>1.2778</v>
      </c>
    </row>
    <row r="4360" spans="2:8" x14ac:dyDescent="0.25">
      <c r="B4360">
        <v>1.2826</v>
      </c>
      <c r="C4360">
        <v>190</v>
      </c>
      <c r="D4360">
        <v>200</v>
      </c>
      <c r="E4360">
        <v>0.52678000000000003</v>
      </c>
      <c r="F4360">
        <v>1.8983000000000001</v>
      </c>
      <c r="G4360">
        <v>697.03</v>
      </c>
      <c r="H4360">
        <v>1.2826</v>
      </c>
    </row>
    <row r="4361" spans="2:8" x14ac:dyDescent="0.25">
      <c r="B4361">
        <v>1.2874000000000001</v>
      </c>
      <c r="C4361">
        <v>195</v>
      </c>
      <c r="D4361">
        <v>200</v>
      </c>
      <c r="E4361">
        <v>0.52151999999999998</v>
      </c>
      <c r="F4361">
        <v>1.9175</v>
      </c>
      <c r="G4361">
        <v>700.16</v>
      </c>
      <c r="H4361">
        <v>1.2874000000000001</v>
      </c>
    </row>
    <row r="4362" spans="2:8" x14ac:dyDescent="0.25">
      <c r="B4362">
        <v>1.2922</v>
      </c>
      <c r="C4362">
        <v>200</v>
      </c>
      <c r="D4362">
        <v>200</v>
      </c>
      <c r="E4362">
        <v>0.51641000000000004</v>
      </c>
      <c r="F4362">
        <v>1.9365000000000001</v>
      </c>
      <c r="G4362">
        <v>703.28</v>
      </c>
      <c r="H4362">
        <v>1.2922</v>
      </c>
    </row>
    <row r="4363" spans="2:8" x14ac:dyDescent="0.25">
      <c r="B4363">
        <v>1.2968999999999999</v>
      </c>
      <c r="C4363">
        <v>205</v>
      </c>
      <c r="D4363">
        <v>200</v>
      </c>
      <c r="E4363">
        <v>0.51141999999999999</v>
      </c>
      <c r="F4363">
        <v>1.9553</v>
      </c>
      <c r="G4363">
        <v>706.38</v>
      </c>
      <c r="H4363">
        <v>1.2968999999999999</v>
      </c>
    </row>
    <row r="4364" spans="2:8" x14ac:dyDescent="0.25">
      <c r="B4364">
        <v>1.3015000000000001</v>
      </c>
      <c r="C4364">
        <v>210</v>
      </c>
      <c r="D4364">
        <v>200</v>
      </c>
      <c r="E4364">
        <v>0.50654999999999994</v>
      </c>
      <c r="F4364">
        <v>1.9741</v>
      </c>
      <c r="G4364">
        <v>709.47</v>
      </c>
      <c r="H4364">
        <v>1.3015000000000001</v>
      </c>
    </row>
    <row r="4365" spans="2:8" x14ac:dyDescent="0.25">
      <c r="B4365">
        <v>1.3061</v>
      </c>
      <c r="C4365">
        <v>215</v>
      </c>
      <c r="D4365">
        <v>200</v>
      </c>
      <c r="E4365">
        <v>0.50180999999999998</v>
      </c>
      <c r="F4365">
        <v>1.9927999999999999</v>
      </c>
      <c r="G4365">
        <v>712.55</v>
      </c>
      <c r="H4365">
        <v>1.3061</v>
      </c>
    </row>
    <row r="4366" spans="2:8" x14ac:dyDescent="0.25">
      <c r="B4366">
        <v>1.3106</v>
      </c>
      <c r="C4366">
        <v>220</v>
      </c>
      <c r="D4366">
        <v>200</v>
      </c>
      <c r="E4366">
        <v>0.49717</v>
      </c>
      <c r="F4366">
        <v>2.0114000000000001</v>
      </c>
      <c r="G4366">
        <v>715.62</v>
      </c>
      <c r="H4366">
        <v>1.3106</v>
      </c>
    </row>
    <row r="4367" spans="2:8" x14ac:dyDescent="0.25">
      <c r="B4367">
        <v>1.3150999999999999</v>
      </c>
      <c r="C4367">
        <v>225</v>
      </c>
      <c r="D4367">
        <v>200</v>
      </c>
      <c r="E4367">
        <v>0.49264999999999998</v>
      </c>
      <c r="F4367">
        <v>2.0299</v>
      </c>
      <c r="G4367">
        <v>718.68</v>
      </c>
      <c r="H4367">
        <v>1.3150999999999999</v>
      </c>
    </row>
    <row r="4368" spans="2:8" x14ac:dyDescent="0.25">
      <c r="B4368">
        <v>1.3194999999999999</v>
      </c>
      <c r="C4368">
        <v>230</v>
      </c>
      <c r="D4368">
        <v>200</v>
      </c>
      <c r="E4368">
        <v>0.48821999999999999</v>
      </c>
      <c r="F4368">
        <v>2.0482</v>
      </c>
      <c r="G4368">
        <v>721.73</v>
      </c>
      <c r="H4368">
        <v>1.3194999999999999</v>
      </c>
    </row>
    <row r="4369" spans="2:8" x14ac:dyDescent="0.25">
      <c r="B4369">
        <v>1.3239000000000001</v>
      </c>
      <c r="C4369">
        <v>235</v>
      </c>
      <c r="D4369">
        <v>200</v>
      </c>
      <c r="E4369">
        <v>0.4839</v>
      </c>
      <c r="F4369">
        <v>2.0666000000000002</v>
      </c>
      <c r="G4369">
        <v>724.77</v>
      </c>
      <c r="H4369">
        <v>1.3239000000000001</v>
      </c>
    </row>
    <row r="4370" spans="2:8" x14ac:dyDescent="0.25">
      <c r="B4370">
        <v>1.3283</v>
      </c>
      <c r="C4370">
        <v>240</v>
      </c>
      <c r="D4370">
        <v>200</v>
      </c>
      <c r="E4370">
        <v>0.47966999999999999</v>
      </c>
      <c r="F4370">
        <v>2.0848</v>
      </c>
      <c r="G4370">
        <v>727.8</v>
      </c>
      <c r="H4370">
        <v>1.3283</v>
      </c>
    </row>
    <row r="4371" spans="2:8" x14ac:dyDescent="0.25">
      <c r="B4371">
        <v>1.3326</v>
      </c>
      <c r="C4371">
        <v>245</v>
      </c>
      <c r="D4371">
        <v>200</v>
      </c>
      <c r="E4371">
        <v>0.47553000000000001</v>
      </c>
      <c r="F4371">
        <v>2.1029</v>
      </c>
      <c r="G4371">
        <v>730.83</v>
      </c>
      <c r="H4371">
        <v>1.3326</v>
      </c>
    </row>
    <row r="4372" spans="2:8" x14ac:dyDescent="0.25">
      <c r="B4372">
        <v>1.3369</v>
      </c>
      <c r="C4372">
        <v>250</v>
      </c>
      <c r="D4372">
        <v>200</v>
      </c>
      <c r="E4372">
        <v>0.47147</v>
      </c>
      <c r="F4372">
        <v>2.121</v>
      </c>
      <c r="G4372">
        <v>733.85</v>
      </c>
      <c r="H4372">
        <v>1.3369</v>
      </c>
    </row>
    <row r="4373" spans="2:8" x14ac:dyDescent="0.25">
      <c r="B4373">
        <v>1.3411</v>
      </c>
      <c r="C4373">
        <v>255</v>
      </c>
      <c r="D4373">
        <v>200</v>
      </c>
      <c r="E4373">
        <v>0.46750000000000003</v>
      </c>
      <c r="F4373">
        <v>2.1389999999999998</v>
      </c>
      <c r="G4373">
        <v>736.87</v>
      </c>
      <c r="H4373">
        <v>1.3411</v>
      </c>
    </row>
    <row r="4374" spans="2:8" x14ac:dyDescent="0.25">
      <c r="B4374">
        <v>1.3452999999999999</v>
      </c>
      <c r="C4374">
        <v>260</v>
      </c>
      <c r="D4374">
        <v>200</v>
      </c>
      <c r="E4374">
        <v>0.46361000000000002</v>
      </c>
      <c r="F4374">
        <v>2.157</v>
      </c>
      <c r="G4374">
        <v>739.88</v>
      </c>
      <c r="H4374">
        <v>1.3452999999999999</v>
      </c>
    </row>
    <row r="4375" spans="2:8" x14ac:dyDescent="0.25">
      <c r="B4375">
        <v>1.3494999999999999</v>
      </c>
      <c r="C4375">
        <v>265</v>
      </c>
      <c r="D4375">
        <v>200</v>
      </c>
      <c r="E4375">
        <v>0.45979999999999999</v>
      </c>
      <c r="F4375">
        <v>2.1747999999999998</v>
      </c>
      <c r="G4375">
        <v>742.89</v>
      </c>
      <c r="H4375">
        <v>1.3494999999999999</v>
      </c>
    </row>
    <row r="4376" spans="2:8" x14ac:dyDescent="0.25">
      <c r="B4376">
        <v>1.3535999999999999</v>
      </c>
      <c r="C4376">
        <v>270</v>
      </c>
      <c r="D4376">
        <v>200</v>
      </c>
      <c r="E4376">
        <v>0.45606999999999998</v>
      </c>
      <c r="F4376">
        <v>2.1926999999999999</v>
      </c>
      <c r="G4376">
        <v>745.9</v>
      </c>
      <c r="H4376">
        <v>1.3535999999999999</v>
      </c>
    </row>
    <row r="4377" spans="2:8" x14ac:dyDescent="0.25">
      <c r="B4377">
        <v>1.3576999999999999</v>
      </c>
      <c r="C4377">
        <v>275</v>
      </c>
      <c r="D4377">
        <v>200</v>
      </c>
      <c r="E4377">
        <v>0.45240000000000002</v>
      </c>
      <c r="F4377">
        <v>2.2103999999999999</v>
      </c>
      <c r="G4377">
        <v>748.9</v>
      </c>
      <c r="H4377">
        <v>1.3576999999999999</v>
      </c>
    </row>
    <row r="4378" spans="2:8" x14ac:dyDescent="0.25">
      <c r="B4378">
        <v>1.3617999999999999</v>
      </c>
      <c r="C4378">
        <v>280</v>
      </c>
      <c r="D4378">
        <v>200</v>
      </c>
      <c r="E4378">
        <v>0.44880999999999999</v>
      </c>
      <c r="F4378">
        <v>2.2281</v>
      </c>
      <c r="G4378">
        <v>751.9</v>
      </c>
      <c r="H4378">
        <v>1.3617999999999999</v>
      </c>
    </row>
    <row r="4379" spans="2:8" x14ac:dyDescent="0.25">
      <c r="B4379">
        <v>1.3657999999999999</v>
      </c>
      <c r="C4379">
        <v>285</v>
      </c>
      <c r="D4379">
        <v>200</v>
      </c>
      <c r="E4379">
        <v>0.44528000000000001</v>
      </c>
      <c r="F4379">
        <v>2.2458</v>
      </c>
      <c r="G4379">
        <v>754.9</v>
      </c>
      <c r="H4379">
        <v>1.3657999999999999</v>
      </c>
    </row>
    <row r="4380" spans="2:8" x14ac:dyDescent="0.25">
      <c r="B4380">
        <v>1.3697999999999999</v>
      </c>
      <c r="C4380">
        <v>290</v>
      </c>
      <c r="D4380">
        <v>200</v>
      </c>
      <c r="E4380">
        <v>0.44181999999999999</v>
      </c>
      <c r="F4380">
        <v>2.2633999999999999</v>
      </c>
      <c r="G4380">
        <v>757.9</v>
      </c>
      <c r="H4380">
        <v>1.3697999999999999</v>
      </c>
    </row>
    <row r="4381" spans="2:8" x14ac:dyDescent="0.25">
      <c r="B4381">
        <v>1.3737999999999999</v>
      </c>
      <c r="C4381">
        <v>295</v>
      </c>
      <c r="D4381">
        <v>200</v>
      </c>
      <c r="E4381">
        <v>0.43841999999999998</v>
      </c>
      <c r="F4381">
        <v>2.2808999999999999</v>
      </c>
      <c r="G4381">
        <v>760.9</v>
      </c>
      <c r="H4381">
        <v>1.3737999999999999</v>
      </c>
    </row>
    <row r="4382" spans="2:8" x14ac:dyDescent="0.25">
      <c r="B4382">
        <v>1.3777999999999999</v>
      </c>
      <c r="C4382">
        <v>300</v>
      </c>
      <c r="D4382">
        <v>200</v>
      </c>
      <c r="E4382">
        <v>0.43508000000000002</v>
      </c>
      <c r="F4382">
        <v>2.2984</v>
      </c>
      <c r="G4382">
        <v>763.89</v>
      </c>
      <c r="H4382">
        <v>1.3777999999999999</v>
      </c>
    </row>
    <row r="4383" spans="2:8" x14ac:dyDescent="0.25">
      <c r="B4383">
        <v>1.3816999999999999</v>
      </c>
      <c r="C4383">
        <v>305</v>
      </c>
      <c r="D4383">
        <v>200</v>
      </c>
      <c r="E4383">
        <v>0.43180000000000002</v>
      </c>
      <c r="F4383">
        <v>2.3159000000000001</v>
      </c>
      <c r="G4383">
        <v>766.89</v>
      </c>
      <c r="H4383">
        <v>1.3816999999999999</v>
      </c>
    </row>
    <row r="4384" spans="2:8" x14ac:dyDescent="0.25">
      <c r="B4384">
        <v>1.3855999999999999</v>
      </c>
      <c r="C4384">
        <v>310</v>
      </c>
      <c r="D4384">
        <v>200</v>
      </c>
      <c r="E4384">
        <v>0.42858000000000002</v>
      </c>
      <c r="F4384">
        <v>2.3332999999999999</v>
      </c>
      <c r="G4384">
        <v>769.88</v>
      </c>
      <c r="H4384">
        <v>1.3855999999999999</v>
      </c>
    </row>
    <row r="4385" spans="1:8" x14ac:dyDescent="0.25">
      <c r="B4385">
        <v>1.3895</v>
      </c>
      <c r="C4385">
        <v>315</v>
      </c>
      <c r="D4385">
        <v>200</v>
      </c>
      <c r="E4385">
        <v>0.42541000000000001</v>
      </c>
      <c r="F4385">
        <v>2.3506999999999998</v>
      </c>
      <c r="G4385">
        <v>772.88</v>
      </c>
      <c r="H4385">
        <v>1.3895</v>
      </c>
    </row>
    <row r="4386" spans="1:8" x14ac:dyDescent="0.25">
      <c r="B4386">
        <v>1.3933</v>
      </c>
      <c r="C4386">
        <v>320</v>
      </c>
      <c r="D4386">
        <v>200</v>
      </c>
      <c r="E4386">
        <v>0.42230000000000001</v>
      </c>
      <c r="F4386">
        <v>2.3679999999999999</v>
      </c>
      <c r="G4386">
        <v>775.87</v>
      </c>
      <c r="H4386">
        <v>1.3933</v>
      </c>
    </row>
    <row r="4387" spans="1:8" x14ac:dyDescent="0.25">
      <c r="B4387">
        <v>1.3972</v>
      </c>
      <c r="C4387">
        <v>325</v>
      </c>
      <c r="D4387">
        <v>200</v>
      </c>
      <c r="E4387">
        <v>0.41922999999999999</v>
      </c>
      <c r="F4387">
        <v>2.3853</v>
      </c>
      <c r="G4387">
        <v>778.87</v>
      </c>
      <c r="H4387">
        <v>1.3972</v>
      </c>
    </row>
    <row r="4388" spans="1:8" x14ac:dyDescent="0.25">
      <c r="B4388">
        <v>1.401</v>
      </c>
      <c r="C4388">
        <v>330</v>
      </c>
      <c r="D4388">
        <v>200</v>
      </c>
      <c r="E4388">
        <v>0.41621999999999998</v>
      </c>
      <c r="F4388">
        <v>2.4026000000000001</v>
      </c>
      <c r="G4388">
        <v>781.87</v>
      </c>
      <c r="H4388">
        <v>1.401</v>
      </c>
    </row>
    <row r="4389" spans="1:8" x14ac:dyDescent="0.25">
      <c r="B4389">
        <v>1.4048</v>
      </c>
      <c r="C4389">
        <v>335</v>
      </c>
      <c r="D4389">
        <v>200</v>
      </c>
      <c r="E4389">
        <v>0.41326000000000002</v>
      </c>
      <c r="F4389">
        <v>2.4198</v>
      </c>
      <c r="G4389">
        <v>784.87</v>
      </c>
      <c r="H4389">
        <v>1.4048</v>
      </c>
    </row>
    <row r="4390" spans="1:8" x14ac:dyDescent="0.25">
      <c r="B4390">
        <v>1.4085000000000001</v>
      </c>
      <c r="C4390">
        <v>340</v>
      </c>
      <c r="D4390">
        <v>200</v>
      </c>
      <c r="E4390">
        <v>0.41034999999999999</v>
      </c>
      <c r="F4390">
        <v>2.4369999999999998</v>
      </c>
      <c r="G4390">
        <v>787.87</v>
      </c>
      <c r="H4390">
        <v>1.4085000000000001</v>
      </c>
    </row>
    <row r="4391" spans="1:8" x14ac:dyDescent="0.25">
      <c r="B4391">
        <v>1.4123000000000001</v>
      </c>
      <c r="C4391">
        <v>345</v>
      </c>
      <c r="D4391">
        <v>200</v>
      </c>
      <c r="E4391">
        <v>0.40748000000000001</v>
      </c>
      <c r="F4391">
        <v>2.4540999999999999</v>
      </c>
      <c r="G4391">
        <v>790.87</v>
      </c>
      <c r="H4391">
        <v>1.4123000000000001</v>
      </c>
    </row>
    <row r="4392" spans="1:8" x14ac:dyDescent="0.25">
      <c r="B4392">
        <v>1.4159999999999999</v>
      </c>
      <c r="C4392">
        <v>350</v>
      </c>
      <c r="D4392">
        <v>200</v>
      </c>
      <c r="E4392">
        <v>0.40465000000000001</v>
      </c>
      <c r="F4392">
        <v>2.4712000000000001</v>
      </c>
      <c r="G4392">
        <v>793.88</v>
      </c>
      <c r="H4392">
        <v>1.4159999999999999</v>
      </c>
    </row>
    <row r="4394" spans="1:8" x14ac:dyDescent="0.25">
      <c r="A4394">
        <v>205</v>
      </c>
      <c r="B4394">
        <v>9.6296999999999994E-2</v>
      </c>
      <c r="C4394">
        <v>0</v>
      </c>
      <c r="D4394">
        <v>205</v>
      </c>
      <c r="E4394">
        <v>41.387</v>
      </c>
      <c r="F4394">
        <v>2.4161999999999999E-2</v>
      </c>
      <c r="G4394">
        <v>43.17</v>
      </c>
      <c r="H4394">
        <v>9.6296999999999994E-2</v>
      </c>
    </row>
    <row r="4395" spans="1:8" x14ac:dyDescent="0.25">
      <c r="B4395">
        <v>0.108</v>
      </c>
      <c r="C4395">
        <v>5</v>
      </c>
      <c r="D4395">
        <v>205</v>
      </c>
      <c r="E4395">
        <v>41.161999999999999</v>
      </c>
      <c r="F4395">
        <v>2.4294E-2</v>
      </c>
      <c r="G4395">
        <v>48.576999999999998</v>
      </c>
      <c r="H4395">
        <v>0.108</v>
      </c>
    </row>
    <row r="4396" spans="1:8" x14ac:dyDescent="0.25">
      <c r="B4396">
        <v>0.11960999999999999</v>
      </c>
      <c r="C4396">
        <v>10</v>
      </c>
      <c r="D4396">
        <v>205</v>
      </c>
      <c r="E4396">
        <v>40.933999999999997</v>
      </c>
      <c r="F4396">
        <v>2.4428999999999999E-2</v>
      </c>
      <c r="G4396">
        <v>54.000999999999998</v>
      </c>
      <c r="H4396">
        <v>0.11960999999999999</v>
      </c>
    </row>
    <row r="4397" spans="1:8" x14ac:dyDescent="0.25">
      <c r="B4397">
        <v>0.13113</v>
      </c>
      <c r="C4397">
        <v>15</v>
      </c>
      <c r="D4397">
        <v>205</v>
      </c>
      <c r="E4397">
        <v>40.704999999999998</v>
      </c>
      <c r="F4397">
        <v>2.4566999999999999E-2</v>
      </c>
      <c r="G4397">
        <v>59.442</v>
      </c>
      <c r="H4397">
        <v>0.13113</v>
      </c>
    </row>
    <row r="4398" spans="1:8" x14ac:dyDescent="0.25">
      <c r="B4398">
        <v>0.14257</v>
      </c>
      <c r="C4398">
        <v>20</v>
      </c>
      <c r="D4398">
        <v>205</v>
      </c>
      <c r="E4398">
        <v>40.472999999999999</v>
      </c>
      <c r="F4398">
        <v>2.4708000000000001E-2</v>
      </c>
      <c r="G4398">
        <v>64.899000000000001</v>
      </c>
      <c r="H4398">
        <v>0.14257</v>
      </c>
    </row>
    <row r="4399" spans="1:8" x14ac:dyDescent="0.25">
      <c r="B4399">
        <v>0.15392</v>
      </c>
      <c r="C4399">
        <v>25</v>
      </c>
      <c r="D4399">
        <v>205</v>
      </c>
      <c r="E4399">
        <v>40.238999999999997</v>
      </c>
      <c r="F4399">
        <v>2.4851999999999999E-2</v>
      </c>
      <c r="G4399">
        <v>70.373000000000005</v>
      </c>
      <c r="H4399">
        <v>0.15392</v>
      </c>
    </row>
    <row r="4400" spans="1:8" x14ac:dyDescent="0.25">
      <c r="B4400">
        <v>0.16519</v>
      </c>
      <c r="C4400">
        <v>30</v>
      </c>
      <c r="D4400">
        <v>205</v>
      </c>
      <c r="E4400">
        <v>40.003</v>
      </c>
      <c r="F4400">
        <v>2.4997999999999999E-2</v>
      </c>
      <c r="G4400">
        <v>75.864999999999995</v>
      </c>
      <c r="H4400">
        <v>0.16519</v>
      </c>
    </row>
    <row r="4401" spans="2:8" x14ac:dyDescent="0.25">
      <c r="B4401">
        <v>0.17638999999999999</v>
      </c>
      <c r="C4401">
        <v>35</v>
      </c>
      <c r="D4401">
        <v>205</v>
      </c>
      <c r="E4401">
        <v>39.764000000000003</v>
      </c>
      <c r="F4401">
        <v>2.5148E-2</v>
      </c>
      <c r="G4401">
        <v>81.376000000000005</v>
      </c>
      <c r="H4401">
        <v>0.17638999999999999</v>
      </c>
    </row>
    <row r="4402" spans="2:8" x14ac:dyDescent="0.25">
      <c r="B4402">
        <v>0.18751000000000001</v>
      </c>
      <c r="C4402">
        <v>40</v>
      </c>
      <c r="D4402">
        <v>205</v>
      </c>
      <c r="E4402">
        <v>39.524000000000001</v>
      </c>
      <c r="F4402">
        <v>2.5301000000000001E-2</v>
      </c>
      <c r="G4402">
        <v>86.905000000000001</v>
      </c>
      <c r="H4402">
        <v>0.18751000000000001</v>
      </c>
    </row>
    <row r="4403" spans="2:8" x14ac:dyDescent="0.25">
      <c r="B4403">
        <v>0.19855999999999999</v>
      </c>
      <c r="C4403">
        <v>45</v>
      </c>
      <c r="D4403">
        <v>205</v>
      </c>
      <c r="E4403">
        <v>39.28</v>
      </c>
      <c r="F4403">
        <v>2.5458000000000001E-2</v>
      </c>
      <c r="G4403">
        <v>92.453000000000003</v>
      </c>
      <c r="H4403">
        <v>0.19855999999999999</v>
      </c>
    </row>
    <row r="4404" spans="2:8" x14ac:dyDescent="0.25">
      <c r="B4404">
        <v>0.20954</v>
      </c>
      <c r="C4404">
        <v>50</v>
      </c>
      <c r="D4404">
        <v>205</v>
      </c>
      <c r="E4404">
        <v>39.033999999999999</v>
      </c>
      <c r="F4404">
        <v>2.5618999999999999E-2</v>
      </c>
      <c r="G4404">
        <v>98.022000000000006</v>
      </c>
      <c r="H4404">
        <v>0.20954</v>
      </c>
    </row>
    <row r="4405" spans="2:8" x14ac:dyDescent="0.25">
      <c r="B4405">
        <v>0.22045000000000001</v>
      </c>
      <c r="C4405">
        <v>55</v>
      </c>
      <c r="D4405">
        <v>205</v>
      </c>
      <c r="E4405">
        <v>38.784999999999997</v>
      </c>
      <c r="F4405">
        <v>2.5783E-2</v>
      </c>
      <c r="G4405">
        <v>103.61</v>
      </c>
      <c r="H4405">
        <v>0.22045000000000001</v>
      </c>
    </row>
    <row r="4406" spans="2:8" x14ac:dyDescent="0.25">
      <c r="B4406">
        <v>0.23130999999999999</v>
      </c>
      <c r="C4406">
        <v>60</v>
      </c>
      <c r="D4406">
        <v>205</v>
      </c>
      <c r="E4406">
        <v>38.533999999999999</v>
      </c>
      <c r="F4406">
        <v>2.5950999999999998E-2</v>
      </c>
      <c r="G4406">
        <v>109.22</v>
      </c>
      <c r="H4406">
        <v>0.23130999999999999</v>
      </c>
    </row>
    <row r="4407" spans="2:8" x14ac:dyDescent="0.25">
      <c r="B4407">
        <v>0.24210000000000001</v>
      </c>
      <c r="C4407">
        <v>65</v>
      </c>
      <c r="D4407">
        <v>205</v>
      </c>
      <c r="E4407">
        <v>38.279000000000003</v>
      </c>
      <c r="F4407">
        <v>2.6124000000000001E-2</v>
      </c>
      <c r="G4407">
        <v>114.86</v>
      </c>
      <c r="H4407">
        <v>0.24210000000000001</v>
      </c>
    </row>
    <row r="4408" spans="2:8" x14ac:dyDescent="0.25">
      <c r="B4408">
        <v>0.25283</v>
      </c>
      <c r="C4408">
        <v>70</v>
      </c>
      <c r="D4408">
        <v>205</v>
      </c>
      <c r="E4408">
        <v>38.021000000000001</v>
      </c>
      <c r="F4408">
        <v>2.6301000000000001E-2</v>
      </c>
      <c r="G4408">
        <v>120.52</v>
      </c>
      <c r="H4408">
        <v>0.25283</v>
      </c>
    </row>
    <row r="4409" spans="2:8" x14ac:dyDescent="0.25">
      <c r="B4409">
        <v>0.26351999999999998</v>
      </c>
      <c r="C4409">
        <v>75</v>
      </c>
      <c r="D4409">
        <v>205</v>
      </c>
      <c r="E4409">
        <v>37.759</v>
      </c>
      <c r="F4409">
        <v>2.6484000000000001E-2</v>
      </c>
      <c r="G4409">
        <v>126.21</v>
      </c>
      <c r="H4409">
        <v>0.26351999999999998</v>
      </c>
    </row>
    <row r="4410" spans="2:8" x14ac:dyDescent="0.25">
      <c r="B4410">
        <v>0.27416000000000001</v>
      </c>
      <c r="C4410">
        <v>80</v>
      </c>
      <c r="D4410">
        <v>205</v>
      </c>
      <c r="E4410">
        <v>37.494</v>
      </c>
      <c r="F4410">
        <v>2.6671E-2</v>
      </c>
      <c r="G4410">
        <v>131.91999999999999</v>
      </c>
      <c r="H4410">
        <v>0.27416000000000001</v>
      </c>
    </row>
    <row r="4411" spans="2:8" x14ac:dyDescent="0.25">
      <c r="B4411">
        <v>0.28475</v>
      </c>
      <c r="C4411">
        <v>85</v>
      </c>
      <c r="D4411">
        <v>205</v>
      </c>
      <c r="E4411">
        <v>37.225000000000001</v>
      </c>
      <c r="F4411">
        <v>2.6863999999999999E-2</v>
      </c>
      <c r="G4411">
        <v>137.66</v>
      </c>
      <c r="H4411">
        <v>0.28475</v>
      </c>
    </row>
    <row r="4412" spans="2:8" x14ac:dyDescent="0.25">
      <c r="B4412">
        <v>0.29531000000000002</v>
      </c>
      <c r="C4412">
        <v>90</v>
      </c>
      <c r="D4412">
        <v>205</v>
      </c>
      <c r="E4412">
        <v>36.951999999999998</v>
      </c>
      <c r="F4412">
        <v>2.7061999999999999E-2</v>
      </c>
      <c r="G4412">
        <v>143.44</v>
      </c>
      <c r="H4412">
        <v>0.29531000000000002</v>
      </c>
    </row>
    <row r="4413" spans="2:8" x14ac:dyDescent="0.25">
      <c r="B4413">
        <v>0.30582999999999999</v>
      </c>
      <c r="C4413">
        <v>95</v>
      </c>
      <c r="D4413">
        <v>205</v>
      </c>
      <c r="E4413">
        <v>36.673999999999999</v>
      </c>
      <c r="F4413">
        <v>2.7267E-2</v>
      </c>
      <c r="G4413">
        <v>149.25</v>
      </c>
      <c r="H4413">
        <v>0.30582999999999999</v>
      </c>
    </row>
    <row r="4414" spans="2:8" x14ac:dyDescent="0.25">
      <c r="B4414">
        <v>1.1754</v>
      </c>
      <c r="C4414">
        <v>100</v>
      </c>
      <c r="D4414">
        <v>205</v>
      </c>
      <c r="E4414">
        <v>0.67806999999999995</v>
      </c>
      <c r="F4414">
        <v>1.4748000000000001</v>
      </c>
      <c r="G4414">
        <v>634.03</v>
      </c>
      <c r="H4414">
        <v>1.1754</v>
      </c>
    </row>
    <row r="4415" spans="2:8" x14ac:dyDescent="0.25">
      <c r="B4415">
        <v>1.1823999999999999</v>
      </c>
      <c r="C4415">
        <v>105</v>
      </c>
      <c r="D4415">
        <v>205</v>
      </c>
      <c r="E4415">
        <v>0.66737999999999997</v>
      </c>
      <c r="F4415">
        <v>1.4984</v>
      </c>
      <c r="G4415">
        <v>638.01</v>
      </c>
      <c r="H4415">
        <v>1.1823999999999999</v>
      </c>
    </row>
    <row r="4416" spans="2:8" x14ac:dyDescent="0.25">
      <c r="B4416">
        <v>1.1893</v>
      </c>
      <c r="C4416">
        <v>110</v>
      </c>
      <c r="D4416">
        <v>205</v>
      </c>
      <c r="E4416">
        <v>0.65725</v>
      </c>
      <c r="F4416">
        <v>1.5215000000000001</v>
      </c>
      <c r="G4416">
        <v>641.89</v>
      </c>
      <c r="H4416">
        <v>1.1893</v>
      </c>
    </row>
    <row r="4417" spans="2:8" x14ac:dyDescent="0.25">
      <c r="B4417">
        <v>1.1959</v>
      </c>
      <c r="C4417">
        <v>115</v>
      </c>
      <c r="D4417">
        <v>205</v>
      </c>
      <c r="E4417">
        <v>0.64761999999999997</v>
      </c>
      <c r="F4417">
        <v>1.5441</v>
      </c>
      <c r="G4417">
        <v>645.69000000000005</v>
      </c>
      <c r="H4417">
        <v>1.1959</v>
      </c>
    </row>
    <row r="4418" spans="2:8" x14ac:dyDescent="0.25">
      <c r="B4418">
        <v>1.2023999999999999</v>
      </c>
      <c r="C4418">
        <v>120</v>
      </c>
      <c r="D4418">
        <v>205</v>
      </c>
      <c r="E4418">
        <v>0.63844999999999996</v>
      </c>
      <c r="F4418">
        <v>1.5663</v>
      </c>
      <c r="G4418">
        <v>649.41</v>
      </c>
      <c r="H4418">
        <v>1.2023999999999999</v>
      </c>
    </row>
    <row r="4419" spans="2:8" x14ac:dyDescent="0.25">
      <c r="B4419">
        <v>1.2085999999999999</v>
      </c>
      <c r="C4419">
        <v>125</v>
      </c>
      <c r="D4419">
        <v>205</v>
      </c>
      <c r="E4419">
        <v>0.62968000000000002</v>
      </c>
      <c r="F4419">
        <v>1.5881000000000001</v>
      </c>
      <c r="G4419">
        <v>653.04999999999995</v>
      </c>
      <c r="H4419">
        <v>1.2085999999999999</v>
      </c>
    </row>
    <row r="4420" spans="2:8" x14ac:dyDescent="0.25">
      <c r="B4420">
        <v>1.2146999999999999</v>
      </c>
      <c r="C4420">
        <v>130</v>
      </c>
      <c r="D4420">
        <v>205</v>
      </c>
      <c r="E4420">
        <v>0.62128000000000005</v>
      </c>
      <c r="F4420">
        <v>1.6095999999999999</v>
      </c>
      <c r="G4420">
        <v>656.64</v>
      </c>
      <c r="H4420">
        <v>1.2146999999999999</v>
      </c>
    </row>
    <row r="4421" spans="2:8" x14ac:dyDescent="0.25">
      <c r="B4421">
        <v>1.2206999999999999</v>
      </c>
      <c r="C4421">
        <v>135</v>
      </c>
      <c r="D4421">
        <v>205</v>
      </c>
      <c r="E4421">
        <v>0.61321999999999999</v>
      </c>
      <c r="F4421">
        <v>1.6307</v>
      </c>
      <c r="G4421">
        <v>660.16</v>
      </c>
      <c r="H4421">
        <v>1.2206999999999999</v>
      </c>
    </row>
    <row r="4422" spans="2:8" x14ac:dyDescent="0.25">
      <c r="B4422">
        <v>1.2264999999999999</v>
      </c>
      <c r="C4422">
        <v>140</v>
      </c>
      <c r="D4422">
        <v>205</v>
      </c>
      <c r="E4422">
        <v>0.60548000000000002</v>
      </c>
      <c r="F4422">
        <v>1.6516</v>
      </c>
      <c r="G4422">
        <v>663.64</v>
      </c>
      <c r="H4422">
        <v>1.2264999999999999</v>
      </c>
    </row>
    <row r="4423" spans="2:8" x14ac:dyDescent="0.25">
      <c r="B4423">
        <v>1.2322</v>
      </c>
      <c r="C4423">
        <v>145</v>
      </c>
      <c r="D4423">
        <v>205</v>
      </c>
      <c r="E4423">
        <v>0.59802999999999995</v>
      </c>
      <c r="F4423">
        <v>1.6721999999999999</v>
      </c>
      <c r="G4423">
        <v>667.07</v>
      </c>
      <c r="H4423">
        <v>1.2322</v>
      </c>
    </row>
    <row r="4424" spans="2:8" x14ac:dyDescent="0.25">
      <c r="B4424">
        <v>1.2378</v>
      </c>
      <c r="C4424">
        <v>150</v>
      </c>
      <c r="D4424">
        <v>205</v>
      </c>
      <c r="E4424">
        <v>0.59084000000000003</v>
      </c>
      <c r="F4424">
        <v>1.6924999999999999</v>
      </c>
      <c r="G4424">
        <v>670.46</v>
      </c>
      <c r="H4424">
        <v>1.2378</v>
      </c>
    </row>
    <row r="4425" spans="2:8" x14ac:dyDescent="0.25">
      <c r="B4425">
        <v>1.2433000000000001</v>
      </c>
      <c r="C4425">
        <v>155</v>
      </c>
      <c r="D4425">
        <v>205</v>
      </c>
      <c r="E4425">
        <v>0.58389999999999997</v>
      </c>
      <c r="F4425">
        <v>1.7125999999999999</v>
      </c>
      <c r="G4425">
        <v>673.82</v>
      </c>
      <c r="H4425">
        <v>1.2433000000000001</v>
      </c>
    </row>
    <row r="4426" spans="2:8" x14ac:dyDescent="0.25">
      <c r="B4426">
        <v>1.2485999999999999</v>
      </c>
      <c r="C4426">
        <v>160</v>
      </c>
      <c r="D4426">
        <v>205</v>
      </c>
      <c r="E4426">
        <v>0.57720000000000005</v>
      </c>
      <c r="F4426">
        <v>1.7324999999999999</v>
      </c>
      <c r="G4426">
        <v>677.13</v>
      </c>
      <c r="H4426">
        <v>1.2485999999999999</v>
      </c>
    </row>
    <row r="4427" spans="2:8" x14ac:dyDescent="0.25">
      <c r="B4427">
        <v>1.2539</v>
      </c>
      <c r="C4427">
        <v>165</v>
      </c>
      <c r="D4427">
        <v>205</v>
      </c>
      <c r="E4427">
        <v>0.57071000000000005</v>
      </c>
      <c r="F4427">
        <v>1.7522</v>
      </c>
      <c r="G4427">
        <v>680.42</v>
      </c>
      <c r="H4427">
        <v>1.2539</v>
      </c>
    </row>
    <row r="4428" spans="2:8" x14ac:dyDescent="0.25">
      <c r="B4428">
        <v>1.2591000000000001</v>
      </c>
      <c r="C4428">
        <v>170</v>
      </c>
      <c r="D4428">
        <v>205</v>
      </c>
      <c r="E4428">
        <v>0.56442000000000003</v>
      </c>
      <c r="F4428">
        <v>1.7717000000000001</v>
      </c>
      <c r="G4428">
        <v>683.68</v>
      </c>
      <c r="H4428">
        <v>1.2591000000000001</v>
      </c>
    </row>
    <row r="4429" spans="2:8" x14ac:dyDescent="0.25">
      <c r="B4429">
        <v>1.2642</v>
      </c>
      <c r="C4429">
        <v>175</v>
      </c>
      <c r="D4429">
        <v>205</v>
      </c>
      <c r="E4429">
        <v>0.55832999999999999</v>
      </c>
      <c r="F4429">
        <v>1.7910999999999999</v>
      </c>
      <c r="G4429">
        <v>686.91</v>
      </c>
      <c r="H4429">
        <v>1.2642</v>
      </c>
    </row>
    <row r="4430" spans="2:8" x14ac:dyDescent="0.25">
      <c r="B4430">
        <v>1.2693000000000001</v>
      </c>
      <c r="C4430">
        <v>180</v>
      </c>
      <c r="D4430">
        <v>205</v>
      </c>
      <c r="E4430">
        <v>0.55240999999999996</v>
      </c>
      <c r="F4430">
        <v>1.8103</v>
      </c>
      <c r="G4430">
        <v>690.12</v>
      </c>
      <c r="H4430">
        <v>1.2693000000000001</v>
      </c>
    </row>
    <row r="4431" spans="2:8" x14ac:dyDescent="0.25">
      <c r="B4431">
        <v>1.2742</v>
      </c>
      <c r="C4431">
        <v>185</v>
      </c>
      <c r="D4431">
        <v>205</v>
      </c>
      <c r="E4431">
        <v>0.54666000000000003</v>
      </c>
      <c r="F4431">
        <v>1.8292999999999999</v>
      </c>
      <c r="G4431">
        <v>693.31</v>
      </c>
      <c r="H4431">
        <v>1.2742</v>
      </c>
    </row>
    <row r="4432" spans="2:8" x14ac:dyDescent="0.25">
      <c r="B4432">
        <v>1.2790999999999999</v>
      </c>
      <c r="C4432">
        <v>190</v>
      </c>
      <c r="D4432">
        <v>205</v>
      </c>
      <c r="E4432">
        <v>0.54107000000000005</v>
      </c>
      <c r="F4432">
        <v>1.8482000000000001</v>
      </c>
      <c r="G4432">
        <v>696.47</v>
      </c>
      <c r="H4432">
        <v>1.2790999999999999</v>
      </c>
    </row>
    <row r="4433" spans="2:8" x14ac:dyDescent="0.25">
      <c r="B4433">
        <v>1.284</v>
      </c>
      <c r="C4433">
        <v>195</v>
      </c>
      <c r="D4433">
        <v>205</v>
      </c>
      <c r="E4433">
        <v>0.53564000000000001</v>
      </c>
      <c r="F4433">
        <v>1.8669</v>
      </c>
      <c r="G4433">
        <v>699.62</v>
      </c>
      <c r="H4433">
        <v>1.284</v>
      </c>
    </row>
    <row r="4434" spans="2:8" x14ac:dyDescent="0.25">
      <c r="B4434">
        <v>1.2887</v>
      </c>
      <c r="C4434">
        <v>200</v>
      </c>
      <c r="D4434">
        <v>205</v>
      </c>
      <c r="E4434">
        <v>0.53034000000000003</v>
      </c>
      <c r="F4434">
        <v>1.8855999999999999</v>
      </c>
      <c r="G4434">
        <v>702.76</v>
      </c>
      <c r="H4434">
        <v>1.2887</v>
      </c>
    </row>
    <row r="4435" spans="2:8" x14ac:dyDescent="0.25">
      <c r="B4435">
        <v>1.2934000000000001</v>
      </c>
      <c r="C4435">
        <v>205</v>
      </c>
      <c r="D4435">
        <v>205</v>
      </c>
      <c r="E4435">
        <v>0.52519000000000005</v>
      </c>
      <c r="F4435">
        <v>1.9040999999999999</v>
      </c>
      <c r="G4435">
        <v>705.87</v>
      </c>
      <c r="H4435">
        <v>1.2934000000000001</v>
      </c>
    </row>
    <row r="4436" spans="2:8" x14ac:dyDescent="0.25">
      <c r="B4436">
        <v>1.2981</v>
      </c>
      <c r="C4436">
        <v>210</v>
      </c>
      <c r="D4436">
        <v>205</v>
      </c>
      <c r="E4436">
        <v>0.52015999999999996</v>
      </c>
      <c r="F4436">
        <v>1.9225000000000001</v>
      </c>
      <c r="G4436">
        <v>708.98</v>
      </c>
      <c r="H4436">
        <v>1.2981</v>
      </c>
    </row>
    <row r="4437" spans="2:8" x14ac:dyDescent="0.25">
      <c r="B4437">
        <v>1.3027</v>
      </c>
      <c r="C4437">
        <v>215</v>
      </c>
      <c r="D4437">
        <v>205</v>
      </c>
      <c r="E4437">
        <v>0.51524999999999999</v>
      </c>
      <c r="F4437">
        <v>1.9408000000000001</v>
      </c>
      <c r="G4437">
        <v>712.07</v>
      </c>
      <c r="H4437">
        <v>1.3027</v>
      </c>
    </row>
    <row r="4438" spans="2:8" x14ac:dyDescent="0.25">
      <c r="B4438">
        <v>1.3071999999999999</v>
      </c>
      <c r="C4438">
        <v>220</v>
      </c>
      <c r="D4438">
        <v>205</v>
      </c>
      <c r="E4438">
        <v>0.51046999999999998</v>
      </c>
      <c r="F4438">
        <v>1.9590000000000001</v>
      </c>
      <c r="G4438">
        <v>715.15</v>
      </c>
      <c r="H4438">
        <v>1.3071999999999999</v>
      </c>
    </row>
    <row r="4439" spans="2:8" x14ac:dyDescent="0.25">
      <c r="B4439">
        <v>1.3117000000000001</v>
      </c>
      <c r="C4439">
        <v>225</v>
      </c>
      <c r="D4439">
        <v>205</v>
      </c>
      <c r="E4439">
        <v>0.50578999999999996</v>
      </c>
      <c r="F4439">
        <v>1.9771000000000001</v>
      </c>
      <c r="G4439">
        <v>718.22</v>
      </c>
      <c r="H4439">
        <v>1.3117000000000001</v>
      </c>
    </row>
    <row r="4440" spans="2:8" x14ac:dyDescent="0.25">
      <c r="B4440">
        <v>1.3162</v>
      </c>
      <c r="C4440">
        <v>230</v>
      </c>
      <c r="D4440">
        <v>205</v>
      </c>
      <c r="E4440">
        <v>0.50122999999999995</v>
      </c>
      <c r="F4440">
        <v>1.9951000000000001</v>
      </c>
      <c r="G4440">
        <v>721.28</v>
      </c>
      <c r="H4440">
        <v>1.3162</v>
      </c>
    </row>
    <row r="4441" spans="2:8" x14ac:dyDescent="0.25">
      <c r="B4441">
        <v>1.3206</v>
      </c>
      <c r="C4441">
        <v>235</v>
      </c>
      <c r="D4441">
        <v>205</v>
      </c>
      <c r="E4441">
        <v>0.49675999999999998</v>
      </c>
      <c r="F4441">
        <v>2.0129999999999999</v>
      </c>
      <c r="G4441">
        <v>724.33</v>
      </c>
      <c r="H4441">
        <v>1.3206</v>
      </c>
    </row>
    <row r="4442" spans="2:8" x14ac:dyDescent="0.25">
      <c r="B4442">
        <v>1.325</v>
      </c>
      <c r="C4442">
        <v>240</v>
      </c>
      <c r="D4442">
        <v>205</v>
      </c>
      <c r="E4442">
        <v>0.49238999999999999</v>
      </c>
      <c r="F4442">
        <v>2.0308999999999999</v>
      </c>
      <c r="G4442">
        <v>727.38</v>
      </c>
      <c r="H4442">
        <v>1.325</v>
      </c>
    </row>
    <row r="4443" spans="2:8" x14ac:dyDescent="0.25">
      <c r="B4443">
        <v>1.3292999999999999</v>
      </c>
      <c r="C4443">
        <v>245</v>
      </c>
      <c r="D4443">
        <v>205</v>
      </c>
      <c r="E4443">
        <v>0.48812</v>
      </c>
      <c r="F4443">
        <v>2.0487000000000002</v>
      </c>
      <c r="G4443">
        <v>730.41</v>
      </c>
      <c r="H4443">
        <v>1.3292999999999999</v>
      </c>
    </row>
    <row r="4444" spans="2:8" x14ac:dyDescent="0.25">
      <c r="B4444">
        <v>1.3335999999999999</v>
      </c>
      <c r="C4444">
        <v>250</v>
      </c>
      <c r="D4444">
        <v>205</v>
      </c>
      <c r="E4444">
        <v>0.48393999999999998</v>
      </c>
      <c r="F4444">
        <v>2.0663999999999998</v>
      </c>
      <c r="G4444">
        <v>733.45</v>
      </c>
      <c r="H4444">
        <v>1.3335999999999999</v>
      </c>
    </row>
    <row r="4445" spans="2:8" x14ac:dyDescent="0.25">
      <c r="B4445">
        <v>1.3378000000000001</v>
      </c>
      <c r="C4445">
        <v>255</v>
      </c>
      <c r="D4445">
        <v>205</v>
      </c>
      <c r="E4445">
        <v>0.47985</v>
      </c>
      <c r="F4445">
        <v>2.0840000000000001</v>
      </c>
      <c r="G4445">
        <v>736.47</v>
      </c>
      <c r="H4445">
        <v>1.3378000000000001</v>
      </c>
    </row>
    <row r="4446" spans="2:8" x14ac:dyDescent="0.25">
      <c r="B4446">
        <v>1.3420000000000001</v>
      </c>
      <c r="C4446">
        <v>260</v>
      </c>
      <c r="D4446">
        <v>205</v>
      </c>
      <c r="E4446">
        <v>0.47583999999999999</v>
      </c>
      <c r="F4446">
        <v>2.1015999999999999</v>
      </c>
      <c r="G4446">
        <v>739.49</v>
      </c>
      <c r="H4446">
        <v>1.3420000000000001</v>
      </c>
    </row>
    <row r="4447" spans="2:8" x14ac:dyDescent="0.25">
      <c r="B4447">
        <v>1.3462000000000001</v>
      </c>
      <c r="C4447">
        <v>265</v>
      </c>
      <c r="D4447">
        <v>205</v>
      </c>
      <c r="E4447">
        <v>0.47191</v>
      </c>
      <c r="F4447">
        <v>2.1191</v>
      </c>
      <c r="G4447">
        <v>742.51</v>
      </c>
      <c r="H4447">
        <v>1.3462000000000001</v>
      </c>
    </row>
    <row r="4448" spans="2:8" x14ac:dyDescent="0.25">
      <c r="B4448">
        <v>1.3504</v>
      </c>
      <c r="C4448">
        <v>270</v>
      </c>
      <c r="D4448">
        <v>205</v>
      </c>
      <c r="E4448">
        <v>0.46805999999999998</v>
      </c>
      <c r="F4448">
        <v>2.1364999999999998</v>
      </c>
      <c r="G4448">
        <v>745.53</v>
      </c>
      <c r="H4448">
        <v>1.3504</v>
      </c>
    </row>
    <row r="4449" spans="2:8" x14ac:dyDescent="0.25">
      <c r="B4449">
        <v>1.3545</v>
      </c>
      <c r="C4449">
        <v>275</v>
      </c>
      <c r="D4449">
        <v>205</v>
      </c>
      <c r="E4449">
        <v>0.46428000000000003</v>
      </c>
      <c r="F4449">
        <v>2.1539000000000001</v>
      </c>
      <c r="G4449">
        <v>748.54</v>
      </c>
      <c r="H4449">
        <v>1.3545</v>
      </c>
    </row>
    <row r="4450" spans="2:8" x14ac:dyDescent="0.25">
      <c r="B4450">
        <v>1.3586</v>
      </c>
      <c r="C4450">
        <v>280</v>
      </c>
      <c r="D4450">
        <v>205</v>
      </c>
      <c r="E4450">
        <v>0.46056999999999998</v>
      </c>
      <c r="F4450">
        <v>2.1711999999999998</v>
      </c>
      <c r="G4450">
        <v>751.54</v>
      </c>
      <c r="H4450">
        <v>1.3586</v>
      </c>
    </row>
    <row r="4451" spans="2:8" x14ac:dyDescent="0.25">
      <c r="B4451">
        <v>1.3626</v>
      </c>
      <c r="C4451">
        <v>285</v>
      </c>
      <c r="D4451">
        <v>205</v>
      </c>
      <c r="E4451">
        <v>0.45694000000000001</v>
      </c>
      <c r="F4451">
        <v>2.1884999999999999</v>
      </c>
      <c r="G4451">
        <v>754.55</v>
      </c>
      <c r="H4451">
        <v>1.3626</v>
      </c>
    </row>
    <row r="4452" spans="2:8" x14ac:dyDescent="0.25">
      <c r="B4452">
        <v>1.3666</v>
      </c>
      <c r="C4452">
        <v>290</v>
      </c>
      <c r="D4452">
        <v>205</v>
      </c>
      <c r="E4452">
        <v>0.45337</v>
      </c>
      <c r="F4452">
        <v>2.2057000000000002</v>
      </c>
      <c r="G4452">
        <v>757.55</v>
      </c>
      <c r="H4452">
        <v>1.3666</v>
      </c>
    </row>
    <row r="4453" spans="2:8" x14ac:dyDescent="0.25">
      <c r="B4453">
        <v>1.3706</v>
      </c>
      <c r="C4453">
        <v>295</v>
      </c>
      <c r="D4453">
        <v>205</v>
      </c>
      <c r="E4453">
        <v>0.44986999999999999</v>
      </c>
      <c r="F4453">
        <v>2.2229000000000001</v>
      </c>
      <c r="G4453">
        <v>760.56</v>
      </c>
      <c r="H4453">
        <v>1.3706</v>
      </c>
    </row>
    <row r="4454" spans="2:8" x14ac:dyDescent="0.25">
      <c r="B4454">
        <v>1.3746</v>
      </c>
      <c r="C4454">
        <v>300</v>
      </c>
      <c r="D4454">
        <v>205</v>
      </c>
      <c r="E4454">
        <v>0.44642999999999999</v>
      </c>
      <c r="F4454">
        <v>2.2400000000000002</v>
      </c>
      <c r="G4454">
        <v>763.56</v>
      </c>
      <c r="H4454">
        <v>1.3746</v>
      </c>
    </row>
    <row r="4455" spans="2:8" x14ac:dyDescent="0.25">
      <c r="B4455">
        <v>1.3785000000000001</v>
      </c>
      <c r="C4455">
        <v>305</v>
      </c>
      <c r="D4455">
        <v>205</v>
      </c>
      <c r="E4455">
        <v>0.44305</v>
      </c>
      <c r="F4455">
        <v>2.2570999999999999</v>
      </c>
      <c r="G4455">
        <v>766.56</v>
      </c>
      <c r="H4455">
        <v>1.3785000000000001</v>
      </c>
    </row>
    <row r="4456" spans="2:8" x14ac:dyDescent="0.25">
      <c r="B4456">
        <v>1.3824000000000001</v>
      </c>
      <c r="C4456">
        <v>310</v>
      </c>
      <c r="D4456">
        <v>205</v>
      </c>
      <c r="E4456">
        <v>0.43973000000000001</v>
      </c>
      <c r="F4456">
        <v>2.2740999999999998</v>
      </c>
      <c r="G4456">
        <v>769.56</v>
      </c>
      <c r="H4456">
        <v>1.3824000000000001</v>
      </c>
    </row>
    <row r="4457" spans="2:8" x14ac:dyDescent="0.25">
      <c r="B4457">
        <v>1.3863000000000001</v>
      </c>
      <c r="C4457">
        <v>315</v>
      </c>
      <c r="D4457">
        <v>205</v>
      </c>
      <c r="E4457">
        <v>0.43647000000000002</v>
      </c>
      <c r="F4457">
        <v>2.2911000000000001</v>
      </c>
      <c r="G4457">
        <v>772.56</v>
      </c>
      <c r="H4457">
        <v>1.3863000000000001</v>
      </c>
    </row>
    <row r="4458" spans="2:8" x14ac:dyDescent="0.25">
      <c r="B4458">
        <v>1.3902000000000001</v>
      </c>
      <c r="C4458">
        <v>320</v>
      </c>
      <c r="D4458">
        <v>205</v>
      </c>
      <c r="E4458">
        <v>0.43326999999999999</v>
      </c>
      <c r="F4458">
        <v>2.3079999999999998</v>
      </c>
      <c r="G4458">
        <v>775.57</v>
      </c>
      <c r="H4458">
        <v>1.3902000000000001</v>
      </c>
    </row>
    <row r="4459" spans="2:8" x14ac:dyDescent="0.25">
      <c r="B4459">
        <v>1.3939999999999999</v>
      </c>
      <c r="C4459">
        <v>325</v>
      </c>
      <c r="D4459">
        <v>205</v>
      </c>
      <c r="E4459">
        <v>0.43012</v>
      </c>
      <c r="F4459">
        <v>2.3250000000000002</v>
      </c>
      <c r="G4459">
        <v>778.57</v>
      </c>
      <c r="H4459">
        <v>1.3939999999999999</v>
      </c>
    </row>
    <row r="4460" spans="2:8" x14ac:dyDescent="0.25">
      <c r="B4460">
        <v>1.3977999999999999</v>
      </c>
      <c r="C4460">
        <v>330</v>
      </c>
      <c r="D4460">
        <v>205</v>
      </c>
      <c r="E4460">
        <v>0.42702000000000001</v>
      </c>
      <c r="F4460">
        <v>2.3418000000000001</v>
      </c>
      <c r="G4460">
        <v>781.57</v>
      </c>
      <c r="H4460">
        <v>1.3977999999999999</v>
      </c>
    </row>
    <row r="4461" spans="2:8" x14ac:dyDescent="0.25">
      <c r="B4461">
        <v>1.4016</v>
      </c>
      <c r="C4461">
        <v>335</v>
      </c>
      <c r="D4461">
        <v>205</v>
      </c>
      <c r="E4461">
        <v>0.42397000000000001</v>
      </c>
      <c r="F4461">
        <v>2.3586999999999998</v>
      </c>
      <c r="G4461">
        <v>784.58</v>
      </c>
      <c r="H4461">
        <v>1.4016</v>
      </c>
    </row>
    <row r="4462" spans="2:8" x14ac:dyDescent="0.25">
      <c r="B4462">
        <v>1.4054</v>
      </c>
      <c r="C4462">
        <v>340</v>
      </c>
      <c r="D4462">
        <v>205</v>
      </c>
      <c r="E4462">
        <v>0.42097000000000001</v>
      </c>
      <c r="F4462">
        <v>2.3755000000000002</v>
      </c>
      <c r="G4462">
        <v>787.58</v>
      </c>
      <c r="H4462">
        <v>1.4054</v>
      </c>
    </row>
    <row r="4463" spans="2:8" x14ac:dyDescent="0.25">
      <c r="B4463">
        <v>1.4091</v>
      </c>
      <c r="C4463">
        <v>345</v>
      </c>
      <c r="D4463">
        <v>205</v>
      </c>
      <c r="E4463">
        <v>0.41802</v>
      </c>
      <c r="F4463">
        <v>2.3921999999999999</v>
      </c>
      <c r="G4463">
        <v>790.59</v>
      </c>
      <c r="H4463">
        <v>1.4091</v>
      </c>
    </row>
    <row r="4464" spans="2:8" x14ac:dyDescent="0.25">
      <c r="B4464">
        <v>1.4129</v>
      </c>
      <c r="C4464">
        <v>350</v>
      </c>
      <c r="D4464">
        <v>205</v>
      </c>
      <c r="E4464">
        <v>0.41510999999999998</v>
      </c>
      <c r="F4464">
        <v>2.4089999999999998</v>
      </c>
      <c r="G4464">
        <v>793.6</v>
      </c>
      <c r="H4464">
        <v>1.4129</v>
      </c>
    </row>
    <row r="4466" spans="1:8" x14ac:dyDescent="0.25">
      <c r="A4466">
        <v>210</v>
      </c>
      <c r="B4466">
        <v>9.6272999999999997E-2</v>
      </c>
      <c r="C4466">
        <v>0</v>
      </c>
      <c r="D4466">
        <v>210</v>
      </c>
      <c r="E4466">
        <v>41.389000000000003</v>
      </c>
      <c r="F4466">
        <v>2.4160999999999998E-2</v>
      </c>
      <c r="G4466">
        <v>43.180999999999997</v>
      </c>
      <c r="H4466">
        <v>9.6272999999999997E-2</v>
      </c>
    </row>
    <row r="4467" spans="1:8" x14ac:dyDescent="0.25">
      <c r="B4467">
        <v>0.10797</v>
      </c>
      <c r="C4467">
        <v>5</v>
      </c>
      <c r="D4467">
        <v>210</v>
      </c>
      <c r="E4467">
        <v>41.162999999999997</v>
      </c>
      <c r="F4467">
        <v>2.4294E-2</v>
      </c>
      <c r="G4467">
        <v>48.588000000000001</v>
      </c>
      <c r="H4467">
        <v>0.10797</v>
      </c>
    </row>
    <row r="4468" spans="1:8" x14ac:dyDescent="0.25">
      <c r="B4468">
        <v>0.11958000000000001</v>
      </c>
      <c r="C4468">
        <v>10</v>
      </c>
      <c r="D4468">
        <v>210</v>
      </c>
      <c r="E4468">
        <v>40.936</v>
      </c>
      <c r="F4468">
        <v>2.4428999999999999E-2</v>
      </c>
      <c r="G4468">
        <v>54.012</v>
      </c>
      <c r="H4468">
        <v>0.11958000000000001</v>
      </c>
    </row>
    <row r="4469" spans="1:8" x14ac:dyDescent="0.25">
      <c r="B4469">
        <v>0.13109999999999999</v>
      </c>
      <c r="C4469">
        <v>15</v>
      </c>
      <c r="D4469">
        <v>210</v>
      </c>
      <c r="E4469">
        <v>40.706000000000003</v>
      </c>
      <c r="F4469">
        <v>2.4566000000000001E-2</v>
      </c>
      <c r="G4469">
        <v>59.451999999999998</v>
      </c>
      <c r="H4469">
        <v>0.13109999999999999</v>
      </c>
    </row>
    <row r="4470" spans="1:8" x14ac:dyDescent="0.25">
      <c r="B4470">
        <v>0.14254</v>
      </c>
      <c r="C4470">
        <v>20</v>
      </c>
      <c r="D4470">
        <v>210</v>
      </c>
      <c r="E4470">
        <v>40.473999999999997</v>
      </c>
      <c r="F4470">
        <v>2.4707E-2</v>
      </c>
      <c r="G4470">
        <v>64.909000000000006</v>
      </c>
      <c r="H4470">
        <v>0.14254</v>
      </c>
    </row>
    <row r="4471" spans="1:8" x14ac:dyDescent="0.25">
      <c r="B4471">
        <v>0.15389</v>
      </c>
      <c r="C4471">
        <v>25</v>
      </c>
      <c r="D4471">
        <v>210</v>
      </c>
      <c r="E4471">
        <v>40.24</v>
      </c>
      <c r="F4471">
        <v>2.4851000000000002E-2</v>
      </c>
      <c r="G4471">
        <v>70.382999999999996</v>
      </c>
      <c r="H4471">
        <v>0.15389</v>
      </c>
    </row>
    <row r="4472" spans="1:8" x14ac:dyDescent="0.25">
      <c r="B4472">
        <v>0.16517000000000001</v>
      </c>
      <c r="C4472">
        <v>30</v>
      </c>
      <c r="D4472">
        <v>210</v>
      </c>
      <c r="E4472">
        <v>40.003999999999998</v>
      </c>
      <c r="F4472">
        <v>2.4996999999999998E-2</v>
      </c>
      <c r="G4472">
        <v>75.875</v>
      </c>
      <c r="H4472">
        <v>0.16517000000000001</v>
      </c>
    </row>
    <row r="4473" spans="1:8" x14ac:dyDescent="0.25">
      <c r="B4473">
        <v>0.17635999999999999</v>
      </c>
      <c r="C4473">
        <v>35</v>
      </c>
      <c r="D4473">
        <v>210</v>
      </c>
      <c r="E4473">
        <v>39.765999999999998</v>
      </c>
      <c r="F4473">
        <v>2.5146999999999999E-2</v>
      </c>
      <c r="G4473">
        <v>81.385000000000005</v>
      </c>
      <c r="H4473">
        <v>0.17635999999999999</v>
      </c>
    </row>
    <row r="4474" spans="1:8" x14ac:dyDescent="0.25">
      <c r="B4474">
        <v>0.18748000000000001</v>
      </c>
      <c r="C4474">
        <v>40</v>
      </c>
      <c r="D4474">
        <v>210</v>
      </c>
      <c r="E4474">
        <v>39.524999999999999</v>
      </c>
      <c r="F4474">
        <v>2.53E-2</v>
      </c>
      <c r="G4474">
        <v>86.914000000000001</v>
      </c>
      <c r="H4474">
        <v>0.18748000000000001</v>
      </c>
    </row>
    <row r="4475" spans="1:8" x14ac:dyDescent="0.25">
      <c r="B4475">
        <v>0.19853000000000001</v>
      </c>
      <c r="C4475">
        <v>45</v>
      </c>
      <c r="D4475">
        <v>210</v>
      </c>
      <c r="E4475">
        <v>39.281999999999996</v>
      </c>
      <c r="F4475">
        <v>2.5457E-2</v>
      </c>
      <c r="G4475">
        <v>92.462000000000003</v>
      </c>
      <c r="H4475">
        <v>0.19853000000000001</v>
      </c>
    </row>
    <row r="4476" spans="1:8" x14ac:dyDescent="0.25">
      <c r="B4476">
        <v>0.20951</v>
      </c>
      <c r="C4476">
        <v>50</v>
      </c>
      <c r="D4476">
        <v>210</v>
      </c>
      <c r="E4476">
        <v>39.036000000000001</v>
      </c>
      <c r="F4476">
        <v>2.5617000000000001E-2</v>
      </c>
      <c r="G4476">
        <v>98.03</v>
      </c>
      <c r="H4476">
        <v>0.20951</v>
      </c>
    </row>
    <row r="4477" spans="1:8" x14ac:dyDescent="0.25">
      <c r="B4477">
        <v>0.22042</v>
      </c>
      <c r="C4477">
        <v>55</v>
      </c>
      <c r="D4477">
        <v>210</v>
      </c>
      <c r="E4477">
        <v>38.786999999999999</v>
      </c>
      <c r="F4477">
        <v>2.5781999999999999E-2</v>
      </c>
      <c r="G4477">
        <v>103.62</v>
      </c>
      <c r="H4477">
        <v>0.22042</v>
      </c>
    </row>
    <row r="4478" spans="1:8" x14ac:dyDescent="0.25">
      <c r="B4478">
        <v>0.23127</v>
      </c>
      <c r="C4478">
        <v>60</v>
      </c>
      <c r="D4478">
        <v>210</v>
      </c>
      <c r="E4478">
        <v>38.534999999999997</v>
      </c>
      <c r="F4478">
        <v>2.5950000000000001E-2</v>
      </c>
      <c r="G4478">
        <v>109.23</v>
      </c>
      <c r="H4478">
        <v>0.23127</v>
      </c>
    </row>
    <row r="4479" spans="1:8" x14ac:dyDescent="0.25">
      <c r="B4479">
        <v>0.24207000000000001</v>
      </c>
      <c r="C4479">
        <v>65</v>
      </c>
      <c r="D4479">
        <v>210</v>
      </c>
      <c r="E4479">
        <v>38.280999999999999</v>
      </c>
      <c r="F4479">
        <v>2.6123E-2</v>
      </c>
      <c r="G4479">
        <v>114.87</v>
      </c>
      <c r="H4479">
        <v>0.24207000000000001</v>
      </c>
    </row>
    <row r="4480" spans="1:8" x14ac:dyDescent="0.25">
      <c r="B4480">
        <v>0.25280000000000002</v>
      </c>
      <c r="C4480">
        <v>70</v>
      </c>
      <c r="D4480">
        <v>210</v>
      </c>
      <c r="E4480">
        <v>38.023000000000003</v>
      </c>
      <c r="F4480">
        <v>2.63E-2</v>
      </c>
      <c r="G4480">
        <v>120.53</v>
      </c>
      <c r="H4480">
        <v>0.25280000000000002</v>
      </c>
    </row>
    <row r="4481" spans="2:8" x14ac:dyDescent="0.25">
      <c r="B4481">
        <v>0.26349</v>
      </c>
      <c r="C4481">
        <v>75</v>
      </c>
      <c r="D4481">
        <v>210</v>
      </c>
      <c r="E4481">
        <v>37.761000000000003</v>
      </c>
      <c r="F4481">
        <v>2.6481999999999999E-2</v>
      </c>
      <c r="G4481">
        <v>126.21</v>
      </c>
      <c r="H4481">
        <v>0.26349</v>
      </c>
    </row>
    <row r="4482" spans="2:8" x14ac:dyDescent="0.25">
      <c r="B4482">
        <v>0.27411999999999997</v>
      </c>
      <c r="C4482">
        <v>80</v>
      </c>
      <c r="D4482">
        <v>210</v>
      </c>
      <c r="E4482">
        <v>37.496000000000002</v>
      </c>
      <c r="F4482">
        <v>2.6669000000000002E-2</v>
      </c>
      <c r="G4482">
        <v>131.93</v>
      </c>
      <c r="H4482">
        <v>0.27411999999999997</v>
      </c>
    </row>
    <row r="4483" spans="2:8" x14ac:dyDescent="0.25">
      <c r="B4483">
        <v>0.28471999999999997</v>
      </c>
      <c r="C4483">
        <v>85</v>
      </c>
      <c r="D4483">
        <v>210</v>
      </c>
      <c r="E4483">
        <v>37.226999999999997</v>
      </c>
      <c r="F4483">
        <v>2.6862E-2</v>
      </c>
      <c r="G4483">
        <v>137.66999999999999</v>
      </c>
      <c r="H4483">
        <v>0.28471999999999997</v>
      </c>
    </row>
    <row r="4484" spans="2:8" x14ac:dyDescent="0.25">
      <c r="B4484">
        <v>0.29526999999999998</v>
      </c>
      <c r="C4484">
        <v>90</v>
      </c>
      <c r="D4484">
        <v>210</v>
      </c>
      <c r="E4484">
        <v>36.954000000000001</v>
      </c>
      <c r="F4484">
        <v>2.7060000000000001E-2</v>
      </c>
      <c r="G4484">
        <v>143.44</v>
      </c>
      <c r="H4484">
        <v>0.29526999999999998</v>
      </c>
    </row>
    <row r="4485" spans="2:8" x14ac:dyDescent="0.25">
      <c r="B4485">
        <v>0.30579000000000001</v>
      </c>
      <c r="C4485">
        <v>95</v>
      </c>
      <c r="D4485">
        <v>210</v>
      </c>
      <c r="E4485">
        <v>36.677</v>
      </c>
      <c r="F4485">
        <v>2.7265000000000001E-2</v>
      </c>
      <c r="G4485">
        <v>149.25</v>
      </c>
      <c r="H4485">
        <v>0.30579000000000001</v>
      </c>
    </row>
    <row r="4486" spans="2:8" x14ac:dyDescent="0.25">
      <c r="B4486">
        <v>1.171</v>
      </c>
      <c r="C4486">
        <v>100</v>
      </c>
      <c r="D4486">
        <v>210</v>
      </c>
      <c r="E4486">
        <v>0.69799</v>
      </c>
      <c r="F4486">
        <v>1.4327000000000001</v>
      </c>
      <c r="G4486">
        <v>632.91</v>
      </c>
      <c r="H4486">
        <v>1.171</v>
      </c>
    </row>
    <row r="4487" spans="2:8" x14ac:dyDescent="0.25">
      <c r="B4487">
        <v>1.1780999999999999</v>
      </c>
      <c r="C4487">
        <v>105</v>
      </c>
      <c r="D4487">
        <v>210</v>
      </c>
      <c r="E4487">
        <v>0.68679000000000001</v>
      </c>
      <c r="F4487">
        <v>1.4560999999999999</v>
      </c>
      <c r="G4487">
        <v>636.95000000000005</v>
      </c>
      <c r="H4487">
        <v>1.1780999999999999</v>
      </c>
    </row>
    <row r="4488" spans="2:8" x14ac:dyDescent="0.25">
      <c r="B4488">
        <v>1.1851</v>
      </c>
      <c r="C4488">
        <v>110</v>
      </c>
      <c r="D4488">
        <v>210</v>
      </c>
      <c r="E4488">
        <v>0.67618999999999996</v>
      </c>
      <c r="F4488">
        <v>1.4789000000000001</v>
      </c>
      <c r="G4488">
        <v>640.89</v>
      </c>
      <c r="H4488">
        <v>1.1851</v>
      </c>
    </row>
    <row r="4489" spans="2:8" x14ac:dyDescent="0.25">
      <c r="B4489">
        <v>1.1918</v>
      </c>
      <c r="C4489">
        <v>115</v>
      </c>
      <c r="D4489">
        <v>210</v>
      </c>
      <c r="E4489">
        <v>0.66612000000000005</v>
      </c>
      <c r="F4489">
        <v>1.5012000000000001</v>
      </c>
      <c r="G4489">
        <v>644.73</v>
      </c>
      <c r="H4489">
        <v>1.1918</v>
      </c>
    </row>
    <row r="4490" spans="2:8" x14ac:dyDescent="0.25">
      <c r="B4490">
        <v>1.1982999999999999</v>
      </c>
      <c r="C4490">
        <v>120</v>
      </c>
      <c r="D4490">
        <v>210</v>
      </c>
      <c r="E4490">
        <v>0.65654000000000001</v>
      </c>
      <c r="F4490">
        <v>1.5230999999999999</v>
      </c>
      <c r="G4490">
        <v>648.49</v>
      </c>
      <c r="H4490">
        <v>1.1982999999999999</v>
      </c>
    </row>
    <row r="4491" spans="2:8" x14ac:dyDescent="0.25">
      <c r="B4491">
        <v>1.2045999999999999</v>
      </c>
      <c r="C4491">
        <v>125</v>
      </c>
      <c r="D4491">
        <v>210</v>
      </c>
      <c r="E4491">
        <v>0.64739000000000002</v>
      </c>
      <c r="F4491">
        <v>1.5447</v>
      </c>
      <c r="G4491">
        <v>652.17999999999995</v>
      </c>
      <c r="H4491">
        <v>1.2045999999999999</v>
      </c>
    </row>
    <row r="4492" spans="2:8" x14ac:dyDescent="0.25">
      <c r="B4492">
        <v>1.2108000000000001</v>
      </c>
      <c r="C4492">
        <v>130</v>
      </c>
      <c r="D4492">
        <v>210</v>
      </c>
      <c r="E4492">
        <v>0.63863999999999999</v>
      </c>
      <c r="F4492">
        <v>1.5658000000000001</v>
      </c>
      <c r="G4492">
        <v>655.8</v>
      </c>
      <c r="H4492">
        <v>1.2108000000000001</v>
      </c>
    </row>
    <row r="4493" spans="2:8" x14ac:dyDescent="0.25">
      <c r="B4493">
        <v>1.2168000000000001</v>
      </c>
      <c r="C4493">
        <v>135</v>
      </c>
      <c r="D4493">
        <v>210</v>
      </c>
      <c r="E4493">
        <v>0.63026000000000004</v>
      </c>
      <c r="F4493">
        <v>1.5867</v>
      </c>
      <c r="G4493">
        <v>659.36</v>
      </c>
      <c r="H4493">
        <v>1.2168000000000001</v>
      </c>
    </row>
    <row r="4494" spans="2:8" x14ac:dyDescent="0.25">
      <c r="B4494">
        <v>1.2226999999999999</v>
      </c>
      <c r="C4494">
        <v>140</v>
      </c>
      <c r="D4494">
        <v>210</v>
      </c>
      <c r="E4494">
        <v>0.62221000000000004</v>
      </c>
      <c r="F4494">
        <v>1.6072</v>
      </c>
      <c r="G4494">
        <v>662.87</v>
      </c>
      <c r="H4494">
        <v>1.2226999999999999</v>
      </c>
    </row>
    <row r="4495" spans="2:8" x14ac:dyDescent="0.25">
      <c r="B4495">
        <v>1.2283999999999999</v>
      </c>
      <c r="C4495">
        <v>145</v>
      </c>
      <c r="D4495">
        <v>210</v>
      </c>
      <c r="E4495">
        <v>0.61446000000000001</v>
      </c>
      <c r="F4495">
        <v>1.6274</v>
      </c>
      <c r="G4495">
        <v>666.33</v>
      </c>
      <c r="H4495">
        <v>1.2283999999999999</v>
      </c>
    </row>
    <row r="4496" spans="2:8" x14ac:dyDescent="0.25">
      <c r="B4496">
        <v>1.2341</v>
      </c>
      <c r="C4496">
        <v>150</v>
      </c>
      <c r="D4496">
        <v>210</v>
      </c>
      <c r="E4496">
        <v>0.60699999999999998</v>
      </c>
      <c r="F4496">
        <v>1.6475</v>
      </c>
      <c r="G4496">
        <v>669.75</v>
      </c>
      <c r="H4496">
        <v>1.2341</v>
      </c>
    </row>
    <row r="4497" spans="2:8" x14ac:dyDescent="0.25">
      <c r="B4497">
        <v>1.2396</v>
      </c>
      <c r="C4497">
        <v>155</v>
      </c>
      <c r="D4497">
        <v>210</v>
      </c>
      <c r="E4497">
        <v>0.5998</v>
      </c>
      <c r="F4497">
        <v>1.6672</v>
      </c>
      <c r="G4497">
        <v>673.12</v>
      </c>
      <c r="H4497">
        <v>1.2396</v>
      </c>
    </row>
    <row r="4498" spans="2:8" x14ac:dyDescent="0.25">
      <c r="B4498">
        <v>1.2450000000000001</v>
      </c>
      <c r="C4498">
        <v>160</v>
      </c>
      <c r="D4498">
        <v>210</v>
      </c>
      <c r="E4498">
        <v>0.59284000000000003</v>
      </c>
      <c r="F4498">
        <v>1.6868000000000001</v>
      </c>
      <c r="G4498">
        <v>676.46</v>
      </c>
      <c r="H4498">
        <v>1.2450000000000001</v>
      </c>
    </row>
    <row r="4499" spans="2:8" x14ac:dyDescent="0.25">
      <c r="B4499">
        <v>1.2503</v>
      </c>
      <c r="C4499">
        <v>165</v>
      </c>
      <c r="D4499">
        <v>210</v>
      </c>
      <c r="E4499">
        <v>0.58611000000000002</v>
      </c>
      <c r="F4499">
        <v>1.7061999999999999</v>
      </c>
      <c r="G4499">
        <v>679.77</v>
      </c>
      <c r="H4499">
        <v>1.2503</v>
      </c>
    </row>
    <row r="4500" spans="2:8" x14ac:dyDescent="0.25">
      <c r="B4500">
        <v>1.2556</v>
      </c>
      <c r="C4500">
        <v>170</v>
      </c>
      <c r="D4500">
        <v>210</v>
      </c>
      <c r="E4500">
        <v>0.5796</v>
      </c>
      <c r="F4500">
        <v>1.7253000000000001</v>
      </c>
      <c r="G4500">
        <v>683.05</v>
      </c>
      <c r="H4500">
        <v>1.2556</v>
      </c>
    </row>
    <row r="4501" spans="2:8" x14ac:dyDescent="0.25">
      <c r="B4501">
        <v>1.2606999999999999</v>
      </c>
      <c r="C4501">
        <v>175</v>
      </c>
      <c r="D4501">
        <v>210</v>
      </c>
      <c r="E4501">
        <v>0.57328999999999997</v>
      </c>
      <c r="F4501">
        <v>1.7443</v>
      </c>
      <c r="G4501">
        <v>686.3</v>
      </c>
      <c r="H4501">
        <v>1.2606999999999999</v>
      </c>
    </row>
    <row r="4502" spans="2:8" x14ac:dyDescent="0.25">
      <c r="B4502">
        <v>1.2658</v>
      </c>
      <c r="C4502">
        <v>180</v>
      </c>
      <c r="D4502">
        <v>210</v>
      </c>
      <c r="E4502">
        <v>0.56716</v>
      </c>
      <c r="F4502">
        <v>1.7632000000000001</v>
      </c>
      <c r="G4502">
        <v>689.53</v>
      </c>
      <c r="H4502">
        <v>1.2658</v>
      </c>
    </row>
    <row r="4503" spans="2:8" x14ac:dyDescent="0.25">
      <c r="B4503">
        <v>1.2707999999999999</v>
      </c>
      <c r="C4503">
        <v>185</v>
      </c>
      <c r="D4503">
        <v>210</v>
      </c>
      <c r="E4503">
        <v>0.56120999999999999</v>
      </c>
      <c r="F4503">
        <v>1.7818000000000001</v>
      </c>
      <c r="G4503">
        <v>692.74</v>
      </c>
      <c r="H4503">
        <v>1.2707999999999999</v>
      </c>
    </row>
    <row r="4504" spans="2:8" x14ac:dyDescent="0.25">
      <c r="B4504">
        <v>1.2757000000000001</v>
      </c>
      <c r="C4504">
        <v>190</v>
      </c>
      <c r="D4504">
        <v>210</v>
      </c>
      <c r="E4504">
        <v>0.55542999999999998</v>
      </c>
      <c r="F4504">
        <v>1.8004</v>
      </c>
      <c r="G4504">
        <v>695.92</v>
      </c>
      <c r="H4504">
        <v>1.2757000000000001</v>
      </c>
    </row>
    <row r="4505" spans="2:8" x14ac:dyDescent="0.25">
      <c r="B4505">
        <v>1.2805</v>
      </c>
      <c r="C4505">
        <v>195</v>
      </c>
      <c r="D4505">
        <v>210</v>
      </c>
      <c r="E4505">
        <v>0.54981000000000002</v>
      </c>
      <c r="F4505">
        <v>1.8188</v>
      </c>
      <c r="G4505">
        <v>699.08</v>
      </c>
      <c r="H4505">
        <v>1.2805</v>
      </c>
    </row>
    <row r="4506" spans="2:8" x14ac:dyDescent="0.25">
      <c r="B4506">
        <v>1.2853000000000001</v>
      </c>
      <c r="C4506">
        <v>200</v>
      </c>
      <c r="D4506">
        <v>210</v>
      </c>
      <c r="E4506">
        <v>0.54434000000000005</v>
      </c>
      <c r="F4506">
        <v>1.8371</v>
      </c>
      <c r="G4506">
        <v>702.23</v>
      </c>
      <c r="H4506">
        <v>1.2853000000000001</v>
      </c>
    </row>
    <row r="4507" spans="2:8" x14ac:dyDescent="0.25">
      <c r="B4507">
        <v>1.29</v>
      </c>
      <c r="C4507">
        <v>205</v>
      </c>
      <c r="D4507">
        <v>210</v>
      </c>
      <c r="E4507">
        <v>0.53900999999999999</v>
      </c>
      <c r="F4507">
        <v>1.8552</v>
      </c>
      <c r="G4507">
        <v>705.36</v>
      </c>
      <c r="H4507">
        <v>1.29</v>
      </c>
    </row>
    <row r="4508" spans="2:8" x14ac:dyDescent="0.25">
      <c r="B4508">
        <v>1.2947</v>
      </c>
      <c r="C4508">
        <v>210</v>
      </c>
      <c r="D4508">
        <v>210</v>
      </c>
      <c r="E4508">
        <v>0.53381999999999996</v>
      </c>
      <c r="F4508">
        <v>1.8733</v>
      </c>
      <c r="G4508">
        <v>708.48</v>
      </c>
      <c r="H4508">
        <v>1.2947</v>
      </c>
    </row>
    <row r="4509" spans="2:8" x14ac:dyDescent="0.25">
      <c r="B4509">
        <v>1.2992999999999999</v>
      </c>
      <c r="C4509">
        <v>215</v>
      </c>
      <c r="D4509">
        <v>210</v>
      </c>
      <c r="E4509">
        <v>0.52875000000000005</v>
      </c>
      <c r="F4509">
        <v>1.8912</v>
      </c>
      <c r="G4509">
        <v>711.58</v>
      </c>
      <c r="H4509">
        <v>1.2992999999999999</v>
      </c>
    </row>
    <row r="4510" spans="2:8" x14ac:dyDescent="0.25">
      <c r="B4510">
        <v>1.3039000000000001</v>
      </c>
      <c r="C4510">
        <v>220</v>
      </c>
      <c r="D4510">
        <v>210</v>
      </c>
      <c r="E4510">
        <v>0.52381</v>
      </c>
      <c r="F4510">
        <v>1.9091</v>
      </c>
      <c r="G4510">
        <v>714.68</v>
      </c>
      <c r="H4510">
        <v>1.3039000000000001</v>
      </c>
    </row>
    <row r="4511" spans="2:8" x14ac:dyDescent="0.25">
      <c r="B4511">
        <v>1.3084</v>
      </c>
      <c r="C4511">
        <v>225</v>
      </c>
      <c r="D4511">
        <v>210</v>
      </c>
      <c r="E4511">
        <v>0.51898999999999995</v>
      </c>
      <c r="F4511">
        <v>1.9268000000000001</v>
      </c>
      <c r="G4511">
        <v>717.76</v>
      </c>
      <c r="H4511">
        <v>1.3084</v>
      </c>
    </row>
    <row r="4512" spans="2:8" x14ac:dyDescent="0.25">
      <c r="B4512">
        <v>1.3129</v>
      </c>
      <c r="C4512">
        <v>230</v>
      </c>
      <c r="D4512">
        <v>210</v>
      </c>
      <c r="E4512">
        <v>0.51427</v>
      </c>
      <c r="F4512">
        <v>1.9444999999999999</v>
      </c>
      <c r="G4512">
        <v>720.83</v>
      </c>
      <c r="H4512">
        <v>1.3129</v>
      </c>
    </row>
    <row r="4513" spans="2:8" x14ac:dyDescent="0.25">
      <c r="B4513">
        <v>1.3172999999999999</v>
      </c>
      <c r="C4513">
        <v>235</v>
      </c>
      <c r="D4513">
        <v>210</v>
      </c>
      <c r="E4513">
        <v>0.50966999999999996</v>
      </c>
      <c r="F4513">
        <v>1.9621</v>
      </c>
      <c r="G4513">
        <v>723.89</v>
      </c>
      <c r="H4513">
        <v>1.3172999999999999</v>
      </c>
    </row>
    <row r="4514" spans="2:8" x14ac:dyDescent="0.25">
      <c r="B4514">
        <v>1.3217000000000001</v>
      </c>
      <c r="C4514">
        <v>240</v>
      </c>
      <c r="D4514">
        <v>210</v>
      </c>
      <c r="E4514">
        <v>0.50516000000000005</v>
      </c>
      <c r="F4514">
        <v>1.9796</v>
      </c>
      <c r="G4514">
        <v>726.95</v>
      </c>
      <c r="H4514">
        <v>1.3217000000000001</v>
      </c>
    </row>
    <row r="4515" spans="2:8" x14ac:dyDescent="0.25">
      <c r="B4515">
        <v>1.3260000000000001</v>
      </c>
      <c r="C4515">
        <v>245</v>
      </c>
      <c r="D4515">
        <v>210</v>
      </c>
      <c r="E4515">
        <v>0.50075999999999998</v>
      </c>
      <c r="F4515">
        <v>1.9970000000000001</v>
      </c>
      <c r="G4515">
        <v>730</v>
      </c>
      <c r="H4515">
        <v>1.3260000000000001</v>
      </c>
    </row>
    <row r="4516" spans="2:8" x14ac:dyDescent="0.25">
      <c r="B4516">
        <v>1.3303</v>
      </c>
      <c r="C4516">
        <v>250</v>
      </c>
      <c r="D4516">
        <v>210</v>
      </c>
      <c r="E4516">
        <v>0.49645</v>
      </c>
      <c r="F4516">
        <v>2.0143</v>
      </c>
      <c r="G4516">
        <v>733.04</v>
      </c>
      <c r="H4516">
        <v>1.3303</v>
      </c>
    </row>
    <row r="4517" spans="2:8" x14ac:dyDescent="0.25">
      <c r="B4517">
        <v>1.3346</v>
      </c>
      <c r="C4517">
        <v>255</v>
      </c>
      <c r="D4517">
        <v>210</v>
      </c>
      <c r="E4517">
        <v>0.49223</v>
      </c>
      <c r="F4517">
        <v>2.0316000000000001</v>
      </c>
      <c r="G4517">
        <v>736.07</v>
      </c>
      <c r="H4517">
        <v>1.3346</v>
      </c>
    </row>
    <row r="4518" spans="2:8" x14ac:dyDescent="0.25">
      <c r="B4518">
        <v>1.3388</v>
      </c>
      <c r="C4518">
        <v>260</v>
      </c>
      <c r="D4518">
        <v>210</v>
      </c>
      <c r="E4518">
        <v>0.48809000000000002</v>
      </c>
      <c r="F4518">
        <v>2.0488</v>
      </c>
      <c r="G4518">
        <v>739.1</v>
      </c>
      <c r="H4518">
        <v>1.3388</v>
      </c>
    </row>
    <row r="4519" spans="2:8" x14ac:dyDescent="0.25">
      <c r="B4519">
        <v>1.343</v>
      </c>
      <c r="C4519">
        <v>265</v>
      </c>
      <c r="D4519">
        <v>210</v>
      </c>
      <c r="E4519">
        <v>0.48404000000000003</v>
      </c>
      <c r="F4519">
        <v>2.0659000000000001</v>
      </c>
      <c r="G4519">
        <v>742.13</v>
      </c>
      <c r="H4519">
        <v>1.343</v>
      </c>
    </row>
    <row r="4520" spans="2:8" x14ac:dyDescent="0.25">
      <c r="B4520">
        <v>1.3472</v>
      </c>
      <c r="C4520">
        <v>270</v>
      </c>
      <c r="D4520">
        <v>210</v>
      </c>
      <c r="E4520">
        <v>0.48007</v>
      </c>
      <c r="F4520">
        <v>2.0830000000000002</v>
      </c>
      <c r="G4520">
        <v>745.15</v>
      </c>
      <c r="H4520">
        <v>1.3472</v>
      </c>
    </row>
    <row r="4521" spans="2:8" x14ac:dyDescent="0.25">
      <c r="B4521">
        <v>1.3512999999999999</v>
      </c>
      <c r="C4521">
        <v>275</v>
      </c>
      <c r="D4521">
        <v>210</v>
      </c>
      <c r="E4521">
        <v>0.47617999999999999</v>
      </c>
      <c r="F4521">
        <v>2.1</v>
      </c>
      <c r="G4521">
        <v>748.17</v>
      </c>
      <c r="H4521">
        <v>1.3512999999999999</v>
      </c>
    </row>
    <row r="4522" spans="2:8" x14ac:dyDescent="0.25">
      <c r="B4522">
        <v>1.3553999999999999</v>
      </c>
      <c r="C4522">
        <v>280</v>
      </c>
      <c r="D4522">
        <v>210</v>
      </c>
      <c r="E4522">
        <v>0.47237000000000001</v>
      </c>
      <c r="F4522">
        <v>2.117</v>
      </c>
      <c r="G4522">
        <v>751.18</v>
      </c>
      <c r="H4522">
        <v>1.3553999999999999</v>
      </c>
    </row>
    <row r="4523" spans="2:8" x14ac:dyDescent="0.25">
      <c r="B4523">
        <v>1.3593999999999999</v>
      </c>
      <c r="C4523">
        <v>285</v>
      </c>
      <c r="D4523">
        <v>210</v>
      </c>
      <c r="E4523">
        <v>0.46861999999999998</v>
      </c>
      <c r="F4523">
        <v>2.1339000000000001</v>
      </c>
      <c r="G4523">
        <v>754.2</v>
      </c>
      <c r="H4523">
        <v>1.3593999999999999</v>
      </c>
    </row>
    <row r="4524" spans="2:8" x14ac:dyDescent="0.25">
      <c r="B4524">
        <v>1.3634999999999999</v>
      </c>
      <c r="C4524">
        <v>290</v>
      </c>
      <c r="D4524">
        <v>210</v>
      </c>
      <c r="E4524">
        <v>0.46494999999999997</v>
      </c>
      <c r="F4524">
        <v>2.1507999999999998</v>
      </c>
      <c r="G4524">
        <v>757.21</v>
      </c>
      <c r="H4524">
        <v>1.3634999999999999</v>
      </c>
    </row>
    <row r="4525" spans="2:8" x14ac:dyDescent="0.25">
      <c r="B4525">
        <v>1.3674999999999999</v>
      </c>
      <c r="C4525">
        <v>295</v>
      </c>
      <c r="D4525">
        <v>210</v>
      </c>
      <c r="E4525">
        <v>0.46134999999999998</v>
      </c>
      <c r="F4525">
        <v>2.1676000000000002</v>
      </c>
      <c r="G4525">
        <v>760.22</v>
      </c>
      <c r="H4525">
        <v>1.3674999999999999</v>
      </c>
    </row>
    <row r="4526" spans="2:8" x14ac:dyDescent="0.25">
      <c r="B4526">
        <v>1.3714</v>
      </c>
      <c r="C4526">
        <v>300</v>
      </c>
      <c r="D4526">
        <v>210</v>
      </c>
      <c r="E4526">
        <v>0.45780999999999999</v>
      </c>
      <c r="F4526">
        <v>2.1842999999999999</v>
      </c>
      <c r="G4526">
        <v>763.23</v>
      </c>
      <c r="H4526">
        <v>1.3714</v>
      </c>
    </row>
    <row r="4527" spans="2:8" x14ac:dyDescent="0.25">
      <c r="B4527">
        <v>1.3754</v>
      </c>
      <c r="C4527">
        <v>305</v>
      </c>
      <c r="D4527">
        <v>210</v>
      </c>
      <c r="E4527">
        <v>0.45433000000000001</v>
      </c>
      <c r="F4527">
        <v>2.2010000000000001</v>
      </c>
      <c r="G4527">
        <v>766.24</v>
      </c>
      <c r="H4527">
        <v>1.3754</v>
      </c>
    </row>
    <row r="4528" spans="2:8" x14ac:dyDescent="0.25">
      <c r="B4528">
        <v>1.3793</v>
      </c>
      <c r="C4528">
        <v>310</v>
      </c>
      <c r="D4528">
        <v>210</v>
      </c>
      <c r="E4528">
        <v>0.45090999999999998</v>
      </c>
      <c r="F4528">
        <v>2.2176999999999998</v>
      </c>
      <c r="G4528">
        <v>769.24</v>
      </c>
      <c r="H4528">
        <v>1.3793</v>
      </c>
    </row>
    <row r="4529" spans="1:8" x14ac:dyDescent="0.25">
      <c r="B4529">
        <v>1.3832</v>
      </c>
      <c r="C4529">
        <v>315</v>
      </c>
      <c r="D4529">
        <v>210</v>
      </c>
      <c r="E4529">
        <v>0.44756000000000001</v>
      </c>
      <c r="F4529">
        <v>2.2343000000000002</v>
      </c>
      <c r="G4529">
        <v>772.25</v>
      </c>
      <c r="H4529">
        <v>1.3832</v>
      </c>
    </row>
    <row r="4530" spans="1:8" x14ac:dyDescent="0.25">
      <c r="B4530">
        <v>1.3871</v>
      </c>
      <c r="C4530">
        <v>320</v>
      </c>
      <c r="D4530">
        <v>210</v>
      </c>
      <c r="E4530">
        <v>0.44425999999999999</v>
      </c>
      <c r="F4530">
        <v>2.2509000000000001</v>
      </c>
      <c r="G4530">
        <v>775.26</v>
      </c>
      <c r="H4530">
        <v>1.3871</v>
      </c>
    </row>
    <row r="4531" spans="1:8" x14ac:dyDescent="0.25">
      <c r="B4531">
        <v>1.3909</v>
      </c>
      <c r="C4531">
        <v>325</v>
      </c>
      <c r="D4531">
        <v>210</v>
      </c>
      <c r="E4531">
        <v>0.44102000000000002</v>
      </c>
      <c r="F4531">
        <v>2.2675000000000001</v>
      </c>
      <c r="G4531">
        <v>778.27</v>
      </c>
      <c r="H4531">
        <v>1.3909</v>
      </c>
    </row>
    <row r="4532" spans="1:8" x14ac:dyDescent="0.25">
      <c r="B4532">
        <v>1.3947000000000001</v>
      </c>
      <c r="C4532">
        <v>330</v>
      </c>
      <c r="D4532">
        <v>210</v>
      </c>
      <c r="E4532">
        <v>0.43783</v>
      </c>
      <c r="F4532">
        <v>2.2839999999999998</v>
      </c>
      <c r="G4532">
        <v>781.27</v>
      </c>
      <c r="H4532">
        <v>1.3947000000000001</v>
      </c>
    </row>
    <row r="4533" spans="1:8" x14ac:dyDescent="0.25">
      <c r="B4533">
        <v>1.3985000000000001</v>
      </c>
      <c r="C4533">
        <v>335</v>
      </c>
      <c r="D4533">
        <v>210</v>
      </c>
      <c r="E4533">
        <v>0.43469000000000002</v>
      </c>
      <c r="F4533">
        <v>2.3005</v>
      </c>
      <c r="G4533">
        <v>784.28</v>
      </c>
      <c r="H4533">
        <v>1.3985000000000001</v>
      </c>
    </row>
    <row r="4534" spans="1:8" x14ac:dyDescent="0.25">
      <c r="B4534">
        <v>1.4023000000000001</v>
      </c>
      <c r="C4534">
        <v>340</v>
      </c>
      <c r="D4534">
        <v>210</v>
      </c>
      <c r="E4534">
        <v>0.43160999999999999</v>
      </c>
      <c r="F4534">
        <v>2.3169</v>
      </c>
      <c r="G4534">
        <v>787.3</v>
      </c>
      <c r="H4534">
        <v>1.4023000000000001</v>
      </c>
    </row>
    <row r="4535" spans="1:8" x14ac:dyDescent="0.25">
      <c r="B4535">
        <v>1.4060999999999999</v>
      </c>
      <c r="C4535">
        <v>345</v>
      </c>
      <c r="D4535">
        <v>210</v>
      </c>
      <c r="E4535">
        <v>0.42857000000000001</v>
      </c>
      <c r="F4535">
        <v>2.3332999999999999</v>
      </c>
      <c r="G4535">
        <v>790.31</v>
      </c>
      <c r="H4535">
        <v>1.4060999999999999</v>
      </c>
    </row>
    <row r="4536" spans="1:8" x14ac:dyDescent="0.25">
      <c r="B4536">
        <v>1.4097999999999999</v>
      </c>
      <c r="C4536">
        <v>350</v>
      </c>
      <c r="D4536">
        <v>210</v>
      </c>
      <c r="E4536">
        <v>0.42559000000000002</v>
      </c>
      <c r="F4536">
        <v>2.3496999999999999</v>
      </c>
      <c r="G4536">
        <v>793.32</v>
      </c>
      <c r="H4536">
        <v>1.4097999999999999</v>
      </c>
    </row>
    <row r="4538" spans="1:8" x14ac:dyDescent="0.25">
      <c r="A4538">
        <v>215</v>
      </c>
      <c r="B4538">
        <v>9.6248E-2</v>
      </c>
      <c r="C4538">
        <v>0</v>
      </c>
      <c r="D4538">
        <v>215</v>
      </c>
      <c r="E4538">
        <v>41.39</v>
      </c>
      <c r="F4538">
        <v>2.4160999999999998E-2</v>
      </c>
      <c r="G4538">
        <v>43.192</v>
      </c>
      <c r="H4538">
        <v>9.6248E-2</v>
      </c>
    </row>
    <row r="4539" spans="1:8" x14ac:dyDescent="0.25">
      <c r="B4539">
        <v>0.10795</v>
      </c>
      <c r="C4539">
        <v>5</v>
      </c>
      <c r="D4539">
        <v>215</v>
      </c>
      <c r="E4539">
        <v>41.164000000000001</v>
      </c>
      <c r="F4539">
        <v>2.4292999999999999E-2</v>
      </c>
      <c r="G4539">
        <v>48.598999999999997</v>
      </c>
      <c r="H4539">
        <v>0.10795</v>
      </c>
    </row>
    <row r="4540" spans="1:8" x14ac:dyDescent="0.25">
      <c r="B4540">
        <v>0.11956</v>
      </c>
      <c r="C4540">
        <v>10</v>
      </c>
      <c r="D4540">
        <v>215</v>
      </c>
      <c r="E4540">
        <v>40.936999999999998</v>
      </c>
      <c r="F4540">
        <v>2.4427999999999998E-2</v>
      </c>
      <c r="G4540">
        <v>54.023000000000003</v>
      </c>
      <c r="H4540">
        <v>0.11956</v>
      </c>
    </row>
    <row r="4541" spans="1:8" x14ac:dyDescent="0.25">
      <c r="B4541">
        <v>0.13108</v>
      </c>
      <c r="C4541">
        <v>15</v>
      </c>
      <c r="D4541">
        <v>215</v>
      </c>
      <c r="E4541">
        <v>40.707000000000001</v>
      </c>
      <c r="F4541">
        <v>2.4566000000000001E-2</v>
      </c>
      <c r="G4541">
        <v>59.463000000000001</v>
      </c>
      <c r="H4541">
        <v>0.13108</v>
      </c>
    </row>
    <row r="4542" spans="1:8" x14ac:dyDescent="0.25">
      <c r="B4542">
        <v>0.14251</v>
      </c>
      <c r="C4542">
        <v>20</v>
      </c>
      <c r="D4542">
        <v>215</v>
      </c>
      <c r="E4542">
        <v>40.475999999999999</v>
      </c>
      <c r="F4542">
        <v>2.4705999999999999E-2</v>
      </c>
      <c r="G4542">
        <v>64.918999999999997</v>
      </c>
      <c r="H4542">
        <v>0.14251</v>
      </c>
    </row>
    <row r="4543" spans="1:8" x14ac:dyDescent="0.25">
      <c r="B4543">
        <v>0.15387000000000001</v>
      </c>
      <c r="C4543">
        <v>25</v>
      </c>
      <c r="D4543">
        <v>215</v>
      </c>
      <c r="E4543">
        <v>40.241999999999997</v>
      </c>
      <c r="F4543">
        <v>2.4850000000000001E-2</v>
      </c>
      <c r="G4543">
        <v>70.393000000000001</v>
      </c>
      <c r="H4543">
        <v>0.15387000000000001</v>
      </c>
    </row>
    <row r="4544" spans="1:8" x14ac:dyDescent="0.25">
      <c r="B4544">
        <v>0.16514000000000001</v>
      </c>
      <c r="C4544">
        <v>30</v>
      </c>
      <c r="D4544">
        <v>215</v>
      </c>
      <c r="E4544">
        <v>40.006</v>
      </c>
      <c r="F4544">
        <v>2.4996000000000001E-2</v>
      </c>
      <c r="G4544">
        <v>75.885000000000005</v>
      </c>
      <c r="H4544">
        <v>0.16514000000000001</v>
      </c>
    </row>
    <row r="4545" spans="2:8" x14ac:dyDescent="0.25">
      <c r="B4545">
        <v>0.17632999999999999</v>
      </c>
      <c r="C4545">
        <v>35</v>
      </c>
      <c r="D4545">
        <v>215</v>
      </c>
      <c r="E4545">
        <v>39.768000000000001</v>
      </c>
      <c r="F4545">
        <v>2.5146000000000002E-2</v>
      </c>
      <c r="G4545">
        <v>81.394000000000005</v>
      </c>
      <c r="H4545">
        <v>0.17632999999999999</v>
      </c>
    </row>
    <row r="4546" spans="2:8" x14ac:dyDescent="0.25">
      <c r="B4546">
        <v>0.18745000000000001</v>
      </c>
      <c r="C4546">
        <v>40</v>
      </c>
      <c r="D4546">
        <v>215</v>
      </c>
      <c r="E4546">
        <v>39.527000000000001</v>
      </c>
      <c r="F4546">
        <v>2.5298999999999999E-2</v>
      </c>
      <c r="G4546">
        <v>86.923000000000002</v>
      </c>
      <c r="H4546">
        <v>0.18745000000000001</v>
      </c>
    </row>
    <row r="4547" spans="2:8" x14ac:dyDescent="0.25">
      <c r="B4547">
        <v>0.19850000000000001</v>
      </c>
      <c r="C4547">
        <v>45</v>
      </c>
      <c r="D4547">
        <v>215</v>
      </c>
      <c r="E4547">
        <v>39.283000000000001</v>
      </c>
      <c r="F4547">
        <v>2.5455999999999999E-2</v>
      </c>
      <c r="G4547">
        <v>92.47</v>
      </c>
      <c r="H4547">
        <v>0.19850000000000001</v>
      </c>
    </row>
    <row r="4548" spans="2:8" x14ac:dyDescent="0.25">
      <c r="B4548">
        <v>0.20948</v>
      </c>
      <c r="C4548">
        <v>50</v>
      </c>
      <c r="D4548">
        <v>215</v>
      </c>
      <c r="E4548">
        <v>39.037999999999997</v>
      </c>
      <c r="F4548">
        <v>2.5616E-2</v>
      </c>
      <c r="G4548">
        <v>98.037999999999997</v>
      </c>
      <c r="H4548">
        <v>0.20948</v>
      </c>
    </row>
    <row r="4549" spans="2:8" x14ac:dyDescent="0.25">
      <c r="B4549">
        <v>0.22039</v>
      </c>
      <c r="C4549">
        <v>55</v>
      </c>
      <c r="D4549">
        <v>215</v>
      </c>
      <c r="E4549">
        <v>38.789000000000001</v>
      </c>
      <c r="F4549">
        <v>2.5780999999999998E-2</v>
      </c>
      <c r="G4549">
        <v>103.63</v>
      </c>
      <c r="H4549">
        <v>0.22039</v>
      </c>
    </row>
    <row r="4550" spans="2:8" x14ac:dyDescent="0.25">
      <c r="B4550">
        <v>0.23124</v>
      </c>
      <c r="C4550">
        <v>60</v>
      </c>
      <c r="D4550">
        <v>215</v>
      </c>
      <c r="E4550">
        <v>38.536999999999999</v>
      </c>
      <c r="F4550">
        <v>2.5949E-2</v>
      </c>
      <c r="G4550">
        <v>109.24</v>
      </c>
      <c r="H4550">
        <v>0.23124</v>
      </c>
    </row>
    <row r="4551" spans="2:8" x14ac:dyDescent="0.25">
      <c r="B4551">
        <v>0.24203</v>
      </c>
      <c r="C4551">
        <v>65</v>
      </c>
      <c r="D4551">
        <v>215</v>
      </c>
      <c r="E4551">
        <v>38.283000000000001</v>
      </c>
      <c r="F4551">
        <v>2.6121999999999999E-2</v>
      </c>
      <c r="G4551">
        <v>114.87</v>
      </c>
      <c r="H4551">
        <v>0.24203</v>
      </c>
    </row>
    <row r="4552" spans="2:8" x14ac:dyDescent="0.25">
      <c r="B4552">
        <v>0.25276999999999999</v>
      </c>
      <c r="C4552">
        <v>70</v>
      </c>
      <c r="D4552">
        <v>215</v>
      </c>
      <c r="E4552">
        <v>38.024999999999999</v>
      </c>
      <c r="F4552">
        <v>2.6298999999999999E-2</v>
      </c>
      <c r="G4552">
        <v>120.53</v>
      </c>
      <c r="H4552">
        <v>0.25276999999999999</v>
      </c>
    </row>
    <row r="4553" spans="2:8" x14ac:dyDescent="0.25">
      <c r="B4553">
        <v>0.26345000000000002</v>
      </c>
      <c r="C4553">
        <v>75</v>
      </c>
      <c r="D4553">
        <v>215</v>
      </c>
      <c r="E4553">
        <v>37.762999999999998</v>
      </c>
      <c r="F4553">
        <v>2.6481000000000001E-2</v>
      </c>
      <c r="G4553">
        <v>126.22</v>
      </c>
      <c r="H4553">
        <v>0.26345000000000002</v>
      </c>
    </row>
    <row r="4554" spans="2:8" x14ac:dyDescent="0.25">
      <c r="B4554">
        <v>0.27409</v>
      </c>
      <c r="C4554">
        <v>80</v>
      </c>
      <c r="D4554">
        <v>215</v>
      </c>
      <c r="E4554">
        <v>37.497999999999998</v>
      </c>
      <c r="F4554">
        <v>2.6668000000000001E-2</v>
      </c>
      <c r="G4554">
        <v>131.93</v>
      </c>
      <c r="H4554">
        <v>0.27409</v>
      </c>
    </row>
    <row r="4555" spans="2:8" x14ac:dyDescent="0.25">
      <c r="B4555">
        <v>0.28467999999999999</v>
      </c>
      <c r="C4555">
        <v>85</v>
      </c>
      <c r="D4555">
        <v>215</v>
      </c>
      <c r="E4555">
        <v>37.228999999999999</v>
      </c>
      <c r="F4555">
        <v>2.6859999999999998E-2</v>
      </c>
      <c r="G4555">
        <v>137.66999999999999</v>
      </c>
      <c r="H4555">
        <v>0.28467999999999999</v>
      </c>
    </row>
    <row r="4556" spans="2:8" x14ac:dyDescent="0.25">
      <c r="B4556">
        <v>0.29522999999999999</v>
      </c>
      <c r="C4556">
        <v>90</v>
      </c>
      <c r="D4556">
        <v>215</v>
      </c>
      <c r="E4556">
        <v>36.957000000000001</v>
      </c>
      <c r="F4556">
        <v>2.7059E-2</v>
      </c>
      <c r="G4556">
        <v>143.44999999999999</v>
      </c>
      <c r="H4556">
        <v>0.29522999999999999</v>
      </c>
    </row>
    <row r="4557" spans="2:8" x14ac:dyDescent="0.25">
      <c r="B4557">
        <v>0.30575000000000002</v>
      </c>
      <c r="C4557">
        <v>95</v>
      </c>
      <c r="D4557">
        <v>215</v>
      </c>
      <c r="E4557">
        <v>36.679000000000002</v>
      </c>
      <c r="F4557">
        <v>2.7262999999999999E-2</v>
      </c>
      <c r="G4557">
        <v>149.26</v>
      </c>
      <c r="H4557">
        <v>0.30575000000000002</v>
      </c>
    </row>
    <row r="4558" spans="2:8" x14ac:dyDescent="0.25">
      <c r="B4558">
        <v>0.31624000000000002</v>
      </c>
      <c r="C4558">
        <v>100</v>
      </c>
      <c r="D4558">
        <v>215</v>
      </c>
      <c r="E4558">
        <v>36.396999999999998</v>
      </c>
      <c r="F4558">
        <v>2.7474999999999999E-2</v>
      </c>
      <c r="G4558">
        <v>155.1</v>
      </c>
      <c r="H4558">
        <v>0.31624000000000002</v>
      </c>
    </row>
    <row r="4559" spans="2:8" x14ac:dyDescent="0.25">
      <c r="B4559">
        <v>1.1738999999999999</v>
      </c>
      <c r="C4559">
        <v>105</v>
      </c>
      <c r="D4559">
        <v>215</v>
      </c>
      <c r="E4559">
        <v>0.70640000000000003</v>
      </c>
      <c r="F4559">
        <v>1.4156</v>
      </c>
      <c r="G4559">
        <v>635.88</v>
      </c>
      <c r="H4559">
        <v>1.1738999999999999</v>
      </c>
    </row>
    <row r="4560" spans="2:8" x14ac:dyDescent="0.25">
      <c r="B4560">
        <v>1.1809000000000001</v>
      </c>
      <c r="C4560">
        <v>110</v>
      </c>
      <c r="D4560">
        <v>215</v>
      </c>
      <c r="E4560">
        <v>0.69530999999999998</v>
      </c>
      <c r="F4560">
        <v>1.4381999999999999</v>
      </c>
      <c r="G4560">
        <v>639.87</v>
      </c>
      <c r="H4560">
        <v>1.1809000000000001</v>
      </c>
    </row>
    <row r="4561" spans="2:8" x14ac:dyDescent="0.25">
      <c r="B4561">
        <v>1.1877</v>
      </c>
      <c r="C4561">
        <v>115</v>
      </c>
      <c r="D4561">
        <v>215</v>
      </c>
      <c r="E4561">
        <v>0.68479000000000001</v>
      </c>
      <c r="F4561">
        <v>1.4602999999999999</v>
      </c>
      <c r="G4561">
        <v>643.76</v>
      </c>
      <c r="H4561">
        <v>1.1877</v>
      </c>
    </row>
    <row r="4562" spans="2:8" x14ac:dyDescent="0.25">
      <c r="B4562">
        <v>1.1942999999999999</v>
      </c>
      <c r="C4562">
        <v>120</v>
      </c>
      <c r="D4562">
        <v>215</v>
      </c>
      <c r="E4562">
        <v>0.67479</v>
      </c>
      <c r="F4562">
        <v>1.4819</v>
      </c>
      <c r="G4562">
        <v>647.57000000000005</v>
      </c>
      <c r="H4562">
        <v>1.1942999999999999</v>
      </c>
    </row>
    <row r="4563" spans="2:8" x14ac:dyDescent="0.25">
      <c r="B4563">
        <v>1.2007000000000001</v>
      </c>
      <c r="C4563">
        <v>125</v>
      </c>
      <c r="D4563">
        <v>215</v>
      </c>
      <c r="E4563">
        <v>0.66525999999999996</v>
      </c>
      <c r="F4563">
        <v>1.5032000000000001</v>
      </c>
      <c r="G4563">
        <v>651.29</v>
      </c>
      <c r="H4563">
        <v>1.2007000000000001</v>
      </c>
    </row>
    <row r="4564" spans="2:8" x14ac:dyDescent="0.25">
      <c r="B4564">
        <v>1.2069000000000001</v>
      </c>
      <c r="C4564">
        <v>130</v>
      </c>
      <c r="D4564">
        <v>215</v>
      </c>
      <c r="E4564">
        <v>0.65615000000000001</v>
      </c>
      <c r="F4564">
        <v>1.524</v>
      </c>
      <c r="G4564">
        <v>654.95000000000005</v>
      </c>
      <c r="H4564">
        <v>1.2069000000000001</v>
      </c>
    </row>
    <row r="4565" spans="2:8" x14ac:dyDescent="0.25">
      <c r="B4565">
        <v>1.2130000000000001</v>
      </c>
      <c r="C4565">
        <v>135</v>
      </c>
      <c r="D4565">
        <v>215</v>
      </c>
      <c r="E4565">
        <v>0.64742</v>
      </c>
      <c r="F4565">
        <v>1.5446</v>
      </c>
      <c r="G4565">
        <v>658.55</v>
      </c>
      <c r="H4565">
        <v>1.2130000000000001</v>
      </c>
    </row>
    <row r="4566" spans="2:8" x14ac:dyDescent="0.25">
      <c r="B4566">
        <v>1.2190000000000001</v>
      </c>
      <c r="C4566">
        <v>140</v>
      </c>
      <c r="D4566">
        <v>215</v>
      </c>
      <c r="E4566">
        <v>0.63905000000000001</v>
      </c>
      <c r="F4566">
        <v>1.5648</v>
      </c>
      <c r="G4566">
        <v>662.09</v>
      </c>
      <c r="H4566">
        <v>1.2190000000000001</v>
      </c>
    </row>
    <row r="4567" spans="2:8" x14ac:dyDescent="0.25">
      <c r="B4567">
        <v>1.2246999999999999</v>
      </c>
      <c r="C4567">
        <v>145</v>
      </c>
      <c r="D4567">
        <v>215</v>
      </c>
      <c r="E4567">
        <v>0.63100000000000001</v>
      </c>
      <c r="F4567">
        <v>1.5848</v>
      </c>
      <c r="G4567">
        <v>665.58</v>
      </c>
      <c r="H4567">
        <v>1.2246999999999999</v>
      </c>
    </row>
    <row r="4568" spans="2:8" x14ac:dyDescent="0.25">
      <c r="B4568">
        <v>1.2303999999999999</v>
      </c>
      <c r="C4568">
        <v>150</v>
      </c>
      <c r="D4568">
        <v>215</v>
      </c>
      <c r="E4568">
        <v>0.62326000000000004</v>
      </c>
      <c r="F4568">
        <v>1.6045</v>
      </c>
      <c r="G4568">
        <v>669.02</v>
      </c>
      <c r="H4568">
        <v>1.2303999999999999</v>
      </c>
    </row>
    <row r="4569" spans="2:8" x14ac:dyDescent="0.25">
      <c r="B4569">
        <v>1.236</v>
      </c>
      <c r="C4569">
        <v>155</v>
      </c>
      <c r="D4569">
        <v>215</v>
      </c>
      <c r="E4569">
        <v>0.61578999999999995</v>
      </c>
      <c r="F4569">
        <v>1.6238999999999999</v>
      </c>
      <c r="G4569">
        <v>672.43</v>
      </c>
      <c r="H4569">
        <v>1.236</v>
      </c>
    </row>
    <row r="4570" spans="2:8" x14ac:dyDescent="0.25">
      <c r="B4570">
        <v>1.2414000000000001</v>
      </c>
      <c r="C4570">
        <v>160</v>
      </c>
      <c r="D4570">
        <v>215</v>
      </c>
      <c r="E4570">
        <v>0.60858000000000001</v>
      </c>
      <c r="F4570">
        <v>1.6432</v>
      </c>
      <c r="G4570">
        <v>675.79</v>
      </c>
      <c r="H4570">
        <v>1.2414000000000001</v>
      </c>
    </row>
    <row r="4571" spans="2:8" x14ac:dyDescent="0.25">
      <c r="B4571">
        <v>1.2467999999999999</v>
      </c>
      <c r="C4571">
        <v>165</v>
      </c>
      <c r="D4571">
        <v>215</v>
      </c>
      <c r="E4571">
        <v>0.60160000000000002</v>
      </c>
      <c r="F4571">
        <v>1.6621999999999999</v>
      </c>
      <c r="G4571">
        <v>679.12</v>
      </c>
      <c r="H4571">
        <v>1.2467999999999999</v>
      </c>
    </row>
    <row r="4572" spans="2:8" x14ac:dyDescent="0.25">
      <c r="B4572">
        <v>1.252</v>
      </c>
      <c r="C4572">
        <v>170</v>
      </c>
      <c r="D4572">
        <v>215</v>
      </c>
      <c r="E4572">
        <v>0.59486000000000006</v>
      </c>
      <c r="F4572">
        <v>1.6811</v>
      </c>
      <c r="G4572">
        <v>682.42</v>
      </c>
      <c r="H4572">
        <v>1.252</v>
      </c>
    </row>
    <row r="4573" spans="2:8" x14ac:dyDescent="0.25">
      <c r="B4573">
        <v>1.2572000000000001</v>
      </c>
      <c r="C4573">
        <v>175</v>
      </c>
      <c r="D4573">
        <v>215</v>
      </c>
      <c r="E4573">
        <v>0.58831999999999995</v>
      </c>
      <c r="F4573">
        <v>1.6997</v>
      </c>
      <c r="G4573">
        <v>685.69</v>
      </c>
      <c r="H4573">
        <v>1.2572000000000001</v>
      </c>
    </row>
    <row r="4574" spans="2:8" x14ac:dyDescent="0.25">
      <c r="B4574">
        <v>1.2623</v>
      </c>
      <c r="C4574">
        <v>180</v>
      </c>
      <c r="D4574">
        <v>215</v>
      </c>
      <c r="E4574">
        <v>0.58199000000000001</v>
      </c>
      <c r="F4574">
        <v>1.7182999999999999</v>
      </c>
      <c r="G4574">
        <v>688.94</v>
      </c>
      <c r="H4574">
        <v>1.2623</v>
      </c>
    </row>
    <row r="4575" spans="2:8" x14ac:dyDescent="0.25">
      <c r="B4575">
        <v>1.2673000000000001</v>
      </c>
      <c r="C4575">
        <v>185</v>
      </c>
      <c r="D4575">
        <v>215</v>
      </c>
      <c r="E4575">
        <v>0.57582999999999995</v>
      </c>
      <c r="F4575">
        <v>1.7365999999999999</v>
      </c>
      <c r="G4575">
        <v>692.16</v>
      </c>
      <c r="H4575">
        <v>1.2673000000000001</v>
      </c>
    </row>
    <row r="4576" spans="2:8" x14ac:dyDescent="0.25">
      <c r="B4576">
        <v>1.2723</v>
      </c>
      <c r="C4576">
        <v>190</v>
      </c>
      <c r="D4576">
        <v>215</v>
      </c>
      <c r="E4576">
        <v>0.56986000000000003</v>
      </c>
      <c r="F4576">
        <v>1.7547999999999999</v>
      </c>
      <c r="G4576">
        <v>695.36</v>
      </c>
      <c r="H4576">
        <v>1.2723</v>
      </c>
    </row>
    <row r="4577" spans="2:8" x14ac:dyDescent="0.25">
      <c r="B4577">
        <v>1.2771999999999999</v>
      </c>
      <c r="C4577">
        <v>195</v>
      </c>
      <c r="D4577">
        <v>215</v>
      </c>
      <c r="E4577">
        <v>0.56405000000000005</v>
      </c>
      <c r="F4577">
        <v>1.7728999999999999</v>
      </c>
      <c r="G4577">
        <v>698.54</v>
      </c>
      <c r="H4577">
        <v>1.2771999999999999</v>
      </c>
    </row>
    <row r="4578" spans="2:8" x14ac:dyDescent="0.25">
      <c r="B4578">
        <v>1.282</v>
      </c>
      <c r="C4578">
        <v>200</v>
      </c>
      <c r="D4578">
        <v>215</v>
      </c>
      <c r="E4578">
        <v>0.55840000000000001</v>
      </c>
      <c r="F4578">
        <v>1.7907999999999999</v>
      </c>
      <c r="G4578">
        <v>701.71</v>
      </c>
      <c r="H4578">
        <v>1.282</v>
      </c>
    </row>
    <row r="4579" spans="2:8" x14ac:dyDescent="0.25">
      <c r="B4579">
        <v>1.2867</v>
      </c>
      <c r="C4579">
        <v>205</v>
      </c>
      <c r="D4579">
        <v>215</v>
      </c>
      <c r="E4579">
        <v>0.55288999999999999</v>
      </c>
      <c r="F4579">
        <v>1.8087</v>
      </c>
      <c r="G4579">
        <v>704.85</v>
      </c>
      <c r="H4579">
        <v>1.2867</v>
      </c>
    </row>
    <row r="4580" spans="2:8" x14ac:dyDescent="0.25">
      <c r="B4580">
        <v>1.2914000000000001</v>
      </c>
      <c r="C4580">
        <v>210</v>
      </c>
      <c r="D4580">
        <v>215</v>
      </c>
      <c r="E4580">
        <v>0.54752999999999996</v>
      </c>
      <c r="F4580">
        <v>1.8264</v>
      </c>
      <c r="G4580">
        <v>707.98</v>
      </c>
      <c r="H4580">
        <v>1.2914000000000001</v>
      </c>
    </row>
    <row r="4581" spans="2:8" x14ac:dyDescent="0.25">
      <c r="B4581">
        <v>1.2961</v>
      </c>
      <c r="C4581">
        <v>215</v>
      </c>
      <c r="D4581">
        <v>215</v>
      </c>
      <c r="E4581">
        <v>0.5423</v>
      </c>
      <c r="F4581">
        <v>1.8440000000000001</v>
      </c>
      <c r="G4581">
        <v>711.1</v>
      </c>
      <c r="H4581">
        <v>1.2961</v>
      </c>
    </row>
    <row r="4582" spans="2:8" x14ac:dyDescent="0.25">
      <c r="B4582">
        <v>1.3006</v>
      </c>
      <c r="C4582">
        <v>220</v>
      </c>
      <c r="D4582">
        <v>215</v>
      </c>
      <c r="E4582">
        <v>0.53720000000000001</v>
      </c>
      <c r="F4582">
        <v>1.8614999999999999</v>
      </c>
      <c r="G4582">
        <v>714.2</v>
      </c>
      <c r="H4582">
        <v>1.3006</v>
      </c>
    </row>
    <row r="4583" spans="2:8" x14ac:dyDescent="0.25">
      <c r="B4583">
        <v>1.3051999999999999</v>
      </c>
      <c r="C4583">
        <v>225</v>
      </c>
      <c r="D4583">
        <v>215</v>
      </c>
      <c r="E4583">
        <v>0.53222000000000003</v>
      </c>
      <c r="F4583">
        <v>1.8789</v>
      </c>
      <c r="G4583">
        <v>717.3</v>
      </c>
      <c r="H4583">
        <v>1.3051999999999999</v>
      </c>
    </row>
    <row r="4584" spans="2:8" x14ac:dyDescent="0.25">
      <c r="B4584">
        <v>1.3097000000000001</v>
      </c>
      <c r="C4584">
        <v>230</v>
      </c>
      <c r="D4584">
        <v>215</v>
      </c>
      <c r="E4584">
        <v>0.52736000000000005</v>
      </c>
      <c r="F4584">
        <v>1.8962000000000001</v>
      </c>
      <c r="G4584">
        <v>720.38</v>
      </c>
      <c r="H4584">
        <v>1.3097000000000001</v>
      </c>
    </row>
    <row r="4585" spans="2:8" x14ac:dyDescent="0.25">
      <c r="B4585">
        <v>1.3141</v>
      </c>
      <c r="C4585">
        <v>235</v>
      </c>
      <c r="D4585">
        <v>215</v>
      </c>
      <c r="E4585">
        <v>0.52261000000000002</v>
      </c>
      <c r="F4585">
        <v>1.9135</v>
      </c>
      <c r="G4585">
        <v>723.45</v>
      </c>
      <c r="H4585">
        <v>1.3141</v>
      </c>
    </row>
    <row r="4586" spans="2:8" x14ac:dyDescent="0.25">
      <c r="B4586">
        <v>1.3185</v>
      </c>
      <c r="C4586">
        <v>240</v>
      </c>
      <c r="D4586">
        <v>215</v>
      </c>
      <c r="E4586">
        <v>0.51797000000000004</v>
      </c>
      <c r="F4586">
        <v>1.9306000000000001</v>
      </c>
      <c r="G4586">
        <v>726.52</v>
      </c>
      <c r="H4586">
        <v>1.3185</v>
      </c>
    </row>
    <row r="4587" spans="2:8" x14ac:dyDescent="0.25">
      <c r="B4587">
        <v>1.3228</v>
      </c>
      <c r="C4587">
        <v>245</v>
      </c>
      <c r="D4587">
        <v>215</v>
      </c>
      <c r="E4587">
        <v>0.51343000000000005</v>
      </c>
      <c r="F4587">
        <v>1.9477</v>
      </c>
      <c r="G4587">
        <v>729.58</v>
      </c>
      <c r="H4587">
        <v>1.3228</v>
      </c>
    </row>
    <row r="4588" spans="2:8" x14ac:dyDescent="0.25">
      <c r="B4588">
        <v>1.3271999999999999</v>
      </c>
      <c r="C4588">
        <v>250</v>
      </c>
      <c r="D4588">
        <v>215</v>
      </c>
      <c r="E4588">
        <v>0.50899000000000005</v>
      </c>
      <c r="F4588">
        <v>1.9646999999999999</v>
      </c>
      <c r="G4588">
        <v>732.63</v>
      </c>
      <c r="H4588">
        <v>1.3271999999999999</v>
      </c>
    </row>
    <row r="4589" spans="2:8" x14ac:dyDescent="0.25">
      <c r="B4589">
        <v>1.3313999999999999</v>
      </c>
      <c r="C4589">
        <v>255</v>
      </c>
      <c r="D4589">
        <v>215</v>
      </c>
      <c r="E4589">
        <v>0.50463999999999998</v>
      </c>
      <c r="F4589">
        <v>1.9816</v>
      </c>
      <c r="G4589">
        <v>735.67</v>
      </c>
      <c r="H4589">
        <v>1.3313999999999999</v>
      </c>
    </row>
    <row r="4590" spans="2:8" x14ac:dyDescent="0.25">
      <c r="B4590">
        <v>1.3357000000000001</v>
      </c>
      <c r="C4590">
        <v>260</v>
      </c>
      <c r="D4590">
        <v>215</v>
      </c>
      <c r="E4590">
        <v>0.50038000000000005</v>
      </c>
      <c r="F4590">
        <v>1.9984999999999999</v>
      </c>
      <c r="G4590">
        <v>738.71</v>
      </c>
      <c r="H4590">
        <v>1.3357000000000001</v>
      </c>
    </row>
    <row r="4591" spans="2:8" x14ac:dyDescent="0.25">
      <c r="B4591">
        <v>1.3399000000000001</v>
      </c>
      <c r="C4591">
        <v>265</v>
      </c>
      <c r="D4591">
        <v>215</v>
      </c>
      <c r="E4591">
        <v>0.49620999999999998</v>
      </c>
      <c r="F4591">
        <v>2.0152999999999999</v>
      </c>
      <c r="G4591">
        <v>741.75</v>
      </c>
      <c r="H4591">
        <v>1.3399000000000001</v>
      </c>
    </row>
    <row r="4592" spans="2:8" x14ac:dyDescent="0.25">
      <c r="B4592">
        <v>1.3440000000000001</v>
      </c>
      <c r="C4592">
        <v>270</v>
      </c>
      <c r="D4592">
        <v>215</v>
      </c>
      <c r="E4592">
        <v>0.49212</v>
      </c>
      <c r="F4592">
        <v>2.032</v>
      </c>
      <c r="G4592">
        <v>744.78</v>
      </c>
      <c r="H4592">
        <v>1.3440000000000001</v>
      </c>
    </row>
    <row r="4593" spans="2:8" x14ac:dyDescent="0.25">
      <c r="B4593">
        <v>1.3482000000000001</v>
      </c>
      <c r="C4593">
        <v>275</v>
      </c>
      <c r="D4593">
        <v>215</v>
      </c>
      <c r="E4593">
        <v>0.48812</v>
      </c>
      <c r="F4593">
        <v>2.0487000000000002</v>
      </c>
      <c r="G4593">
        <v>747.8</v>
      </c>
      <c r="H4593">
        <v>1.3482000000000001</v>
      </c>
    </row>
    <row r="4594" spans="2:8" x14ac:dyDescent="0.25">
      <c r="B4594">
        <v>1.3523000000000001</v>
      </c>
      <c r="C4594">
        <v>280</v>
      </c>
      <c r="D4594">
        <v>215</v>
      </c>
      <c r="E4594">
        <v>0.48419000000000001</v>
      </c>
      <c r="F4594">
        <v>2.0653000000000001</v>
      </c>
      <c r="G4594">
        <v>750.82</v>
      </c>
      <c r="H4594">
        <v>1.3523000000000001</v>
      </c>
    </row>
    <row r="4595" spans="2:8" x14ac:dyDescent="0.25">
      <c r="B4595">
        <v>1.3563000000000001</v>
      </c>
      <c r="C4595">
        <v>285</v>
      </c>
      <c r="D4595">
        <v>215</v>
      </c>
      <c r="E4595">
        <v>0.48033999999999999</v>
      </c>
      <c r="F4595">
        <v>2.0819000000000001</v>
      </c>
      <c r="G4595">
        <v>753.85</v>
      </c>
      <c r="H4595">
        <v>1.3563000000000001</v>
      </c>
    </row>
    <row r="4596" spans="2:8" x14ac:dyDescent="0.25">
      <c r="B4596">
        <v>1.3604000000000001</v>
      </c>
      <c r="C4596">
        <v>290</v>
      </c>
      <c r="D4596">
        <v>215</v>
      </c>
      <c r="E4596">
        <v>0.47655999999999998</v>
      </c>
      <c r="F4596">
        <v>2.0983999999999998</v>
      </c>
      <c r="G4596">
        <v>756.86</v>
      </c>
      <c r="H4596">
        <v>1.3604000000000001</v>
      </c>
    </row>
    <row r="4597" spans="2:8" x14ac:dyDescent="0.25">
      <c r="B4597">
        <v>1.3644000000000001</v>
      </c>
      <c r="C4597">
        <v>295</v>
      </c>
      <c r="D4597">
        <v>215</v>
      </c>
      <c r="E4597">
        <v>0.47284999999999999</v>
      </c>
      <c r="F4597">
        <v>2.1147999999999998</v>
      </c>
      <c r="G4597">
        <v>759.88</v>
      </c>
      <c r="H4597">
        <v>1.3644000000000001</v>
      </c>
    </row>
    <row r="4598" spans="2:8" x14ac:dyDescent="0.25">
      <c r="B4598">
        <v>1.3684000000000001</v>
      </c>
      <c r="C4598">
        <v>300</v>
      </c>
      <c r="D4598">
        <v>215</v>
      </c>
      <c r="E4598">
        <v>0.46921000000000002</v>
      </c>
      <c r="F4598">
        <v>2.1313</v>
      </c>
      <c r="G4598">
        <v>762.9</v>
      </c>
      <c r="H4598">
        <v>1.3684000000000001</v>
      </c>
    </row>
    <row r="4599" spans="2:8" x14ac:dyDescent="0.25">
      <c r="B4599">
        <v>1.3723000000000001</v>
      </c>
      <c r="C4599">
        <v>305</v>
      </c>
      <c r="D4599">
        <v>215</v>
      </c>
      <c r="E4599">
        <v>0.46562999999999999</v>
      </c>
      <c r="F4599">
        <v>2.1476000000000002</v>
      </c>
      <c r="G4599">
        <v>765.91</v>
      </c>
      <c r="H4599">
        <v>1.3723000000000001</v>
      </c>
    </row>
    <row r="4600" spans="2:8" x14ac:dyDescent="0.25">
      <c r="B4600">
        <v>1.3763000000000001</v>
      </c>
      <c r="C4600">
        <v>310</v>
      </c>
      <c r="D4600">
        <v>215</v>
      </c>
      <c r="E4600">
        <v>0.46211999999999998</v>
      </c>
      <c r="F4600">
        <v>2.1640000000000001</v>
      </c>
      <c r="G4600">
        <v>768.92</v>
      </c>
      <c r="H4600">
        <v>1.3763000000000001</v>
      </c>
    </row>
    <row r="4601" spans="2:8" x14ac:dyDescent="0.25">
      <c r="B4601">
        <v>1.3802000000000001</v>
      </c>
      <c r="C4601">
        <v>315</v>
      </c>
      <c r="D4601">
        <v>215</v>
      </c>
      <c r="E4601">
        <v>0.45867000000000002</v>
      </c>
      <c r="F4601">
        <v>2.1802000000000001</v>
      </c>
      <c r="G4601">
        <v>771.94</v>
      </c>
      <c r="H4601">
        <v>1.3802000000000001</v>
      </c>
    </row>
    <row r="4602" spans="2:8" x14ac:dyDescent="0.25">
      <c r="B4602">
        <v>1.3839999999999999</v>
      </c>
      <c r="C4602">
        <v>320</v>
      </c>
      <c r="D4602">
        <v>215</v>
      </c>
      <c r="E4602">
        <v>0.45527000000000001</v>
      </c>
      <c r="F4602">
        <v>2.1964999999999999</v>
      </c>
      <c r="G4602">
        <v>774.95</v>
      </c>
      <c r="H4602">
        <v>1.3839999999999999</v>
      </c>
    </row>
    <row r="4603" spans="2:8" x14ac:dyDescent="0.25">
      <c r="B4603">
        <v>1.3878999999999999</v>
      </c>
      <c r="C4603">
        <v>325</v>
      </c>
      <c r="D4603">
        <v>215</v>
      </c>
      <c r="E4603">
        <v>0.45194000000000001</v>
      </c>
      <c r="F4603">
        <v>2.2126999999999999</v>
      </c>
      <c r="G4603">
        <v>777.96</v>
      </c>
      <c r="H4603">
        <v>1.3878999999999999</v>
      </c>
    </row>
    <row r="4604" spans="2:8" x14ac:dyDescent="0.25">
      <c r="B4604">
        <v>1.3916999999999999</v>
      </c>
      <c r="C4604">
        <v>330</v>
      </c>
      <c r="D4604">
        <v>215</v>
      </c>
      <c r="E4604">
        <v>0.44866</v>
      </c>
      <c r="F4604">
        <v>2.2288000000000001</v>
      </c>
      <c r="G4604">
        <v>780.98</v>
      </c>
      <c r="H4604">
        <v>1.3916999999999999</v>
      </c>
    </row>
    <row r="4605" spans="2:8" x14ac:dyDescent="0.25">
      <c r="B4605">
        <v>1.3955</v>
      </c>
      <c r="C4605">
        <v>335</v>
      </c>
      <c r="D4605">
        <v>215</v>
      </c>
      <c r="E4605">
        <v>0.44544</v>
      </c>
      <c r="F4605">
        <v>2.2450000000000001</v>
      </c>
      <c r="G4605">
        <v>783.99</v>
      </c>
      <c r="H4605">
        <v>1.3955</v>
      </c>
    </row>
    <row r="4606" spans="2:8" x14ac:dyDescent="0.25">
      <c r="B4606">
        <v>1.3993</v>
      </c>
      <c r="C4606">
        <v>340</v>
      </c>
      <c r="D4606">
        <v>215</v>
      </c>
      <c r="E4606">
        <v>0.44227</v>
      </c>
      <c r="F4606">
        <v>2.2610999999999999</v>
      </c>
      <c r="G4606">
        <v>787.01</v>
      </c>
      <c r="H4606">
        <v>1.3993</v>
      </c>
    </row>
    <row r="4607" spans="2:8" x14ac:dyDescent="0.25">
      <c r="B4607">
        <v>1.4031</v>
      </c>
      <c r="C4607">
        <v>345</v>
      </c>
      <c r="D4607">
        <v>215</v>
      </c>
      <c r="E4607">
        <v>0.43914999999999998</v>
      </c>
      <c r="F4607">
        <v>2.2770999999999999</v>
      </c>
      <c r="G4607">
        <v>790.03</v>
      </c>
      <c r="H4607">
        <v>1.4031</v>
      </c>
    </row>
    <row r="4608" spans="2:8" x14ac:dyDescent="0.25">
      <c r="B4608">
        <v>1.4068000000000001</v>
      </c>
      <c r="C4608">
        <v>350</v>
      </c>
      <c r="D4608">
        <v>215</v>
      </c>
      <c r="E4608">
        <v>0.43608000000000002</v>
      </c>
      <c r="F4608">
        <v>2.2932000000000001</v>
      </c>
      <c r="G4608">
        <v>793.05</v>
      </c>
      <c r="H4608">
        <v>1.4068000000000001</v>
      </c>
    </row>
    <row r="4610" spans="1:8" x14ac:dyDescent="0.25">
      <c r="A4610">
        <v>220</v>
      </c>
      <c r="B4610">
        <v>9.6224000000000004E-2</v>
      </c>
      <c r="C4610">
        <v>0</v>
      </c>
      <c r="D4610">
        <v>220</v>
      </c>
      <c r="E4610">
        <v>41.390999999999998</v>
      </c>
      <c r="F4610">
        <v>2.4160000000000001E-2</v>
      </c>
      <c r="G4610">
        <v>43.203000000000003</v>
      </c>
      <c r="H4610">
        <v>9.6224000000000004E-2</v>
      </c>
    </row>
    <row r="4611" spans="1:8" x14ac:dyDescent="0.25">
      <c r="B4611">
        <v>0.10792</v>
      </c>
      <c r="C4611">
        <v>5</v>
      </c>
      <c r="D4611">
        <v>220</v>
      </c>
      <c r="E4611">
        <v>41.165999999999997</v>
      </c>
      <c r="F4611">
        <v>2.4292000000000001E-2</v>
      </c>
      <c r="G4611">
        <v>48.61</v>
      </c>
      <c r="H4611">
        <v>0.10792</v>
      </c>
    </row>
    <row r="4612" spans="1:8" x14ac:dyDescent="0.25">
      <c r="B4612">
        <v>0.11953</v>
      </c>
      <c r="C4612">
        <v>10</v>
      </c>
      <c r="D4612">
        <v>220</v>
      </c>
      <c r="E4612">
        <v>40.938000000000002</v>
      </c>
      <c r="F4612">
        <v>2.4427000000000001E-2</v>
      </c>
      <c r="G4612">
        <v>54.033000000000001</v>
      </c>
      <c r="H4612">
        <v>0.11953</v>
      </c>
    </row>
    <row r="4613" spans="1:8" x14ac:dyDescent="0.25">
      <c r="B4613">
        <v>0.13105</v>
      </c>
      <c r="C4613">
        <v>15</v>
      </c>
      <c r="D4613">
        <v>220</v>
      </c>
      <c r="E4613">
        <v>40.709000000000003</v>
      </c>
      <c r="F4613">
        <v>2.4565E-2</v>
      </c>
      <c r="G4613">
        <v>59.472999999999999</v>
      </c>
      <c r="H4613">
        <v>0.13105</v>
      </c>
    </row>
    <row r="4614" spans="1:8" x14ac:dyDescent="0.25">
      <c r="B4614">
        <v>0.14249000000000001</v>
      </c>
      <c r="C4614">
        <v>20</v>
      </c>
      <c r="D4614">
        <v>220</v>
      </c>
      <c r="E4614">
        <v>40.476999999999997</v>
      </c>
      <c r="F4614">
        <v>2.4705000000000001E-2</v>
      </c>
      <c r="G4614">
        <v>64.930000000000007</v>
      </c>
      <c r="H4614">
        <v>0.14249000000000001</v>
      </c>
    </row>
    <row r="4615" spans="1:8" x14ac:dyDescent="0.25">
      <c r="B4615">
        <v>0.15384</v>
      </c>
      <c r="C4615">
        <v>25</v>
      </c>
      <c r="D4615">
        <v>220</v>
      </c>
      <c r="E4615">
        <v>40.243000000000002</v>
      </c>
      <c r="F4615">
        <v>2.4849E-2</v>
      </c>
      <c r="G4615">
        <v>70.403000000000006</v>
      </c>
      <c r="H4615">
        <v>0.15384</v>
      </c>
    </row>
    <row r="4616" spans="1:8" x14ac:dyDescent="0.25">
      <c r="B4616">
        <v>0.16511000000000001</v>
      </c>
      <c r="C4616">
        <v>30</v>
      </c>
      <c r="D4616">
        <v>220</v>
      </c>
      <c r="E4616">
        <v>40.006999999999998</v>
      </c>
      <c r="F4616">
        <v>2.4995E-2</v>
      </c>
      <c r="G4616">
        <v>75.894999999999996</v>
      </c>
      <c r="H4616">
        <v>0.16511000000000001</v>
      </c>
    </row>
    <row r="4617" spans="1:8" x14ac:dyDescent="0.25">
      <c r="B4617">
        <v>0.17630999999999999</v>
      </c>
      <c r="C4617">
        <v>35</v>
      </c>
      <c r="D4617">
        <v>220</v>
      </c>
      <c r="E4617">
        <v>39.768999999999998</v>
      </c>
      <c r="F4617">
        <v>2.5145000000000001E-2</v>
      </c>
      <c r="G4617">
        <v>81.403999999999996</v>
      </c>
      <c r="H4617">
        <v>0.17630999999999999</v>
      </c>
    </row>
    <row r="4618" spans="1:8" x14ac:dyDescent="0.25">
      <c r="B4618">
        <v>0.18742</v>
      </c>
      <c r="C4618">
        <v>40</v>
      </c>
      <c r="D4618">
        <v>220</v>
      </c>
      <c r="E4618">
        <v>39.527999999999999</v>
      </c>
      <c r="F4618">
        <v>2.5298000000000001E-2</v>
      </c>
      <c r="G4618">
        <v>86.932000000000002</v>
      </c>
      <c r="H4618">
        <v>0.18742</v>
      </c>
    </row>
    <row r="4619" spans="1:8" x14ac:dyDescent="0.25">
      <c r="B4619">
        <v>0.19847000000000001</v>
      </c>
      <c r="C4619">
        <v>45</v>
      </c>
      <c r="D4619">
        <v>220</v>
      </c>
      <c r="E4619">
        <v>39.284999999999997</v>
      </c>
      <c r="F4619">
        <v>2.5454999999999998E-2</v>
      </c>
      <c r="G4619">
        <v>92.478999999999999</v>
      </c>
      <c r="H4619">
        <v>0.19847000000000001</v>
      </c>
    </row>
    <row r="4620" spans="1:8" x14ac:dyDescent="0.25">
      <c r="B4620">
        <v>0.20945</v>
      </c>
      <c r="C4620">
        <v>50</v>
      </c>
      <c r="D4620">
        <v>220</v>
      </c>
      <c r="E4620">
        <v>39.039000000000001</v>
      </c>
      <c r="F4620">
        <v>2.5614999999999999E-2</v>
      </c>
      <c r="G4620">
        <v>98.046999999999997</v>
      </c>
      <c r="H4620">
        <v>0.20945</v>
      </c>
    </row>
    <row r="4621" spans="1:8" x14ac:dyDescent="0.25">
      <c r="B4621">
        <v>0.22036</v>
      </c>
      <c r="C4621">
        <v>55</v>
      </c>
      <c r="D4621">
        <v>220</v>
      </c>
      <c r="E4621">
        <v>38.790999999999997</v>
      </c>
      <c r="F4621">
        <v>2.5779E-2</v>
      </c>
      <c r="G4621">
        <v>103.64</v>
      </c>
      <c r="H4621">
        <v>0.22036</v>
      </c>
    </row>
    <row r="4622" spans="1:8" x14ac:dyDescent="0.25">
      <c r="B4622">
        <v>0.23121</v>
      </c>
      <c r="C4622">
        <v>60</v>
      </c>
      <c r="D4622">
        <v>220</v>
      </c>
      <c r="E4622">
        <v>38.539000000000001</v>
      </c>
      <c r="F4622">
        <v>2.5947999999999999E-2</v>
      </c>
      <c r="G4622">
        <v>109.25</v>
      </c>
      <c r="H4622">
        <v>0.23121</v>
      </c>
    </row>
    <row r="4623" spans="1:8" x14ac:dyDescent="0.25">
      <c r="B4623">
        <v>0.24199999999999999</v>
      </c>
      <c r="C4623">
        <v>65</v>
      </c>
      <c r="D4623">
        <v>220</v>
      </c>
      <c r="E4623">
        <v>38.283999999999999</v>
      </c>
      <c r="F4623">
        <v>2.6120000000000001E-2</v>
      </c>
      <c r="G4623">
        <v>114.88</v>
      </c>
      <c r="H4623">
        <v>0.24199999999999999</v>
      </c>
    </row>
    <row r="4624" spans="1:8" x14ac:dyDescent="0.25">
      <c r="B4624">
        <v>0.25273000000000001</v>
      </c>
      <c r="C4624">
        <v>70</v>
      </c>
      <c r="D4624">
        <v>220</v>
      </c>
      <c r="E4624">
        <v>38.027000000000001</v>
      </c>
      <c r="F4624">
        <v>2.6297000000000001E-2</v>
      </c>
      <c r="G4624">
        <v>120.54</v>
      </c>
      <c r="H4624">
        <v>0.25273000000000001</v>
      </c>
    </row>
    <row r="4625" spans="2:8" x14ac:dyDescent="0.25">
      <c r="B4625">
        <v>0.26341999999999999</v>
      </c>
      <c r="C4625">
        <v>75</v>
      </c>
      <c r="D4625">
        <v>220</v>
      </c>
      <c r="E4625">
        <v>37.765000000000001</v>
      </c>
      <c r="F4625">
        <v>2.6478999999999999E-2</v>
      </c>
      <c r="G4625">
        <v>126.22</v>
      </c>
      <c r="H4625">
        <v>0.26341999999999999</v>
      </c>
    </row>
    <row r="4626" spans="2:8" x14ac:dyDescent="0.25">
      <c r="B4626">
        <v>0.27405000000000002</v>
      </c>
      <c r="C4626">
        <v>80</v>
      </c>
      <c r="D4626">
        <v>220</v>
      </c>
      <c r="E4626">
        <v>37.5</v>
      </c>
      <c r="F4626">
        <v>2.6665999999999999E-2</v>
      </c>
      <c r="G4626">
        <v>131.94</v>
      </c>
      <c r="H4626">
        <v>0.27405000000000002</v>
      </c>
    </row>
    <row r="4627" spans="2:8" x14ac:dyDescent="0.25">
      <c r="B4627">
        <v>0.28464</v>
      </c>
      <c r="C4627">
        <v>85</v>
      </c>
      <c r="D4627">
        <v>220</v>
      </c>
      <c r="E4627">
        <v>37.231999999999999</v>
      </c>
      <c r="F4627">
        <v>2.6859000000000001E-2</v>
      </c>
      <c r="G4627">
        <v>137.68</v>
      </c>
      <c r="H4627">
        <v>0.28464</v>
      </c>
    </row>
    <row r="4628" spans="2:8" x14ac:dyDescent="0.25">
      <c r="B4628">
        <v>0.29519000000000001</v>
      </c>
      <c r="C4628">
        <v>90</v>
      </c>
      <c r="D4628">
        <v>220</v>
      </c>
      <c r="E4628">
        <v>36.959000000000003</v>
      </c>
      <c r="F4628">
        <v>2.7057000000000001E-2</v>
      </c>
      <c r="G4628">
        <v>143.44999999999999</v>
      </c>
      <c r="H4628">
        <v>0.29519000000000001</v>
      </c>
    </row>
    <row r="4629" spans="2:8" x14ac:dyDescent="0.25">
      <c r="B4629">
        <v>0.30570999999999998</v>
      </c>
      <c r="C4629">
        <v>95</v>
      </c>
      <c r="D4629">
        <v>220</v>
      </c>
      <c r="E4629">
        <v>36.682000000000002</v>
      </c>
      <c r="F4629">
        <v>2.7262000000000002E-2</v>
      </c>
      <c r="G4629">
        <v>149.26</v>
      </c>
      <c r="H4629">
        <v>0.30570999999999998</v>
      </c>
    </row>
    <row r="4630" spans="2:8" x14ac:dyDescent="0.25">
      <c r="B4630">
        <v>0.31619999999999998</v>
      </c>
      <c r="C4630">
        <v>100</v>
      </c>
      <c r="D4630">
        <v>220</v>
      </c>
      <c r="E4630">
        <v>36.4</v>
      </c>
      <c r="F4630">
        <v>2.7473000000000001E-2</v>
      </c>
      <c r="G4630">
        <v>155.1</v>
      </c>
      <c r="H4630">
        <v>0.31619999999999998</v>
      </c>
    </row>
    <row r="4631" spans="2:8" x14ac:dyDescent="0.25">
      <c r="B4631">
        <v>1.1697</v>
      </c>
      <c r="C4631">
        <v>105</v>
      </c>
      <c r="D4631">
        <v>220</v>
      </c>
      <c r="E4631">
        <v>0.72624</v>
      </c>
      <c r="F4631">
        <v>1.377</v>
      </c>
      <c r="G4631">
        <v>634.79</v>
      </c>
      <c r="H4631">
        <v>1.1697</v>
      </c>
    </row>
    <row r="4632" spans="2:8" x14ac:dyDescent="0.25">
      <c r="B4632">
        <v>1.1768000000000001</v>
      </c>
      <c r="C4632">
        <v>110</v>
      </c>
      <c r="D4632">
        <v>220</v>
      </c>
      <c r="E4632">
        <v>0.71462999999999999</v>
      </c>
      <c r="F4632">
        <v>1.3993</v>
      </c>
      <c r="G4632">
        <v>638.84</v>
      </c>
      <c r="H4632">
        <v>1.1768000000000001</v>
      </c>
    </row>
    <row r="4633" spans="2:8" x14ac:dyDescent="0.25">
      <c r="B4633">
        <v>1.1837</v>
      </c>
      <c r="C4633">
        <v>115</v>
      </c>
      <c r="D4633">
        <v>220</v>
      </c>
      <c r="E4633">
        <v>0.70365</v>
      </c>
      <c r="F4633">
        <v>1.4212</v>
      </c>
      <c r="G4633">
        <v>642.78</v>
      </c>
      <c r="H4633">
        <v>1.1837</v>
      </c>
    </row>
    <row r="4634" spans="2:8" x14ac:dyDescent="0.25">
      <c r="B4634">
        <v>1.1903999999999999</v>
      </c>
      <c r="C4634">
        <v>120</v>
      </c>
      <c r="D4634">
        <v>220</v>
      </c>
      <c r="E4634">
        <v>0.69320999999999999</v>
      </c>
      <c r="F4634">
        <v>1.4426000000000001</v>
      </c>
      <c r="G4634">
        <v>646.63</v>
      </c>
      <c r="H4634">
        <v>1.1903999999999999</v>
      </c>
    </row>
    <row r="4635" spans="2:8" x14ac:dyDescent="0.25">
      <c r="B4635">
        <v>1.1968000000000001</v>
      </c>
      <c r="C4635">
        <v>125</v>
      </c>
      <c r="D4635">
        <v>220</v>
      </c>
      <c r="E4635">
        <v>0.68328</v>
      </c>
      <c r="F4635">
        <v>1.4635</v>
      </c>
      <c r="G4635">
        <v>650.4</v>
      </c>
      <c r="H4635">
        <v>1.1968000000000001</v>
      </c>
    </row>
    <row r="4636" spans="2:8" x14ac:dyDescent="0.25">
      <c r="B4636">
        <v>1.2031000000000001</v>
      </c>
      <c r="C4636">
        <v>130</v>
      </c>
      <c r="D4636">
        <v>220</v>
      </c>
      <c r="E4636">
        <v>0.67379</v>
      </c>
      <c r="F4636">
        <v>1.4841</v>
      </c>
      <c r="G4636">
        <v>654.1</v>
      </c>
      <c r="H4636">
        <v>1.2031000000000001</v>
      </c>
    </row>
    <row r="4637" spans="2:8" x14ac:dyDescent="0.25">
      <c r="B4637">
        <v>1.2093</v>
      </c>
      <c r="C4637">
        <v>135</v>
      </c>
      <c r="D4637">
        <v>220</v>
      </c>
      <c r="E4637">
        <v>0.66471999999999998</v>
      </c>
      <c r="F4637">
        <v>1.5044</v>
      </c>
      <c r="G4637">
        <v>657.73</v>
      </c>
      <c r="H4637">
        <v>1.2093</v>
      </c>
    </row>
    <row r="4638" spans="2:8" x14ac:dyDescent="0.25">
      <c r="B4638">
        <v>1.2153</v>
      </c>
      <c r="C4638">
        <v>140</v>
      </c>
      <c r="D4638">
        <v>220</v>
      </c>
      <c r="E4638">
        <v>0.65602000000000005</v>
      </c>
      <c r="F4638">
        <v>1.5244</v>
      </c>
      <c r="G4638">
        <v>661.3</v>
      </c>
      <c r="H4638">
        <v>1.2153</v>
      </c>
    </row>
    <row r="4639" spans="2:8" x14ac:dyDescent="0.25">
      <c r="B4639">
        <v>1.2211000000000001</v>
      </c>
      <c r="C4639">
        <v>145</v>
      </c>
      <c r="D4639">
        <v>220</v>
      </c>
      <c r="E4639">
        <v>0.64766000000000001</v>
      </c>
      <c r="F4639">
        <v>1.544</v>
      </c>
      <c r="G4639">
        <v>664.82</v>
      </c>
      <c r="H4639">
        <v>1.2211000000000001</v>
      </c>
    </row>
    <row r="4640" spans="2:8" x14ac:dyDescent="0.25">
      <c r="B4640">
        <v>1.2267999999999999</v>
      </c>
      <c r="C4640">
        <v>150</v>
      </c>
      <c r="D4640">
        <v>220</v>
      </c>
      <c r="E4640">
        <v>0.63961999999999997</v>
      </c>
      <c r="F4640">
        <v>1.5633999999999999</v>
      </c>
      <c r="G4640">
        <v>668.3</v>
      </c>
      <c r="H4640">
        <v>1.2267999999999999</v>
      </c>
    </row>
    <row r="4641" spans="2:8" x14ac:dyDescent="0.25">
      <c r="B4641">
        <v>1.2323999999999999</v>
      </c>
      <c r="C4641">
        <v>155</v>
      </c>
      <c r="D4641">
        <v>220</v>
      </c>
      <c r="E4641">
        <v>0.63188</v>
      </c>
      <c r="F4641">
        <v>1.5826</v>
      </c>
      <c r="G4641">
        <v>671.73</v>
      </c>
      <c r="H4641">
        <v>1.2323999999999999</v>
      </c>
    </row>
    <row r="4642" spans="2:8" x14ac:dyDescent="0.25">
      <c r="B4642">
        <v>1.2379</v>
      </c>
      <c r="C4642">
        <v>160</v>
      </c>
      <c r="D4642">
        <v>220</v>
      </c>
      <c r="E4642">
        <v>0.62439999999999996</v>
      </c>
      <c r="F4642">
        <v>1.6014999999999999</v>
      </c>
      <c r="G4642">
        <v>675.12</v>
      </c>
      <c r="H4642">
        <v>1.2379</v>
      </c>
    </row>
    <row r="4643" spans="2:8" x14ac:dyDescent="0.25">
      <c r="B4643">
        <v>1.2433000000000001</v>
      </c>
      <c r="C4643">
        <v>165</v>
      </c>
      <c r="D4643">
        <v>220</v>
      </c>
      <c r="E4643">
        <v>0.61717999999999995</v>
      </c>
      <c r="F4643">
        <v>1.6203000000000001</v>
      </c>
      <c r="G4643">
        <v>678.47</v>
      </c>
      <c r="H4643">
        <v>1.2433000000000001</v>
      </c>
    </row>
    <row r="4644" spans="2:8" x14ac:dyDescent="0.25">
      <c r="B4644">
        <v>1.2485999999999999</v>
      </c>
      <c r="C4644">
        <v>170</v>
      </c>
      <c r="D4644">
        <v>220</v>
      </c>
      <c r="E4644">
        <v>0.61019999999999996</v>
      </c>
      <c r="F4644">
        <v>1.6388</v>
      </c>
      <c r="G4644">
        <v>681.79</v>
      </c>
      <c r="H4644">
        <v>1.2485999999999999</v>
      </c>
    </row>
    <row r="4645" spans="2:8" x14ac:dyDescent="0.25">
      <c r="B4645">
        <v>1.2538</v>
      </c>
      <c r="C4645">
        <v>175</v>
      </c>
      <c r="D4645">
        <v>220</v>
      </c>
      <c r="E4645">
        <v>0.60343999999999998</v>
      </c>
      <c r="F4645">
        <v>1.6572</v>
      </c>
      <c r="G4645">
        <v>685.08</v>
      </c>
      <c r="H4645">
        <v>1.2538</v>
      </c>
    </row>
    <row r="4646" spans="2:8" x14ac:dyDescent="0.25">
      <c r="B4646">
        <v>1.2588999999999999</v>
      </c>
      <c r="C4646">
        <v>180</v>
      </c>
      <c r="D4646">
        <v>220</v>
      </c>
      <c r="E4646">
        <v>0.59687999999999997</v>
      </c>
      <c r="F4646">
        <v>1.6754</v>
      </c>
      <c r="G4646">
        <v>688.35</v>
      </c>
      <c r="H4646">
        <v>1.2588999999999999</v>
      </c>
    </row>
    <row r="4647" spans="2:8" x14ac:dyDescent="0.25">
      <c r="B4647">
        <v>1.264</v>
      </c>
      <c r="C4647">
        <v>185</v>
      </c>
      <c r="D4647">
        <v>220</v>
      </c>
      <c r="E4647">
        <v>0.59052000000000004</v>
      </c>
      <c r="F4647">
        <v>1.6934</v>
      </c>
      <c r="G4647">
        <v>691.59</v>
      </c>
      <c r="H4647">
        <v>1.264</v>
      </c>
    </row>
    <row r="4648" spans="2:8" x14ac:dyDescent="0.25">
      <c r="B4648">
        <v>1.2689999999999999</v>
      </c>
      <c r="C4648">
        <v>190</v>
      </c>
      <c r="D4648">
        <v>220</v>
      </c>
      <c r="E4648">
        <v>0.58435000000000004</v>
      </c>
      <c r="F4648">
        <v>1.7113</v>
      </c>
      <c r="G4648">
        <v>694.8</v>
      </c>
      <c r="H4648">
        <v>1.2689999999999999</v>
      </c>
    </row>
    <row r="4649" spans="2:8" x14ac:dyDescent="0.25">
      <c r="B4649">
        <v>1.2739</v>
      </c>
      <c r="C4649">
        <v>195</v>
      </c>
      <c r="D4649">
        <v>220</v>
      </c>
      <c r="E4649">
        <v>0.57835000000000003</v>
      </c>
      <c r="F4649">
        <v>1.7291000000000001</v>
      </c>
      <c r="G4649">
        <v>698</v>
      </c>
      <c r="H4649">
        <v>1.2739</v>
      </c>
    </row>
    <row r="4650" spans="2:8" x14ac:dyDescent="0.25">
      <c r="B4650">
        <v>1.2786999999999999</v>
      </c>
      <c r="C4650">
        <v>200</v>
      </c>
      <c r="D4650">
        <v>220</v>
      </c>
      <c r="E4650">
        <v>0.57250999999999996</v>
      </c>
      <c r="F4650">
        <v>1.7466999999999999</v>
      </c>
      <c r="G4650">
        <v>701.18</v>
      </c>
      <c r="H4650">
        <v>1.2786999999999999</v>
      </c>
    </row>
    <row r="4651" spans="2:8" x14ac:dyDescent="0.25">
      <c r="B4651">
        <v>1.2835000000000001</v>
      </c>
      <c r="C4651">
        <v>205</v>
      </c>
      <c r="D4651">
        <v>220</v>
      </c>
      <c r="E4651">
        <v>0.56682999999999995</v>
      </c>
      <c r="F4651">
        <v>1.7642</v>
      </c>
      <c r="G4651">
        <v>704.34</v>
      </c>
      <c r="H4651">
        <v>1.2835000000000001</v>
      </c>
    </row>
    <row r="4652" spans="2:8" x14ac:dyDescent="0.25">
      <c r="B4652">
        <v>1.2882</v>
      </c>
      <c r="C4652">
        <v>210</v>
      </c>
      <c r="D4652">
        <v>220</v>
      </c>
      <c r="E4652">
        <v>0.56128999999999996</v>
      </c>
      <c r="F4652">
        <v>1.7816000000000001</v>
      </c>
      <c r="G4652">
        <v>707.48</v>
      </c>
      <c r="H4652">
        <v>1.2882</v>
      </c>
    </row>
    <row r="4653" spans="2:8" x14ac:dyDescent="0.25">
      <c r="B4653">
        <v>1.2927999999999999</v>
      </c>
      <c r="C4653">
        <v>215</v>
      </c>
      <c r="D4653">
        <v>220</v>
      </c>
      <c r="E4653">
        <v>0.55589999999999995</v>
      </c>
      <c r="F4653">
        <v>1.7988999999999999</v>
      </c>
      <c r="G4653">
        <v>710.61</v>
      </c>
      <c r="H4653">
        <v>1.2927999999999999</v>
      </c>
    </row>
    <row r="4654" spans="2:8" x14ac:dyDescent="0.25">
      <c r="B4654">
        <v>1.2974000000000001</v>
      </c>
      <c r="C4654">
        <v>220</v>
      </c>
      <c r="D4654">
        <v>220</v>
      </c>
      <c r="E4654">
        <v>0.55064000000000002</v>
      </c>
      <c r="F4654">
        <v>1.8161</v>
      </c>
      <c r="G4654">
        <v>713.73</v>
      </c>
      <c r="H4654">
        <v>1.2974000000000001</v>
      </c>
    </row>
    <row r="4655" spans="2:8" x14ac:dyDescent="0.25">
      <c r="B4655">
        <v>1.302</v>
      </c>
      <c r="C4655">
        <v>225</v>
      </c>
      <c r="D4655">
        <v>220</v>
      </c>
      <c r="E4655">
        <v>0.54551000000000005</v>
      </c>
      <c r="F4655">
        <v>1.8331999999999999</v>
      </c>
      <c r="G4655">
        <v>716.84</v>
      </c>
      <c r="H4655">
        <v>1.302</v>
      </c>
    </row>
    <row r="4656" spans="2:8" x14ac:dyDescent="0.25">
      <c r="B4656">
        <v>1.3065</v>
      </c>
      <c r="C4656">
        <v>230</v>
      </c>
      <c r="D4656">
        <v>220</v>
      </c>
      <c r="E4656">
        <v>0.54049999999999998</v>
      </c>
      <c r="F4656">
        <v>1.8502000000000001</v>
      </c>
      <c r="G4656">
        <v>719.93</v>
      </c>
      <c r="H4656">
        <v>1.3065</v>
      </c>
    </row>
    <row r="4657" spans="2:8" x14ac:dyDescent="0.25">
      <c r="B4657">
        <v>1.3109</v>
      </c>
      <c r="C4657">
        <v>235</v>
      </c>
      <c r="D4657">
        <v>220</v>
      </c>
      <c r="E4657">
        <v>0.53559999999999997</v>
      </c>
      <c r="F4657">
        <v>1.8671</v>
      </c>
      <c r="G4657">
        <v>723.01</v>
      </c>
      <c r="H4657">
        <v>1.3109</v>
      </c>
    </row>
    <row r="4658" spans="2:8" x14ac:dyDescent="0.25">
      <c r="B4658">
        <v>1.3153999999999999</v>
      </c>
      <c r="C4658">
        <v>240</v>
      </c>
      <c r="D4658">
        <v>220</v>
      </c>
      <c r="E4658">
        <v>0.53081999999999996</v>
      </c>
      <c r="F4658">
        <v>1.8838999999999999</v>
      </c>
      <c r="G4658">
        <v>726.09</v>
      </c>
      <c r="H4658">
        <v>1.3153999999999999</v>
      </c>
    </row>
    <row r="4659" spans="2:8" x14ac:dyDescent="0.25">
      <c r="B4659">
        <v>1.3197000000000001</v>
      </c>
      <c r="C4659">
        <v>245</v>
      </c>
      <c r="D4659">
        <v>220</v>
      </c>
      <c r="E4659">
        <v>0.52614000000000005</v>
      </c>
      <c r="F4659">
        <v>1.9006000000000001</v>
      </c>
      <c r="G4659">
        <v>729.16</v>
      </c>
      <c r="H4659">
        <v>1.3197000000000001</v>
      </c>
    </row>
    <row r="4660" spans="2:8" x14ac:dyDescent="0.25">
      <c r="B4660">
        <v>1.3241000000000001</v>
      </c>
      <c r="C4660">
        <v>250</v>
      </c>
      <c r="D4660">
        <v>220</v>
      </c>
      <c r="E4660">
        <v>0.52156999999999998</v>
      </c>
      <c r="F4660">
        <v>1.9173</v>
      </c>
      <c r="G4660">
        <v>732.22</v>
      </c>
      <c r="H4660">
        <v>1.3241000000000001</v>
      </c>
    </row>
    <row r="4661" spans="2:8" x14ac:dyDescent="0.25">
      <c r="B4661">
        <v>1.3283</v>
      </c>
      <c r="C4661">
        <v>255</v>
      </c>
      <c r="D4661">
        <v>220</v>
      </c>
      <c r="E4661">
        <v>0.51709000000000005</v>
      </c>
      <c r="F4661">
        <v>1.9339</v>
      </c>
      <c r="G4661">
        <v>735.27</v>
      </c>
      <c r="H4661">
        <v>1.3283</v>
      </c>
    </row>
    <row r="4662" spans="2:8" x14ac:dyDescent="0.25">
      <c r="B4662">
        <v>1.3326</v>
      </c>
      <c r="C4662">
        <v>260</v>
      </c>
      <c r="D4662">
        <v>220</v>
      </c>
      <c r="E4662">
        <v>0.51270000000000004</v>
      </c>
      <c r="F4662">
        <v>1.9503999999999999</v>
      </c>
      <c r="G4662">
        <v>738.32</v>
      </c>
      <c r="H4662">
        <v>1.3326</v>
      </c>
    </row>
    <row r="4663" spans="2:8" x14ac:dyDescent="0.25">
      <c r="B4663">
        <v>1.3368</v>
      </c>
      <c r="C4663">
        <v>265</v>
      </c>
      <c r="D4663">
        <v>220</v>
      </c>
      <c r="E4663">
        <v>0.50841000000000003</v>
      </c>
      <c r="F4663">
        <v>1.9669000000000001</v>
      </c>
      <c r="G4663">
        <v>741.36</v>
      </c>
      <c r="H4663">
        <v>1.3368</v>
      </c>
    </row>
    <row r="4664" spans="2:8" x14ac:dyDescent="0.25">
      <c r="B4664">
        <v>1.341</v>
      </c>
      <c r="C4664">
        <v>270</v>
      </c>
      <c r="D4664">
        <v>220</v>
      </c>
      <c r="E4664">
        <v>0.50421000000000005</v>
      </c>
      <c r="F4664">
        <v>1.9833000000000001</v>
      </c>
      <c r="G4664">
        <v>744.4</v>
      </c>
      <c r="H4664">
        <v>1.341</v>
      </c>
    </row>
    <row r="4665" spans="2:8" x14ac:dyDescent="0.25">
      <c r="B4665">
        <v>1.3451</v>
      </c>
      <c r="C4665">
        <v>275</v>
      </c>
      <c r="D4665">
        <v>220</v>
      </c>
      <c r="E4665">
        <v>0.50007999999999997</v>
      </c>
      <c r="F4665">
        <v>1.9997</v>
      </c>
      <c r="G4665">
        <v>747.43</v>
      </c>
      <c r="H4665">
        <v>1.3451</v>
      </c>
    </row>
    <row r="4666" spans="2:8" x14ac:dyDescent="0.25">
      <c r="B4666">
        <v>1.3492</v>
      </c>
      <c r="C4666">
        <v>280</v>
      </c>
      <c r="D4666">
        <v>220</v>
      </c>
      <c r="E4666">
        <v>0.49603999999999998</v>
      </c>
      <c r="F4666">
        <v>2.016</v>
      </c>
      <c r="G4666">
        <v>750.46</v>
      </c>
      <c r="H4666">
        <v>1.3492</v>
      </c>
    </row>
    <row r="4667" spans="2:8" x14ac:dyDescent="0.25">
      <c r="B4667">
        <v>1.3532999999999999</v>
      </c>
      <c r="C4667">
        <v>285</v>
      </c>
      <c r="D4667">
        <v>220</v>
      </c>
      <c r="E4667">
        <v>0.49208000000000002</v>
      </c>
      <c r="F4667">
        <v>2.0322</v>
      </c>
      <c r="G4667">
        <v>753.49</v>
      </c>
      <c r="H4667">
        <v>1.3532999999999999</v>
      </c>
    </row>
    <row r="4668" spans="2:8" x14ac:dyDescent="0.25">
      <c r="B4668">
        <v>1.3573999999999999</v>
      </c>
      <c r="C4668">
        <v>290</v>
      </c>
      <c r="D4668">
        <v>220</v>
      </c>
      <c r="E4668">
        <v>0.48819000000000001</v>
      </c>
      <c r="F4668">
        <v>2.0484</v>
      </c>
      <c r="G4668">
        <v>756.52</v>
      </c>
      <c r="H4668">
        <v>1.3573999999999999</v>
      </c>
    </row>
    <row r="4669" spans="2:8" x14ac:dyDescent="0.25">
      <c r="B4669">
        <v>1.3613999999999999</v>
      </c>
      <c r="C4669">
        <v>295</v>
      </c>
      <c r="D4669">
        <v>220</v>
      </c>
      <c r="E4669">
        <v>0.48437999999999998</v>
      </c>
      <c r="F4669">
        <v>2.0644999999999998</v>
      </c>
      <c r="G4669">
        <v>759.54</v>
      </c>
      <c r="H4669">
        <v>1.3613999999999999</v>
      </c>
    </row>
    <row r="4670" spans="2:8" x14ac:dyDescent="0.25">
      <c r="B4670">
        <v>1.3653999999999999</v>
      </c>
      <c r="C4670">
        <v>300</v>
      </c>
      <c r="D4670">
        <v>220</v>
      </c>
      <c r="E4670">
        <v>0.48063</v>
      </c>
      <c r="F4670">
        <v>2.0806</v>
      </c>
      <c r="G4670">
        <v>762.56</v>
      </c>
      <c r="H4670">
        <v>1.3653999999999999</v>
      </c>
    </row>
    <row r="4671" spans="2:8" x14ac:dyDescent="0.25">
      <c r="B4671">
        <v>1.3693</v>
      </c>
      <c r="C4671">
        <v>305</v>
      </c>
      <c r="D4671">
        <v>220</v>
      </c>
      <c r="E4671">
        <v>0.47696</v>
      </c>
      <c r="F4671">
        <v>2.0966</v>
      </c>
      <c r="G4671">
        <v>765.58</v>
      </c>
      <c r="H4671">
        <v>1.3693</v>
      </c>
    </row>
    <row r="4672" spans="2:8" x14ac:dyDescent="0.25">
      <c r="B4672">
        <v>1.3733</v>
      </c>
      <c r="C4672">
        <v>310</v>
      </c>
      <c r="D4672">
        <v>220</v>
      </c>
      <c r="E4672">
        <v>0.47333999999999998</v>
      </c>
      <c r="F4672">
        <v>2.1126</v>
      </c>
      <c r="G4672">
        <v>768.6</v>
      </c>
      <c r="H4672">
        <v>1.3733</v>
      </c>
    </row>
    <row r="4673" spans="1:8" x14ac:dyDescent="0.25">
      <c r="B4673">
        <v>1.3772</v>
      </c>
      <c r="C4673">
        <v>315</v>
      </c>
      <c r="D4673">
        <v>220</v>
      </c>
      <c r="E4673">
        <v>0.4698</v>
      </c>
      <c r="F4673">
        <v>2.1286</v>
      </c>
      <c r="G4673">
        <v>771.62</v>
      </c>
      <c r="H4673">
        <v>1.3772</v>
      </c>
    </row>
    <row r="4674" spans="1:8" x14ac:dyDescent="0.25">
      <c r="B4674">
        <v>1.3811</v>
      </c>
      <c r="C4674">
        <v>320</v>
      </c>
      <c r="D4674">
        <v>220</v>
      </c>
      <c r="E4674">
        <v>0.46631</v>
      </c>
      <c r="F4674">
        <v>2.1444999999999999</v>
      </c>
      <c r="G4674">
        <v>774.64</v>
      </c>
      <c r="H4674">
        <v>1.3811</v>
      </c>
    </row>
    <row r="4675" spans="1:8" x14ac:dyDescent="0.25">
      <c r="B4675">
        <v>1.3849</v>
      </c>
      <c r="C4675">
        <v>325</v>
      </c>
      <c r="D4675">
        <v>220</v>
      </c>
      <c r="E4675">
        <v>0.46289000000000002</v>
      </c>
      <c r="F4675">
        <v>2.1604000000000001</v>
      </c>
      <c r="G4675">
        <v>777.66</v>
      </c>
      <c r="H4675">
        <v>1.3849</v>
      </c>
    </row>
    <row r="4676" spans="1:8" x14ac:dyDescent="0.25">
      <c r="B4676">
        <v>1.3888</v>
      </c>
      <c r="C4676">
        <v>330</v>
      </c>
      <c r="D4676">
        <v>220</v>
      </c>
      <c r="E4676">
        <v>0.45951999999999998</v>
      </c>
      <c r="F4676">
        <v>2.1762000000000001</v>
      </c>
      <c r="G4676">
        <v>780.68</v>
      </c>
      <c r="H4676">
        <v>1.3888</v>
      </c>
    </row>
    <row r="4677" spans="1:8" x14ac:dyDescent="0.25">
      <c r="B4677">
        <v>1.3926000000000001</v>
      </c>
      <c r="C4677">
        <v>335</v>
      </c>
      <c r="D4677">
        <v>220</v>
      </c>
      <c r="E4677">
        <v>0.45621</v>
      </c>
      <c r="F4677">
        <v>2.1920000000000002</v>
      </c>
      <c r="G4677">
        <v>783.7</v>
      </c>
      <c r="H4677">
        <v>1.3926000000000001</v>
      </c>
    </row>
    <row r="4678" spans="1:8" x14ac:dyDescent="0.25">
      <c r="B4678">
        <v>1.3964000000000001</v>
      </c>
      <c r="C4678">
        <v>340</v>
      </c>
      <c r="D4678">
        <v>220</v>
      </c>
      <c r="E4678">
        <v>0.45295000000000002</v>
      </c>
      <c r="F4678">
        <v>2.2078000000000002</v>
      </c>
      <c r="G4678">
        <v>786.72</v>
      </c>
      <c r="H4678">
        <v>1.3964000000000001</v>
      </c>
    </row>
    <row r="4679" spans="1:8" x14ac:dyDescent="0.25">
      <c r="B4679">
        <v>1.4000999999999999</v>
      </c>
      <c r="C4679">
        <v>345</v>
      </c>
      <c r="D4679">
        <v>220</v>
      </c>
      <c r="E4679">
        <v>0.44973999999999997</v>
      </c>
      <c r="F4679">
        <v>2.2235</v>
      </c>
      <c r="G4679">
        <v>789.74</v>
      </c>
      <c r="H4679">
        <v>1.4000999999999999</v>
      </c>
    </row>
    <row r="4680" spans="1:8" x14ac:dyDescent="0.25">
      <c r="B4680">
        <v>1.4038999999999999</v>
      </c>
      <c r="C4680">
        <v>350</v>
      </c>
      <c r="D4680">
        <v>220</v>
      </c>
      <c r="E4680">
        <v>0.44658999999999999</v>
      </c>
      <c r="F4680">
        <v>2.2391999999999999</v>
      </c>
      <c r="G4680">
        <v>792.77</v>
      </c>
      <c r="H4680">
        <v>1.4038999999999999</v>
      </c>
    </row>
    <row r="4682" spans="1:8" x14ac:dyDescent="0.25">
      <c r="A4682">
        <v>225</v>
      </c>
      <c r="B4682">
        <v>9.6199999999999994E-2</v>
      </c>
      <c r="C4682">
        <v>0</v>
      </c>
      <c r="D4682">
        <v>225</v>
      </c>
      <c r="E4682">
        <v>41.392000000000003</v>
      </c>
      <c r="F4682">
        <v>2.4159E-2</v>
      </c>
      <c r="G4682">
        <v>43.215000000000003</v>
      </c>
      <c r="H4682">
        <v>9.6199999999999994E-2</v>
      </c>
    </row>
    <row r="4683" spans="1:8" x14ac:dyDescent="0.25">
      <c r="B4683">
        <v>0.1079</v>
      </c>
      <c r="C4683">
        <v>5</v>
      </c>
      <c r="D4683">
        <v>225</v>
      </c>
      <c r="E4683">
        <v>41.167000000000002</v>
      </c>
      <c r="F4683">
        <v>2.4291E-2</v>
      </c>
      <c r="G4683">
        <v>48.621000000000002</v>
      </c>
      <c r="H4683">
        <v>0.1079</v>
      </c>
    </row>
    <row r="4684" spans="1:8" x14ac:dyDescent="0.25">
      <c r="B4684">
        <v>0.11951000000000001</v>
      </c>
      <c r="C4684">
        <v>10</v>
      </c>
      <c r="D4684">
        <v>225</v>
      </c>
      <c r="E4684">
        <v>40.939</v>
      </c>
      <c r="F4684">
        <v>2.4426E-2</v>
      </c>
      <c r="G4684">
        <v>54.043999999999997</v>
      </c>
      <c r="H4684">
        <v>0.11951000000000001</v>
      </c>
    </row>
    <row r="4685" spans="1:8" x14ac:dyDescent="0.25">
      <c r="B4685">
        <v>0.13103000000000001</v>
      </c>
      <c r="C4685">
        <v>15</v>
      </c>
      <c r="D4685">
        <v>225</v>
      </c>
      <c r="E4685">
        <v>40.71</v>
      </c>
      <c r="F4685">
        <v>2.4563999999999999E-2</v>
      </c>
      <c r="G4685">
        <v>59.484000000000002</v>
      </c>
      <c r="H4685">
        <v>0.13103000000000001</v>
      </c>
    </row>
    <row r="4686" spans="1:8" x14ac:dyDescent="0.25">
      <c r="B4686">
        <v>0.14246</v>
      </c>
      <c r="C4686">
        <v>20</v>
      </c>
      <c r="D4686">
        <v>225</v>
      </c>
      <c r="E4686">
        <v>40.478000000000002</v>
      </c>
      <c r="F4686">
        <v>2.4704E-2</v>
      </c>
      <c r="G4686">
        <v>64.94</v>
      </c>
      <c r="H4686">
        <v>0.14246</v>
      </c>
    </row>
    <row r="4687" spans="1:8" x14ac:dyDescent="0.25">
      <c r="B4687">
        <v>0.15381</v>
      </c>
      <c r="C4687">
        <v>25</v>
      </c>
      <c r="D4687">
        <v>225</v>
      </c>
      <c r="E4687">
        <v>40.244999999999997</v>
      </c>
      <c r="F4687">
        <v>2.4847999999999999E-2</v>
      </c>
      <c r="G4687">
        <v>70.412999999999997</v>
      </c>
      <c r="H4687">
        <v>0.15381</v>
      </c>
    </row>
    <row r="4688" spans="1:8" x14ac:dyDescent="0.25">
      <c r="B4688">
        <v>0.16508</v>
      </c>
      <c r="C4688">
        <v>30</v>
      </c>
      <c r="D4688">
        <v>225</v>
      </c>
      <c r="E4688">
        <v>40.009</v>
      </c>
      <c r="F4688">
        <v>2.4993999999999999E-2</v>
      </c>
      <c r="G4688">
        <v>75.903999999999996</v>
      </c>
      <c r="H4688">
        <v>0.16508</v>
      </c>
    </row>
    <row r="4689" spans="2:8" x14ac:dyDescent="0.25">
      <c r="B4689">
        <v>0.17627999999999999</v>
      </c>
      <c r="C4689">
        <v>35</v>
      </c>
      <c r="D4689">
        <v>225</v>
      </c>
      <c r="E4689">
        <v>39.771000000000001</v>
      </c>
      <c r="F4689">
        <v>2.5144E-2</v>
      </c>
      <c r="G4689">
        <v>81.412999999999997</v>
      </c>
      <c r="H4689">
        <v>0.17627999999999999</v>
      </c>
    </row>
    <row r="4690" spans="2:8" x14ac:dyDescent="0.25">
      <c r="B4690">
        <v>0.18740000000000001</v>
      </c>
      <c r="C4690">
        <v>40</v>
      </c>
      <c r="D4690">
        <v>225</v>
      </c>
      <c r="E4690">
        <v>39.53</v>
      </c>
      <c r="F4690">
        <v>2.5297E-2</v>
      </c>
      <c r="G4690">
        <v>86.941000000000003</v>
      </c>
      <c r="H4690">
        <v>0.18740000000000001</v>
      </c>
    </row>
    <row r="4691" spans="2:8" x14ac:dyDescent="0.25">
      <c r="B4691">
        <v>0.19844000000000001</v>
      </c>
      <c r="C4691">
        <v>45</v>
      </c>
      <c r="D4691">
        <v>225</v>
      </c>
      <c r="E4691">
        <v>39.286999999999999</v>
      </c>
      <c r="F4691">
        <v>2.5454000000000001E-2</v>
      </c>
      <c r="G4691">
        <v>92.488</v>
      </c>
      <c r="H4691">
        <v>0.19844000000000001</v>
      </c>
    </row>
    <row r="4692" spans="2:8" x14ac:dyDescent="0.25">
      <c r="B4692">
        <v>0.20942</v>
      </c>
      <c r="C4692">
        <v>50</v>
      </c>
      <c r="D4692">
        <v>225</v>
      </c>
      <c r="E4692">
        <v>39.040999999999997</v>
      </c>
      <c r="F4692">
        <v>2.5614000000000001E-2</v>
      </c>
      <c r="G4692">
        <v>98.055000000000007</v>
      </c>
      <c r="H4692">
        <v>0.20942</v>
      </c>
    </row>
    <row r="4693" spans="2:8" x14ac:dyDescent="0.25">
      <c r="B4693">
        <v>0.22033</v>
      </c>
      <c r="C4693">
        <v>55</v>
      </c>
      <c r="D4693">
        <v>225</v>
      </c>
      <c r="E4693">
        <v>38.792000000000002</v>
      </c>
      <c r="F4693">
        <v>2.5777999999999999E-2</v>
      </c>
      <c r="G4693">
        <v>103.64</v>
      </c>
      <c r="H4693">
        <v>0.22033</v>
      </c>
    </row>
    <row r="4694" spans="2:8" x14ac:dyDescent="0.25">
      <c r="B4694">
        <v>0.23118</v>
      </c>
      <c r="C4694">
        <v>60</v>
      </c>
      <c r="D4694">
        <v>225</v>
      </c>
      <c r="E4694">
        <v>38.540999999999997</v>
      </c>
      <c r="F4694">
        <v>2.5947000000000001E-2</v>
      </c>
      <c r="G4694">
        <v>109.25</v>
      </c>
      <c r="H4694">
        <v>0.23118</v>
      </c>
    </row>
    <row r="4695" spans="2:8" x14ac:dyDescent="0.25">
      <c r="B4695">
        <v>0.24196999999999999</v>
      </c>
      <c r="C4695">
        <v>65</v>
      </c>
      <c r="D4695">
        <v>225</v>
      </c>
      <c r="E4695">
        <v>38.286000000000001</v>
      </c>
      <c r="F4695">
        <v>2.6119E-2</v>
      </c>
      <c r="G4695">
        <v>114.89</v>
      </c>
      <c r="H4695">
        <v>0.24196999999999999</v>
      </c>
    </row>
    <row r="4696" spans="2:8" x14ac:dyDescent="0.25">
      <c r="B4696">
        <v>0.25269999999999998</v>
      </c>
      <c r="C4696">
        <v>70</v>
      </c>
      <c r="D4696">
        <v>225</v>
      </c>
      <c r="E4696">
        <v>38.027999999999999</v>
      </c>
      <c r="F4696">
        <v>2.6296E-2</v>
      </c>
      <c r="G4696">
        <v>120.55</v>
      </c>
      <c r="H4696">
        <v>0.25269999999999998</v>
      </c>
    </row>
    <row r="4697" spans="2:8" x14ac:dyDescent="0.25">
      <c r="B4697">
        <v>0.26338</v>
      </c>
      <c r="C4697">
        <v>75</v>
      </c>
      <c r="D4697">
        <v>225</v>
      </c>
      <c r="E4697">
        <v>37.767000000000003</v>
      </c>
      <c r="F4697">
        <v>2.6478000000000002E-2</v>
      </c>
      <c r="G4697">
        <v>126.23</v>
      </c>
      <c r="H4697">
        <v>0.26338</v>
      </c>
    </row>
    <row r="4698" spans="2:8" x14ac:dyDescent="0.25">
      <c r="B4698">
        <v>0.27401999999999999</v>
      </c>
      <c r="C4698">
        <v>80</v>
      </c>
      <c r="D4698">
        <v>225</v>
      </c>
      <c r="E4698">
        <v>37.502000000000002</v>
      </c>
      <c r="F4698">
        <v>2.6665000000000001E-2</v>
      </c>
      <c r="G4698">
        <v>131.94</v>
      </c>
      <c r="H4698">
        <v>0.27401999999999999</v>
      </c>
    </row>
    <row r="4699" spans="2:8" x14ac:dyDescent="0.25">
      <c r="B4699">
        <v>0.28460999999999997</v>
      </c>
      <c r="C4699">
        <v>85</v>
      </c>
      <c r="D4699">
        <v>225</v>
      </c>
      <c r="E4699">
        <v>37.234000000000002</v>
      </c>
      <c r="F4699">
        <v>2.6856999999999999E-2</v>
      </c>
      <c r="G4699">
        <v>137.68</v>
      </c>
      <c r="H4699">
        <v>0.28460999999999997</v>
      </c>
    </row>
    <row r="4700" spans="2:8" x14ac:dyDescent="0.25">
      <c r="B4700">
        <v>0.29515999999999998</v>
      </c>
      <c r="C4700">
        <v>90</v>
      </c>
      <c r="D4700">
        <v>225</v>
      </c>
      <c r="E4700">
        <v>36.960999999999999</v>
      </c>
      <c r="F4700">
        <v>2.7056E-2</v>
      </c>
      <c r="G4700">
        <v>143.46</v>
      </c>
      <c r="H4700">
        <v>0.29515999999999998</v>
      </c>
    </row>
    <row r="4701" spans="2:8" x14ac:dyDescent="0.25">
      <c r="B4701">
        <v>0.30567</v>
      </c>
      <c r="C4701">
        <v>95</v>
      </c>
      <c r="D4701">
        <v>225</v>
      </c>
      <c r="E4701">
        <v>36.683999999999997</v>
      </c>
      <c r="F4701">
        <v>2.726E-2</v>
      </c>
      <c r="G4701">
        <v>149.26</v>
      </c>
      <c r="H4701">
        <v>0.30567</v>
      </c>
    </row>
    <row r="4702" spans="2:8" x14ac:dyDescent="0.25">
      <c r="B4702">
        <v>0.31616</v>
      </c>
      <c r="C4702">
        <v>100</v>
      </c>
      <c r="D4702">
        <v>225</v>
      </c>
      <c r="E4702">
        <v>36.402000000000001</v>
      </c>
      <c r="F4702">
        <v>2.7470999999999999E-2</v>
      </c>
      <c r="G4702">
        <v>155.11000000000001</v>
      </c>
      <c r="H4702">
        <v>0.31616</v>
      </c>
    </row>
    <row r="4703" spans="2:8" x14ac:dyDescent="0.25">
      <c r="B4703">
        <v>1.1655</v>
      </c>
      <c r="C4703">
        <v>105</v>
      </c>
      <c r="D4703">
        <v>225</v>
      </c>
      <c r="E4703">
        <v>0.74629999999999996</v>
      </c>
      <c r="F4703">
        <v>1.3399000000000001</v>
      </c>
      <c r="G4703">
        <v>633.69000000000005</v>
      </c>
      <c r="H4703">
        <v>1.1655</v>
      </c>
    </row>
    <row r="4704" spans="2:8" x14ac:dyDescent="0.25">
      <c r="B4704">
        <v>1.1727000000000001</v>
      </c>
      <c r="C4704">
        <v>110</v>
      </c>
      <c r="D4704">
        <v>225</v>
      </c>
      <c r="E4704">
        <v>0.73416000000000003</v>
      </c>
      <c r="F4704">
        <v>1.3621000000000001</v>
      </c>
      <c r="G4704">
        <v>637.79999999999995</v>
      </c>
      <c r="H4704">
        <v>1.1727000000000001</v>
      </c>
    </row>
    <row r="4705" spans="2:8" x14ac:dyDescent="0.25">
      <c r="B4705">
        <v>1.1797</v>
      </c>
      <c r="C4705">
        <v>115</v>
      </c>
      <c r="D4705">
        <v>225</v>
      </c>
      <c r="E4705">
        <v>0.72267999999999999</v>
      </c>
      <c r="F4705">
        <v>1.3836999999999999</v>
      </c>
      <c r="G4705">
        <v>641.79</v>
      </c>
      <c r="H4705">
        <v>1.1797</v>
      </c>
    </row>
    <row r="4706" spans="2:8" x14ac:dyDescent="0.25">
      <c r="B4706">
        <v>1.1865000000000001</v>
      </c>
      <c r="C4706">
        <v>120</v>
      </c>
      <c r="D4706">
        <v>225</v>
      </c>
      <c r="E4706">
        <v>0.71179999999999999</v>
      </c>
      <c r="F4706">
        <v>1.4049</v>
      </c>
      <c r="G4706">
        <v>645.69000000000005</v>
      </c>
      <c r="H4706">
        <v>1.1865000000000001</v>
      </c>
    </row>
    <row r="4707" spans="2:8" x14ac:dyDescent="0.25">
      <c r="B4707">
        <v>1.1930000000000001</v>
      </c>
      <c r="C4707">
        <v>125</v>
      </c>
      <c r="D4707">
        <v>225</v>
      </c>
      <c r="E4707">
        <v>0.70145000000000002</v>
      </c>
      <c r="F4707">
        <v>1.4256</v>
      </c>
      <c r="G4707">
        <v>649.5</v>
      </c>
      <c r="H4707">
        <v>1.1930000000000001</v>
      </c>
    </row>
    <row r="4708" spans="2:8" x14ac:dyDescent="0.25">
      <c r="B4708">
        <v>1.1994</v>
      </c>
      <c r="C4708">
        <v>130</v>
      </c>
      <c r="D4708">
        <v>225</v>
      </c>
      <c r="E4708">
        <v>0.69157999999999997</v>
      </c>
      <c r="F4708">
        <v>1.446</v>
      </c>
      <c r="G4708">
        <v>653.24</v>
      </c>
      <c r="H4708">
        <v>1.1994</v>
      </c>
    </row>
    <row r="4709" spans="2:8" x14ac:dyDescent="0.25">
      <c r="B4709">
        <v>1.2056</v>
      </c>
      <c r="C4709">
        <v>135</v>
      </c>
      <c r="D4709">
        <v>225</v>
      </c>
      <c r="E4709">
        <v>0.68213999999999997</v>
      </c>
      <c r="F4709">
        <v>1.466</v>
      </c>
      <c r="G4709">
        <v>656.91</v>
      </c>
      <c r="H4709">
        <v>1.2056</v>
      </c>
    </row>
    <row r="4710" spans="2:8" x14ac:dyDescent="0.25">
      <c r="B4710">
        <v>1.2116</v>
      </c>
      <c r="C4710">
        <v>140</v>
      </c>
      <c r="D4710">
        <v>225</v>
      </c>
      <c r="E4710">
        <v>0.67310000000000003</v>
      </c>
      <c r="F4710">
        <v>1.4857</v>
      </c>
      <c r="G4710">
        <v>660.51</v>
      </c>
      <c r="H4710">
        <v>1.2116</v>
      </c>
    </row>
    <row r="4711" spans="2:8" x14ac:dyDescent="0.25">
      <c r="B4711">
        <v>1.2175</v>
      </c>
      <c r="C4711">
        <v>145</v>
      </c>
      <c r="D4711">
        <v>225</v>
      </c>
      <c r="E4711">
        <v>0.66442999999999997</v>
      </c>
      <c r="F4711">
        <v>1.5049999999999999</v>
      </c>
      <c r="G4711">
        <v>664.06</v>
      </c>
      <c r="H4711">
        <v>1.2175</v>
      </c>
    </row>
    <row r="4712" spans="2:8" x14ac:dyDescent="0.25">
      <c r="B4712">
        <v>1.2233000000000001</v>
      </c>
      <c r="C4712">
        <v>150</v>
      </c>
      <c r="D4712">
        <v>225</v>
      </c>
      <c r="E4712">
        <v>0.65608999999999995</v>
      </c>
      <c r="F4712">
        <v>1.5242</v>
      </c>
      <c r="G4712">
        <v>667.57</v>
      </c>
      <c r="H4712">
        <v>1.2233000000000001</v>
      </c>
    </row>
    <row r="4713" spans="2:8" x14ac:dyDescent="0.25">
      <c r="B4713">
        <v>1.2289000000000001</v>
      </c>
      <c r="C4713">
        <v>155</v>
      </c>
      <c r="D4713">
        <v>225</v>
      </c>
      <c r="E4713">
        <v>0.64805999999999997</v>
      </c>
      <c r="F4713">
        <v>1.5430999999999999</v>
      </c>
      <c r="G4713">
        <v>671.02</v>
      </c>
      <c r="H4713">
        <v>1.2289000000000001</v>
      </c>
    </row>
    <row r="4714" spans="2:8" x14ac:dyDescent="0.25">
      <c r="B4714">
        <v>1.2344999999999999</v>
      </c>
      <c r="C4714">
        <v>160</v>
      </c>
      <c r="D4714">
        <v>225</v>
      </c>
      <c r="E4714">
        <v>0.64032</v>
      </c>
      <c r="F4714">
        <v>1.5617000000000001</v>
      </c>
      <c r="G4714">
        <v>674.44</v>
      </c>
      <c r="H4714">
        <v>1.2344999999999999</v>
      </c>
    </row>
    <row r="4715" spans="2:8" x14ac:dyDescent="0.25">
      <c r="B4715">
        <v>1.2399</v>
      </c>
      <c r="C4715">
        <v>165</v>
      </c>
      <c r="D4715">
        <v>225</v>
      </c>
      <c r="E4715">
        <v>0.63285000000000002</v>
      </c>
      <c r="F4715">
        <v>1.5802</v>
      </c>
      <c r="G4715">
        <v>677.81</v>
      </c>
      <c r="H4715">
        <v>1.2399</v>
      </c>
    </row>
    <row r="4716" spans="2:8" x14ac:dyDescent="0.25">
      <c r="B4716">
        <v>1.2452000000000001</v>
      </c>
      <c r="C4716">
        <v>170</v>
      </c>
      <c r="D4716">
        <v>225</v>
      </c>
      <c r="E4716">
        <v>0.62561999999999995</v>
      </c>
      <c r="F4716">
        <v>1.5984</v>
      </c>
      <c r="G4716">
        <v>681.16</v>
      </c>
      <c r="H4716">
        <v>1.2452000000000001</v>
      </c>
    </row>
    <row r="4717" spans="2:8" x14ac:dyDescent="0.25">
      <c r="B4717">
        <v>1.2504999999999999</v>
      </c>
      <c r="C4717">
        <v>175</v>
      </c>
      <c r="D4717">
        <v>225</v>
      </c>
      <c r="E4717">
        <v>0.61863000000000001</v>
      </c>
      <c r="F4717">
        <v>1.6165</v>
      </c>
      <c r="G4717">
        <v>684.47</v>
      </c>
      <c r="H4717">
        <v>1.2504999999999999</v>
      </c>
    </row>
    <row r="4718" spans="2:8" x14ac:dyDescent="0.25">
      <c r="B4718">
        <v>1.2556</v>
      </c>
      <c r="C4718">
        <v>180</v>
      </c>
      <c r="D4718">
        <v>225</v>
      </c>
      <c r="E4718">
        <v>0.61185</v>
      </c>
      <c r="F4718">
        <v>1.6344000000000001</v>
      </c>
      <c r="G4718">
        <v>687.75</v>
      </c>
      <c r="H4718">
        <v>1.2556</v>
      </c>
    </row>
    <row r="4719" spans="2:8" x14ac:dyDescent="0.25">
      <c r="B4719">
        <v>1.2606999999999999</v>
      </c>
      <c r="C4719">
        <v>185</v>
      </c>
      <c r="D4719">
        <v>225</v>
      </c>
      <c r="E4719">
        <v>0.60528000000000004</v>
      </c>
      <c r="F4719">
        <v>1.6520999999999999</v>
      </c>
      <c r="G4719">
        <v>691.01</v>
      </c>
      <c r="H4719">
        <v>1.2606999999999999</v>
      </c>
    </row>
    <row r="4720" spans="2:8" x14ac:dyDescent="0.25">
      <c r="B4720">
        <v>1.2657</v>
      </c>
      <c r="C4720">
        <v>190</v>
      </c>
      <c r="D4720">
        <v>225</v>
      </c>
      <c r="E4720">
        <v>0.59889999999999999</v>
      </c>
      <c r="F4720">
        <v>1.6697</v>
      </c>
      <c r="G4720">
        <v>694.24</v>
      </c>
      <c r="H4720">
        <v>1.2657</v>
      </c>
    </row>
    <row r="4721" spans="2:8" x14ac:dyDescent="0.25">
      <c r="B4721">
        <v>1.2706</v>
      </c>
      <c r="C4721">
        <v>195</v>
      </c>
      <c r="D4721">
        <v>225</v>
      </c>
      <c r="E4721">
        <v>0.59270999999999996</v>
      </c>
      <c r="F4721">
        <v>1.6872</v>
      </c>
      <c r="G4721">
        <v>697.46</v>
      </c>
      <c r="H4721">
        <v>1.2706</v>
      </c>
    </row>
    <row r="4722" spans="2:8" x14ac:dyDescent="0.25">
      <c r="B4722">
        <v>1.2755000000000001</v>
      </c>
      <c r="C4722">
        <v>200</v>
      </c>
      <c r="D4722">
        <v>225</v>
      </c>
      <c r="E4722">
        <v>0.58667999999999998</v>
      </c>
      <c r="F4722">
        <v>1.7044999999999999</v>
      </c>
      <c r="G4722">
        <v>700.65</v>
      </c>
      <c r="H4722">
        <v>1.2755000000000001</v>
      </c>
    </row>
    <row r="4723" spans="2:8" x14ac:dyDescent="0.25">
      <c r="B4723">
        <v>1.2803</v>
      </c>
      <c r="C4723">
        <v>205</v>
      </c>
      <c r="D4723">
        <v>225</v>
      </c>
      <c r="E4723">
        <v>0.58082</v>
      </c>
      <c r="F4723">
        <v>1.7217</v>
      </c>
      <c r="G4723">
        <v>703.82</v>
      </c>
      <c r="H4723">
        <v>1.2803</v>
      </c>
    </row>
    <row r="4724" spans="2:8" x14ac:dyDescent="0.25">
      <c r="B4724">
        <v>1.2849999999999999</v>
      </c>
      <c r="C4724">
        <v>210</v>
      </c>
      <c r="D4724">
        <v>225</v>
      </c>
      <c r="E4724">
        <v>0.57511000000000001</v>
      </c>
      <c r="F4724">
        <v>1.7387999999999999</v>
      </c>
      <c r="G4724">
        <v>706.98</v>
      </c>
      <c r="H4724">
        <v>1.2849999999999999</v>
      </c>
    </row>
    <row r="4725" spans="2:8" x14ac:dyDescent="0.25">
      <c r="B4725">
        <v>1.2897000000000001</v>
      </c>
      <c r="C4725">
        <v>215</v>
      </c>
      <c r="D4725">
        <v>225</v>
      </c>
      <c r="E4725">
        <v>0.56955</v>
      </c>
      <c r="F4725">
        <v>1.7558</v>
      </c>
      <c r="G4725">
        <v>710.12</v>
      </c>
      <c r="H4725">
        <v>1.2897000000000001</v>
      </c>
    </row>
    <row r="4726" spans="2:8" x14ac:dyDescent="0.25">
      <c r="B4726">
        <v>1.2943</v>
      </c>
      <c r="C4726">
        <v>220</v>
      </c>
      <c r="D4726">
        <v>225</v>
      </c>
      <c r="E4726">
        <v>0.56413000000000002</v>
      </c>
      <c r="F4726">
        <v>1.7726</v>
      </c>
      <c r="G4726">
        <v>713.25</v>
      </c>
      <c r="H4726">
        <v>1.2943</v>
      </c>
    </row>
    <row r="4727" spans="2:8" x14ac:dyDescent="0.25">
      <c r="B4727">
        <v>1.2988999999999999</v>
      </c>
      <c r="C4727">
        <v>225</v>
      </c>
      <c r="D4727">
        <v>225</v>
      </c>
      <c r="E4727">
        <v>0.55884</v>
      </c>
      <c r="F4727">
        <v>1.7894000000000001</v>
      </c>
      <c r="G4727">
        <v>716.37</v>
      </c>
      <c r="H4727">
        <v>1.2988999999999999</v>
      </c>
    </row>
    <row r="4728" spans="2:8" x14ac:dyDescent="0.25">
      <c r="B4728">
        <v>1.3033999999999999</v>
      </c>
      <c r="C4728">
        <v>230</v>
      </c>
      <c r="D4728">
        <v>225</v>
      </c>
      <c r="E4728">
        <v>0.55367999999999995</v>
      </c>
      <c r="F4728">
        <v>1.8061</v>
      </c>
      <c r="G4728">
        <v>719.48</v>
      </c>
      <c r="H4728">
        <v>1.3033999999999999</v>
      </c>
    </row>
    <row r="4729" spans="2:8" x14ac:dyDescent="0.25">
      <c r="B4729">
        <v>1.3079000000000001</v>
      </c>
      <c r="C4729">
        <v>235</v>
      </c>
      <c r="D4729">
        <v>225</v>
      </c>
      <c r="E4729">
        <v>0.54862999999999995</v>
      </c>
      <c r="F4729">
        <v>1.8227</v>
      </c>
      <c r="G4729">
        <v>722.57</v>
      </c>
      <c r="H4729">
        <v>1.3079000000000001</v>
      </c>
    </row>
    <row r="4730" spans="2:8" x14ac:dyDescent="0.25">
      <c r="B4730">
        <v>1.3123</v>
      </c>
      <c r="C4730">
        <v>240</v>
      </c>
      <c r="D4730">
        <v>225</v>
      </c>
      <c r="E4730">
        <v>0.54371000000000003</v>
      </c>
      <c r="F4730">
        <v>1.8391999999999999</v>
      </c>
      <c r="G4730">
        <v>725.66</v>
      </c>
      <c r="H4730">
        <v>1.3123</v>
      </c>
    </row>
    <row r="4731" spans="2:8" x14ac:dyDescent="0.25">
      <c r="B4731">
        <v>1.3167</v>
      </c>
      <c r="C4731">
        <v>245</v>
      </c>
      <c r="D4731">
        <v>225</v>
      </c>
      <c r="E4731">
        <v>0.53888999999999998</v>
      </c>
      <c r="F4731">
        <v>1.8556999999999999</v>
      </c>
      <c r="G4731">
        <v>728.74</v>
      </c>
      <c r="H4731">
        <v>1.3167</v>
      </c>
    </row>
    <row r="4732" spans="2:8" x14ac:dyDescent="0.25">
      <c r="B4732">
        <v>1.321</v>
      </c>
      <c r="C4732">
        <v>250</v>
      </c>
      <c r="D4732">
        <v>225</v>
      </c>
      <c r="E4732">
        <v>0.53417999999999999</v>
      </c>
      <c r="F4732">
        <v>1.8720000000000001</v>
      </c>
      <c r="G4732">
        <v>731.81</v>
      </c>
      <c r="H4732">
        <v>1.321</v>
      </c>
    </row>
    <row r="4733" spans="2:8" x14ac:dyDescent="0.25">
      <c r="B4733">
        <v>1.3252999999999999</v>
      </c>
      <c r="C4733">
        <v>255</v>
      </c>
      <c r="D4733">
        <v>225</v>
      </c>
      <c r="E4733">
        <v>0.52956999999999999</v>
      </c>
      <c r="F4733">
        <v>1.8883000000000001</v>
      </c>
      <c r="G4733">
        <v>734.87</v>
      </c>
      <c r="H4733">
        <v>1.3252999999999999</v>
      </c>
    </row>
    <row r="4734" spans="2:8" x14ac:dyDescent="0.25">
      <c r="B4734">
        <v>1.3295999999999999</v>
      </c>
      <c r="C4734">
        <v>260</v>
      </c>
      <c r="D4734">
        <v>225</v>
      </c>
      <c r="E4734">
        <v>0.52505999999999997</v>
      </c>
      <c r="F4734">
        <v>1.9045000000000001</v>
      </c>
      <c r="G4734">
        <v>737.92</v>
      </c>
      <c r="H4734">
        <v>1.3295999999999999</v>
      </c>
    </row>
    <row r="4735" spans="2:8" x14ac:dyDescent="0.25">
      <c r="B4735">
        <v>1.3338000000000001</v>
      </c>
      <c r="C4735">
        <v>265</v>
      </c>
      <c r="D4735">
        <v>225</v>
      </c>
      <c r="E4735">
        <v>0.52064999999999995</v>
      </c>
      <c r="F4735">
        <v>1.9207000000000001</v>
      </c>
      <c r="G4735">
        <v>740.98</v>
      </c>
      <c r="H4735">
        <v>1.3338000000000001</v>
      </c>
    </row>
    <row r="4736" spans="2:8" x14ac:dyDescent="0.25">
      <c r="B4736">
        <v>1.3380000000000001</v>
      </c>
      <c r="C4736">
        <v>270</v>
      </c>
      <c r="D4736">
        <v>225</v>
      </c>
      <c r="E4736">
        <v>0.51632</v>
      </c>
      <c r="F4736">
        <v>1.9368000000000001</v>
      </c>
      <c r="G4736">
        <v>744.02</v>
      </c>
      <c r="H4736">
        <v>1.3380000000000001</v>
      </c>
    </row>
    <row r="4737" spans="2:8" x14ac:dyDescent="0.25">
      <c r="B4737">
        <v>1.3421000000000001</v>
      </c>
      <c r="C4737">
        <v>275</v>
      </c>
      <c r="D4737">
        <v>225</v>
      </c>
      <c r="E4737">
        <v>0.51207999999999998</v>
      </c>
      <c r="F4737">
        <v>1.9528000000000001</v>
      </c>
      <c r="G4737">
        <v>747.06</v>
      </c>
      <c r="H4737">
        <v>1.3421000000000001</v>
      </c>
    </row>
    <row r="4738" spans="2:8" x14ac:dyDescent="0.25">
      <c r="B4738">
        <v>1.3463000000000001</v>
      </c>
      <c r="C4738">
        <v>280</v>
      </c>
      <c r="D4738">
        <v>225</v>
      </c>
      <c r="E4738">
        <v>0.50792999999999999</v>
      </c>
      <c r="F4738">
        <v>1.9688000000000001</v>
      </c>
      <c r="G4738">
        <v>750.1</v>
      </c>
      <c r="H4738">
        <v>1.3463000000000001</v>
      </c>
    </row>
    <row r="4739" spans="2:8" x14ac:dyDescent="0.25">
      <c r="B4739">
        <v>1.3503000000000001</v>
      </c>
      <c r="C4739">
        <v>285</v>
      </c>
      <c r="D4739">
        <v>225</v>
      </c>
      <c r="E4739">
        <v>0.50385000000000002</v>
      </c>
      <c r="F4739">
        <v>1.9846999999999999</v>
      </c>
      <c r="G4739">
        <v>753.14</v>
      </c>
      <c r="H4739">
        <v>1.3503000000000001</v>
      </c>
    </row>
    <row r="4740" spans="2:8" x14ac:dyDescent="0.25">
      <c r="B4740">
        <v>1.3544</v>
      </c>
      <c r="C4740">
        <v>290</v>
      </c>
      <c r="D4740">
        <v>225</v>
      </c>
      <c r="E4740">
        <v>0.49985000000000002</v>
      </c>
      <c r="F4740">
        <v>2.0005999999999999</v>
      </c>
      <c r="G4740">
        <v>756.17</v>
      </c>
      <c r="H4740">
        <v>1.3544</v>
      </c>
    </row>
    <row r="4741" spans="2:8" x14ac:dyDescent="0.25">
      <c r="B4741">
        <v>1.3584000000000001</v>
      </c>
      <c r="C4741">
        <v>295</v>
      </c>
      <c r="D4741">
        <v>225</v>
      </c>
      <c r="E4741">
        <v>0.49592999999999998</v>
      </c>
      <c r="F4741">
        <v>2.0164</v>
      </c>
      <c r="G4741">
        <v>759.2</v>
      </c>
      <c r="H4741">
        <v>1.3584000000000001</v>
      </c>
    </row>
    <row r="4742" spans="2:8" x14ac:dyDescent="0.25">
      <c r="B4742">
        <v>1.3624000000000001</v>
      </c>
      <c r="C4742">
        <v>300</v>
      </c>
      <c r="D4742">
        <v>225</v>
      </c>
      <c r="E4742">
        <v>0.49208000000000002</v>
      </c>
      <c r="F4742">
        <v>2.0322</v>
      </c>
      <c r="G4742">
        <v>762.23</v>
      </c>
      <c r="H4742">
        <v>1.3624000000000001</v>
      </c>
    </row>
    <row r="4743" spans="2:8" x14ac:dyDescent="0.25">
      <c r="B4743">
        <v>1.3664000000000001</v>
      </c>
      <c r="C4743">
        <v>305</v>
      </c>
      <c r="D4743">
        <v>225</v>
      </c>
      <c r="E4743">
        <v>0.48831000000000002</v>
      </c>
      <c r="F4743">
        <v>2.0478999999999998</v>
      </c>
      <c r="G4743">
        <v>765.26</v>
      </c>
      <c r="H4743">
        <v>1.3664000000000001</v>
      </c>
    </row>
    <row r="4744" spans="2:8" x14ac:dyDescent="0.25">
      <c r="B4744">
        <v>1.3703000000000001</v>
      </c>
      <c r="C4744">
        <v>310</v>
      </c>
      <c r="D4744">
        <v>225</v>
      </c>
      <c r="E4744">
        <v>0.48459000000000002</v>
      </c>
      <c r="F4744">
        <v>2.0636000000000001</v>
      </c>
      <c r="G4744">
        <v>768.28</v>
      </c>
      <c r="H4744">
        <v>1.3703000000000001</v>
      </c>
    </row>
    <row r="4745" spans="2:8" x14ac:dyDescent="0.25">
      <c r="B4745">
        <v>1.3743000000000001</v>
      </c>
      <c r="C4745">
        <v>315</v>
      </c>
      <c r="D4745">
        <v>225</v>
      </c>
      <c r="E4745">
        <v>0.48094999999999999</v>
      </c>
      <c r="F4745">
        <v>2.0792000000000002</v>
      </c>
      <c r="G4745">
        <v>771.31</v>
      </c>
      <c r="H4745">
        <v>1.3743000000000001</v>
      </c>
    </row>
    <row r="4746" spans="2:8" x14ac:dyDescent="0.25">
      <c r="B4746">
        <v>1.3782000000000001</v>
      </c>
      <c r="C4746">
        <v>320</v>
      </c>
      <c r="D4746">
        <v>225</v>
      </c>
      <c r="E4746">
        <v>0.47737000000000002</v>
      </c>
      <c r="F4746">
        <v>2.0948000000000002</v>
      </c>
      <c r="G4746">
        <v>774.33</v>
      </c>
      <c r="H4746">
        <v>1.3782000000000001</v>
      </c>
    </row>
    <row r="4747" spans="2:8" x14ac:dyDescent="0.25">
      <c r="B4747">
        <v>1.3819999999999999</v>
      </c>
      <c r="C4747">
        <v>325</v>
      </c>
      <c r="D4747">
        <v>225</v>
      </c>
      <c r="E4747">
        <v>0.47384999999999999</v>
      </c>
      <c r="F4747">
        <v>2.1103999999999998</v>
      </c>
      <c r="G4747">
        <v>777.36</v>
      </c>
      <c r="H4747">
        <v>1.3819999999999999</v>
      </c>
    </row>
    <row r="4748" spans="2:8" x14ac:dyDescent="0.25">
      <c r="B4748">
        <v>1.3858999999999999</v>
      </c>
      <c r="C4748">
        <v>330</v>
      </c>
      <c r="D4748">
        <v>225</v>
      </c>
      <c r="E4748">
        <v>0.47038999999999997</v>
      </c>
      <c r="F4748">
        <v>2.1259000000000001</v>
      </c>
      <c r="G4748">
        <v>780.38</v>
      </c>
      <c r="H4748">
        <v>1.3858999999999999</v>
      </c>
    </row>
    <row r="4749" spans="2:8" x14ac:dyDescent="0.25">
      <c r="B4749">
        <v>1.3896999999999999</v>
      </c>
      <c r="C4749">
        <v>335</v>
      </c>
      <c r="D4749">
        <v>225</v>
      </c>
      <c r="E4749">
        <v>0.46699000000000002</v>
      </c>
      <c r="F4749">
        <v>2.1414</v>
      </c>
      <c r="G4749">
        <v>783.41</v>
      </c>
      <c r="H4749">
        <v>1.3896999999999999</v>
      </c>
    </row>
    <row r="4750" spans="2:8" x14ac:dyDescent="0.25">
      <c r="B4750">
        <v>1.3935</v>
      </c>
      <c r="C4750">
        <v>340</v>
      </c>
      <c r="D4750">
        <v>225</v>
      </c>
      <c r="E4750">
        <v>0.46365000000000001</v>
      </c>
      <c r="F4750">
        <v>2.1568000000000001</v>
      </c>
      <c r="G4750">
        <v>786.43</v>
      </c>
      <c r="H4750">
        <v>1.3935</v>
      </c>
    </row>
    <row r="4751" spans="2:8" x14ac:dyDescent="0.25">
      <c r="B4751">
        <v>1.3973</v>
      </c>
      <c r="C4751">
        <v>345</v>
      </c>
      <c r="D4751">
        <v>225</v>
      </c>
      <c r="E4751">
        <v>0.46035999999999999</v>
      </c>
      <c r="F4751">
        <v>2.1722000000000001</v>
      </c>
      <c r="G4751">
        <v>789.46</v>
      </c>
      <c r="H4751">
        <v>1.3973</v>
      </c>
    </row>
    <row r="4752" spans="2:8" x14ac:dyDescent="0.25">
      <c r="B4752">
        <v>1.401</v>
      </c>
      <c r="C4752">
        <v>350</v>
      </c>
      <c r="D4752">
        <v>225</v>
      </c>
      <c r="E4752">
        <v>0.45712000000000003</v>
      </c>
      <c r="F4752">
        <v>2.1876000000000002</v>
      </c>
      <c r="G4752">
        <v>792.49</v>
      </c>
      <c r="H4752">
        <v>1.401</v>
      </c>
    </row>
    <row r="4754" spans="1:8" x14ac:dyDescent="0.25">
      <c r="A4754">
        <v>230</v>
      </c>
      <c r="B4754">
        <v>9.6175999999999998E-2</v>
      </c>
      <c r="C4754">
        <v>0</v>
      </c>
      <c r="D4754">
        <v>230</v>
      </c>
      <c r="E4754">
        <v>41.393999999999998</v>
      </c>
      <c r="F4754">
        <v>2.4157999999999999E-2</v>
      </c>
      <c r="G4754">
        <v>43.225999999999999</v>
      </c>
      <c r="H4754">
        <v>9.6175999999999998E-2</v>
      </c>
    </row>
    <row r="4755" spans="1:8" x14ac:dyDescent="0.25">
      <c r="B4755">
        <v>0.10786999999999999</v>
      </c>
      <c r="C4755">
        <v>5</v>
      </c>
      <c r="D4755">
        <v>230</v>
      </c>
      <c r="E4755">
        <v>41.167999999999999</v>
      </c>
      <c r="F4755">
        <v>2.4291E-2</v>
      </c>
      <c r="G4755">
        <v>48.631999999999998</v>
      </c>
      <c r="H4755">
        <v>0.10786999999999999</v>
      </c>
    </row>
    <row r="4756" spans="1:8" x14ac:dyDescent="0.25">
      <c r="B4756">
        <v>0.11948</v>
      </c>
      <c r="C4756">
        <v>10</v>
      </c>
      <c r="D4756">
        <v>230</v>
      </c>
      <c r="E4756">
        <v>40.941000000000003</v>
      </c>
      <c r="F4756">
        <v>2.4426E-2</v>
      </c>
      <c r="G4756">
        <v>54.055</v>
      </c>
      <c r="H4756">
        <v>0.11948</v>
      </c>
    </row>
    <row r="4757" spans="1:8" x14ac:dyDescent="0.25">
      <c r="B4757">
        <v>0.13100000000000001</v>
      </c>
      <c r="C4757">
        <v>15</v>
      </c>
      <c r="D4757">
        <v>230</v>
      </c>
      <c r="E4757">
        <v>40.710999999999999</v>
      </c>
      <c r="F4757">
        <v>2.4563000000000001E-2</v>
      </c>
      <c r="G4757">
        <v>59.494</v>
      </c>
      <c r="H4757">
        <v>0.13100000000000001</v>
      </c>
    </row>
    <row r="4758" spans="1:8" x14ac:dyDescent="0.25">
      <c r="B4758">
        <v>0.14244000000000001</v>
      </c>
      <c r="C4758">
        <v>20</v>
      </c>
      <c r="D4758">
        <v>230</v>
      </c>
      <c r="E4758">
        <v>40.479999999999997</v>
      </c>
      <c r="F4758">
        <v>2.4704E-2</v>
      </c>
      <c r="G4758">
        <v>64.95</v>
      </c>
      <c r="H4758">
        <v>0.14244000000000001</v>
      </c>
    </row>
    <row r="4759" spans="1:8" x14ac:dyDescent="0.25">
      <c r="B4759">
        <v>0.15379000000000001</v>
      </c>
      <c r="C4759">
        <v>25</v>
      </c>
      <c r="D4759">
        <v>230</v>
      </c>
      <c r="E4759">
        <v>40.246000000000002</v>
      </c>
      <c r="F4759">
        <v>2.4847000000000001E-2</v>
      </c>
      <c r="G4759">
        <v>70.423000000000002</v>
      </c>
      <c r="H4759">
        <v>0.15379000000000001</v>
      </c>
    </row>
    <row r="4760" spans="1:8" x14ac:dyDescent="0.25">
      <c r="B4760">
        <v>0.16506000000000001</v>
      </c>
      <c r="C4760">
        <v>30</v>
      </c>
      <c r="D4760">
        <v>230</v>
      </c>
      <c r="E4760">
        <v>40.01</v>
      </c>
      <c r="F4760">
        <v>2.4993999999999999E-2</v>
      </c>
      <c r="G4760">
        <v>75.914000000000001</v>
      </c>
      <c r="H4760">
        <v>0.16506000000000001</v>
      </c>
    </row>
    <row r="4761" spans="1:8" x14ac:dyDescent="0.25">
      <c r="B4761">
        <v>0.17624999999999999</v>
      </c>
      <c r="C4761">
        <v>35</v>
      </c>
      <c r="D4761">
        <v>230</v>
      </c>
      <c r="E4761">
        <v>39.771999999999998</v>
      </c>
      <c r="F4761">
        <v>2.5142999999999999E-2</v>
      </c>
      <c r="G4761">
        <v>81.423000000000002</v>
      </c>
      <c r="H4761">
        <v>0.17624999999999999</v>
      </c>
    </row>
    <row r="4762" spans="1:8" x14ac:dyDescent="0.25">
      <c r="B4762">
        <v>0.18737000000000001</v>
      </c>
      <c r="C4762">
        <v>40</v>
      </c>
      <c r="D4762">
        <v>230</v>
      </c>
      <c r="E4762">
        <v>39.530999999999999</v>
      </c>
      <c r="F4762">
        <v>2.5295999999999999E-2</v>
      </c>
      <c r="G4762">
        <v>86.95</v>
      </c>
      <c r="H4762">
        <v>0.18737000000000001</v>
      </c>
    </row>
    <row r="4763" spans="1:8" x14ac:dyDescent="0.25">
      <c r="B4763">
        <v>0.19841</v>
      </c>
      <c r="C4763">
        <v>45</v>
      </c>
      <c r="D4763">
        <v>230</v>
      </c>
      <c r="E4763">
        <v>39.287999999999997</v>
      </c>
      <c r="F4763">
        <v>2.5453E-2</v>
      </c>
      <c r="G4763">
        <v>92.497</v>
      </c>
      <c r="H4763">
        <v>0.19841</v>
      </c>
    </row>
    <row r="4764" spans="1:8" x14ac:dyDescent="0.25">
      <c r="B4764">
        <v>0.20938999999999999</v>
      </c>
      <c r="C4764">
        <v>50</v>
      </c>
      <c r="D4764">
        <v>230</v>
      </c>
      <c r="E4764">
        <v>39.042999999999999</v>
      </c>
      <c r="F4764">
        <v>2.5613E-2</v>
      </c>
      <c r="G4764">
        <v>98.063999999999993</v>
      </c>
      <c r="H4764">
        <v>0.20938999999999999</v>
      </c>
    </row>
    <row r="4765" spans="1:8" x14ac:dyDescent="0.25">
      <c r="B4765">
        <v>0.2203</v>
      </c>
      <c r="C4765">
        <v>55</v>
      </c>
      <c r="D4765">
        <v>230</v>
      </c>
      <c r="E4765">
        <v>38.793999999999997</v>
      </c>
      <c r="F4765">
        <v>2.5777000000000001E-2</v>
      </c>
      <c r="G4765">
        <v>103.65</v>
      </c>
      <c r="H4765">
        <v>0.2203</v>
      </c>
    </row>
    <row r="4766" spans="1:8" x14ac:dyDescent="0.25">
      <c r="B4766">
        <v>0.23114999999999999</v>
      </c>
      <c r="C4766">
        <v>60</v>
      </c>
      <c r="D4766">
        <v>230</v>
      </c>
      <c r="E4766">
        <v>38.542999999999999</v>
      </c>
      <c r="F4766">
        <v>2.5944999999999999E-2</v>
      </c>
      <c r="G4766">
        <v>109.26</v>
      </c>
      <c r="H4766">
        <v>0.23114999999999999</v>
      </c>
    </row>
    <row r="4767" spans="1:8" x14ac:dyDescent="0.25">
      <c r="B4767">
        <v>0.24193999999999999</v>
      </c>
      <c r="C4767">
        <v>65</v>
      </c>
      <c r="D4767">
        <v>230</v>
      </c>
      <c r="E4767">
        <v>38.287999999999997</v>
      </c>
      <c r="F4767">
        <v>2.6117999999999999E-2</v>
      </c>
      <c r="G4767">
        <v>114.89</v>
      </c>
      <c r="H4767">
        <v>0.24193999999999999</v>
      </c>
    </row>
    <row r="4768" spans="1:8" x14ac:dyDescent="0.25">
      <c r="B4768">
        <v>0.25267000000000001</v>
      </c>
      <c r="C4768">
        <v>70</v>
      </c>
      <c r="D4768">
        <v>230</v>
      </c>
      <c r="E4768">
        <v>38.03</v>
      </c>
      <c r="F4768">
        <v>2.6294999999999999E-2</v>
      </c>
      <c r="G4768">
        <v>120.55</v>
      </c>
      <c r="H4768">
        <v>0.25267000000000001</v>
      </c>
    </row>
    <row r="4769" spans="2:8" x14ac:dyDescent="0.25">
      <c r="B4769">
        <v>0.26334999999999997</v>
      </c>
      <c r="C4769">
        <v>75</v>
      </c>
      <c r="D4769">
        <v>230</v>
      </c>
      <c r="E4769">
        <v>37.768999999999998</v>
      </c>
      <c r="F4769">
        <v>2.6477000000000001E-2</v>
      </c>
      <c r="G4769">
        <v>126.24</v>
      </c>
      <c r="H4769">
        <v>0.26334999999999997</v>
      </c>
    </row>
    <row r="4770" spans="2:8" x14ac:dyDescent="0.25">
      <c r="B4770">
        <v>0.27398</v>
      </c>
      <c r="C4770">
        <v>80</v>
      </c>
      <c r="D4770">
        <v>230</v>
      </c>
      <c r="E4770">
        <v>37.505000000000003</v>
      </c>
      <c r="F4770">
        <v>2.6662999999999999E-2</v>
      </c>
      <c r="G4770">
        <v>131.94999999999999</v>
      </c>
      <c r="H4770">
        <v>0.27398</v>
      </c>
    </row>
    <row r="4771" spans="2:8" x14ac:dyDescent="0.25">
      <c r="B4771">
        <v>0.28456999999999999</v>
      </c>
      <c r="C4771">
        <v>85</v>
      </c>
      <c r="D4771">
        <v>230</v>
      </c>
      <c r="E4771">
        <v>37.235999999999997</v>
      </c>
      <c r="F4771">
        <v>2.6856000000000001E-2</v>
      </c>
      <c r="G4771">
        <v>137.69</v>
      </c>
      <c r="H4771">
        <v>0.28456999999999999</v>
      </c>
    </row>
    <row r="4772" spans="2:8" x14ac:dyDescent="0.25">
      <c r="B4772">
        <v>0.29511999999999999</v>
      </c>
      <c r="C4772">
        <v>90</v>
      </c>
      <c r="D4772">
        <v>230</v>
      </c>
      <c r="E4772">
        <v>36.963000000000001</v>
      </c>
      <c r="F4772">
        <v>2.7054000000000002E-2</v>
      </c>
      <c r="G4772">
        <v>143.46</v>
      </c>
      <c r="H4772">
        <v>0.29511999999999999</v>
      </c>
    </row>
    <row r="4773" spans="2:8" x14ac:dyDescent="0.25">
      <c r="B4773">
        <v>0.30563000000000001</v>
      </c>
      <c r="C4773">
        <v>95</v>
      </c>
      <c r="D4773">
        <v>230</v>
      </c>
      <c r="E4773">
        <v>36.686</v>
      </c>
      <c r="F4773">
        <v>2.7258000000000001E-2</v>
      </c>
      <c r="G4773">
        <v>149.27000000000001</v>
      </c>
      <c r="H4773">
        <v>0.30563000000000001</v>
      </c>
    </row>
    <row r="4774" spans="2:8" x14ac:dyDescent="0.25">
      <c r="B4774">
        <v>0.31612000000000001</v>
      </c>
      <c r="C4774">
        <v>100</v>
      </c>
      <c r="D4774">
        <v>230</v>
      </c>
      <c r="E4774">
        <v>36.404000000000003</v>
      </c>
      <c r="F4774">
        <v>2.7469E-2</v>
      </c>
      <c r="G4774">
        <v>155.11000000000001</v>
      </c>
      <c r="H4774">
        <v>0.31612000000000001</v>
      </c>
    </row>
    <row r="4775" spans="2:8" x14ac:dyDescent="0.25">
      <c r="B4775">
        <v>0.32657999999999998</v>
      </c>
      <c r="C4775">
        <v>105</v>
      </c>
      <c r="D4775">
        <v>230</v>
      </c>
      <c r="E4775">
        <v>36.118000000000002</v>
      </c>
      <c r="F4775">
        <v>2.7687E-2</v>
      </c>
      <c r="G4775">
        <v>160.99</v>
      </c>
      <c r="H4775">
        <v>0.32657999999999998</v>
      </c>
    </row>
    <row r="4776" spans="2:8" x14ac:dyDescent="0.25">
      <c r="B4776">
        <v>1.1687000000000001</v>
      </c>
      <c r="C4776">
        <v>110</v>
      </c>
      <c r="D4776">
        <v>230</v>
      </c>
      <c r="E4776">
        <v>0.75390000000000001</v>
      </c>
      <c r="F4776">
        <v>1.3264</v>
      </c>
      <c r="G4776">
        <v>636.74</v>
      </c>
      <c r="H4776">
        <v>1.1687000000000001</v>
      </c>
    </row>
    <row r="4777" spans="2:8" x14ac:dyDescent="0.25">
      <c r="B4777">
        <v>1.1758</v>
      </c>
      <c r="C4777">
        <v>115</v>
      </c>
      <c r="D4777">
        <v>230</v>
      </c>
      <c r="E4777">
        <v>0.74190999999999996</v>
      </c>
      <c r="F4777">
        <v>1.3479000000000001</v>
      </c>
      <c r="G4777">
        <v>640.79</v>
      </c>
      <c r="H4777">
        <v>1.1758</v>
      </c>
    </row>
    <row r="4778" spans="2:8" x14ac:dyDescent="0.25">
      <c r="B4778">
        <v>1.1826000000000001</v>
      </c>
      <c r="C4778">
        <v>120</v>
      </c>
      <c r="D4778">
        <v>230</v>
      </c>
      <c r="E4778">
        <v>0.73055999999999999</v>
      </c>
      <c r="F4778">
        <v>1.3688</v>
      </c>
      <c r="G4778">
        <v>644.74</v>
      </c>
      <c r="H4778">
        <v>1.1826000000000001</v>
      </c>
    </row>
    <row r="4779" spans="2:8" x14ac:dyDescent="0.25">
      <c r="B4779">
        <v>1.1892</v>
      </c>
      <c r="C4779">
        <v>125</v>
      </c>
      <c r="D4779">
        <v>230</v>
      </c>
      <c r="E4779">
        <v>0.71977999999999998</v>
      </c>
      <c r="F4779">
        <v>1.3893</v>
      </c>
      <c r="G4779">
        <v>648.6</v>
      </c>
      <c r="H4779">
        <v>1.1892</v>
      </c>
    </row>
    <row r="4780" spans="2:8" x14ac:dyDescent="0.25">
      <c r="B4780">
        <v>1.1957</v>
      </c>
      <c r="C4780">
        <v>130</v>
      </c>
      <c r="D4780">
        <v>230</v>
      </c>
      <c r="E4780">
        <v>0.70950999999999997</v>
      </c>
      <c r="F4780">
        <v>1.4094</v>
      </c>
      <c r="G4780">
        <v>652.37</v>
      </c>
      <c r="H4780">
        <v>1.1957</v>
      </c>
    </row>
    <row r="4781" spans="2:8" x14ac:dyDescent="0.25">
      <c r="B4781">
        <v>1.2019</v>
      </c>
      <c r="C4781">
        <v>135</v>
      </c>
      <c r="D4781">
        <v>230</v>
      </c>
      <c r="E4781">
        <v>0.69969999999999999</v>
      </c>
      <c r="F4781">
        <v>1.4292</v>
      </c>
      <c r="G4781">
        <v>656.08</v>
      </c>
      <c r="H4781">
        <v>1.2019</v>
      </c>
    </row>
    <row r="4782" spans="2:8" x14ac:dyDescent="0.25">
      <c r="B4782">
        <v>1.208</v>
      </c>
      <c r="C4782">
        <v>140</v>
      </c>
      <c r="D4782">
        <v>230</v>
      </c>
      <c r="E4782">
        <v>0.69032000000000004</v>
      </c>
      <c r="F4782">
        <v>1.4486000000000001</v>
      </c>
      <c r="G4782">
        <v>659.72</v>
      </c>
      <c r="H4782">
        <v>1.208</v>
      </c>
    </row>
    <row r="4783" spans="2:8" x14ac:dyDescent="0.25">
      <c r="B4783">
        <v>1.214</v>
      </c>
      <c r="C4783">
        <v>145</v>
      </c>
      <c r="D4783">
        <v>230</v>
      </c>
      <c r="E4783">
        <v>0.68132000000000004</v>
      </c>
      <c r="F4783">
        <v>1.4677</v>
      </c>
      <c r="G4783">
        <v>663.3</v>
      </c>
      <c r="H4783">
        <v>1.214</v>
      </c>
    </row>
    <row r="4784" spans="2:8" x14ac:dyDescent="0.25">
      <c r="B4784">
        <v>1.2198</v>
      </c>
      <c r="C4784">
        <v>150</v>
      </c>
      <c r="D4784">
        <v>230</v>
      </c>
      <c r="E4784">
        <v>0.67266999999999999</v>
      </c>
      <c r="F4784">
        <v>1.4865999999999999</v>
      </c>
      <c r="G4784">
        <v>666.83</v>
      </c>
      <c r="H4784">
        <v>1.2198</v>
      </c>
    </row>
    <row r="4785" spans="2:8" x14ac:dyDescent="0.25">
      <c r="B4785">
        <v>1.2255</v>
      </c>
      <c r="C4785">
        <v>155</v>
      </c>
      <c r="D4785">
        <v>230</v>
      </c>
      <c r="E4785">
        <v>0.66435</v>
      </c>
      <c r="F4785">
        <v>1.5052000000000001</v>
      </c>
      <c r="G4785">
        <v>670.31</v>
      </c>
      <c r="H4785">
        <v>1.2255</v>
      </c>
    </row>
    <row r="4786" spans="2:8" x14ac:dyDescent="0.25">
      <c r="B4786">
        <v>1.2310000000000001</v>
      </c>
      <c r="C4786">
        <v>160</v>
      </c>
      <c r="D4786">
        <v>230</v>
      </c>
      <c r="E4786">
        <v>0.65634000000000003</v>
      </c>
      <c r="F4786">
        <v>1.5236000000000001</v>
      </c>
      <c r="G4786">
        <v>673.75</v>
      </c>
      <c r="H4786">
        <v>1.2310000000000001</v>
      </c>
    </row>
    <row r="4787" spans="2:8" x14ac:dyDescent="0.25">
      <c r="B4787">
        <v>1.2364999999999999</v>
      </c>
      <c r="C4787">
        <v>165</v>
      </c>
      <c r="D4787">
        <v>230</v>
      </c>
      <c r="E4787">
        <v>0.64859999999999995</v>
      </c>
      <c r="F4787">
        <v>1.5418000000000001</v>
      </c>
      <c r="G4787">
        <v>677.15</v>
      </c>
      <c r="H4787">
        <v>1.2364999999999999</v>
      </c>
    </row>
    <row r="4788" spans="2:8" x14ac:dyDescent="0.25">
      <c r="B4788">
        <v>1.2419</v>
      </c>
      <c r="C4788">
        <v>170</v>
      </c>
      <c r="D4788">
        <v>230</v>
      </c>
      <c r="E4788">
        <v>0.64112999999999998</v>
      </c>
      <c r="F4788">
        <v>1.5597000000000001</v>
      </c>
      <c r="G4788">
        <v>680.52</v>
      </c>
      <c r="H4788">
        <v>1.2419</v>
      </c>
    </row>
    <row r="4789" spans="2:8" x14ac:dyDescent="0.25">
      <c r="B4789">
        <v>1.2472000000000001</v>
      </c>
      <c r="C4789">
        <v>175</v>
      </c>
      <c r="D4789">
        <v>230</v>
      </c>
      <c r="E4789">
        <v>0.63390000000000002</v>
      </c>
      <c r="F4789">
        <v>1.5774999999999999</v>
      </c>
      <c r="G4789">
        <v>683.85</v>
      </c>
      <c r="H4789">
        <v>1.2472000000000001</v>
      </c>
    </row>
    <row r="4790" spans="2:8" x14ac:dyDescent="0.25">
      <c r="B4790">
        <v>1.2523</v>
      </c>
      <c r="C4790">
        <v>180</v>
      </c>
      <c r="D4790">
        <v>230</v>
      </c>
      <c r="E4790">
        <v>0.62690000000000001</v>
      </c>
      <c r="F4790">
        <v>1.5952</v>
      </c>
      <c r="G4790">
        <v>687.15</v>
      </c>
      <c r="H4790">
        <v>1.2523</v>
      </c>
    </row>
    <row r="4791" spans="2:8" x14ac:dyDescent="0.25">
      <c r="B4791">
        <v>1.2574000000000001</v>
      </c>
      <c r="C4791">
        <v>185</v>
      </c>
      <c r="D4791">
        <v>230</v>
      </c>
      <c r="E4791">
        <v>0.62011000000000005</v>
      </c>
      <c r="F4791">
        <v>1.6126</v>
      </c>
      <c r="G4791">
        <v>690.43</v>
      </c>
      <c r="H4791">
        <v>1.2574000000000001</v>
      </c>
    </row>
    <row r="4792" spans="2:8" x14ac:dyDescent="0.25">
      <c r="B4792">
        <v>1.2625</v>
      </c>
      <c r="C4792">
        <v>190</v>
      </c>
      <c r="D4792">
        <v>230</v>
      </c>
      <c r="E4792">
        <v>0.61353000000000002</v>
      </c>
      <c r="F4792">
        <v>1.6298999999999999</v>
      </c>
      <c r="G4792">
        <v>693.68</v>
      </c>
      <c r="H4792">
        <v>1.2625</v>
      </c>
    </row>
    <row r="4793" spans="2:8" x14ac:dyDescent="0.25">
      <c r="B4793">
        <v>1.2674000000000001</v>
      </c>
      <c r="C4793">
        <v>195</v>
      </c>
      <c r="D4793">
        <v>230</v>
      </c>
      <c r="E4793">
        <v>0.60712999999999995</v>
      </c>
      <c r="F4793">
        <v>1.6471</v>
      </c>
      <c r="G4793">
        <v>696.91</v>
      </c>
      <c r="H4793">
        <v>1.2674000000000001</v>
      </c>
    </row>
    <row r="4794" spans="2:8" x14ac:dyDescent="0.25">
      <c r="B4794">
        <v>1.2723</v>
      </c>
      <c r="C4794">
        <v>200</v>
      </c>
      <c r="D4794">
        <v>230</v>
      </c>
      <c r="E4794">
        <v>0.60092000000000001</v>
      </c>
      <c r="F4794">
        <v>1.6640999999999999</v>
      </c>
      <c r="G4794">
        <v>700.12</v>
      </c>
      <c r="H4794">
        <v>1.2723</v>
      </c>
    </row>
    <row r="4795" spans="2:8" x14ac:dyDescent="0.25">
      <c r="B4795">
        <v>1.2770999999999999</v>
      </c>
      <c r="C4795">
        <v>205</v>
      </c>
      <c r="D4795">
        <v>230</v>
      </c>
      <c r="E4795">
        <v>0.59487000000000001</v>
      </c>
      <c r="F4795">
        <v>1.681</v>
      </c>
      <c r="G4795">
        <v>703.31</v>
      </c>
      <c r="H4795">
        <v>1.2770999999999999</v>
      </c>
    </row>
    <row r="4796" spans="2:8" x14ac:dyDescent="0.25">
      <c r="B4796">
        <v>1.2819</v>
      </c>
      <c r="C4796">
        <v>210</v>
      </c>
      <c r="D4796">
        <v>230</v>
      </c>
      <c r="E4796">
        <v>0.58897999999999995</v>
      </c>
      <c r="F4796">
        <v>1.6978</v>
      </c>
      <c r="G4796">
        <v>706.48</v>
      </c>
      <c r="H4796">
        <v>1.2819</v>
      </c>
    </row>
    <row r="4797" spans="2:8" x14ac:dyDescent="0.25">
      <c r="B4797">
        <v>1.2866</v>
      </c>
      <c r="C4797">
        <v>215</v>
      </c>
      <c r="D4797">
        <v>230</v>
      </c>
      <c r="E4797">
        <v>0.58325000000000005</v>
      </c>
      <c r="F4797">
        <v>1.7144999999999999</v>
      </c>
      <c r="G4797">
        <v>709.63</v>
      </c>
      <c r="H4797">
        <v>1.2866</v>
      </c>
    </row>
    <row r="4798" spans="2:8" x14ac:dyDescent="0.25">
      <c r="B4798">
        <v>1.2911999999999999</v>
      </c>
      <c r="C4798">
        <v>220</v>
      </c>
      <c r="D4798">
        <v>230</v>
      </c>
      <c r="E4798">
        <v>0.57767000000000002</v>
      </c>
      <c r="F4798">
        <v>1.7311000000000001</v>
      </c>
      <c r="G4798">
        <v>712.78</v>
      </c>
      <c r="H4798">
        <v>1.2911999999999999</v>
      </c>
    </row>
    <row r="4799" spans="2:8" x14ac:dyDescent="0.25">
      <c r="B4799">
        <v>1.2958000000000001</v>
      </c>
      <c r="C4799">
        <v>225</v>
      </c>
      <c r="D4799">
        <v>230</v>
      </c>
      <c r="E4799">
        <v>0.57221999999999995</v>
      </c>
      <c r="F4799">
        <v>1.7476</v>
      </c>
      <c r="G4799">
        <v>715.91</v>
      </c>
      <c r="H4799">
        <v>1.2958000000000001</v>
      </c>
    </row>
    <row r="4800" spans="2:8" x14ac:dyDescent="0.25">
      <c r="B4800">
        <v>1.3003</v>
      </c>
      <c r="C4800">
        <v>230</v>
      </c>
      <c r="D4800">
        <v>230</v>
      </c>
      <c r="E4800">
        <v>0.56689999999999996</v>
      </c>
      <c r="F4800">
        <v>1.764</v>
      </c>
      <c r="G4800">
        <v>719.02</v>
      </c>
      <c r="H4800">
        <v>1.3003</v>
      </c>
    </row>
    <row r="4801" spans="2:8" x14ac:dyDescent="0.25">
      <c r="B4801">
        <v>1.3048</v>
      </c>
      <c r="C4801">
        <v>235</v>
      </c>
      <c r="D4801">
        <v>230</v>
      </c>
      <c r="E4801">
        <v>0.56171000000000004</v>
      </c>
      <c r="F4801">
        <v>1.7803</v>
      </c>
      <c r="G4801">
        <v>722.13</v>
      </c>
      <c r="H4801">
        <v>1.3048</v>
      </c>
    </row>
    <row r="4802" spans="2:8" x14ac:dyDescent="0.25">
      <c r="B4802">
        <v>1.3092999999999999</v>
      </c>
      <c r="C4802">
        <v>240</v>
      </c>
      <c r="D4802">
        <v>230</v>
      </c>
      <c r="E4802">
        <v>0.55664000000000002</v>
      </c>
      <c r="F4802">
        <v>1.7965</v>
      </c>
      <c r="G4802">
        <v>725.23</v>
      </c>
      <c r="H4802">
        <v>1.3092999999999999</v>
      </c>
    </row>
    <row r="4803" spans="2:8" x14ac:dyDescent="0.25">
      <c r="B4803">
        <v>1.3137000000000001</v>
      </c>
      <c r="C4803">
        <v>245</v>
      </c>
      <c r="D4803">
        <v>230</v>
      </c>
      <c r="E4803">
        <v>0.55167999999999995</v>
      </c>
      <c r="F4803">
        <v>1.8126</v>
      </c>
      <c r="G4803">
        <v>728.31</v>
      </c>
      <c r="H4803">
        <v>1.3137000000000001</v>
      </c>
    </row>
    <row r="4804" spans="2:8" x14ac:dyDescent="0.25">
      <c r="B4804">
        <v>1.3180000000000001</v>
      </c>
      <c r="C4804">
        <v>250</v>
      </c>
      <c r="D4804">
        <v>230</v>
      </c>
      <c r="E4804">
        <v>0.54683000000000004</v>
      </c>
      <c r="F4804">
        <v>1.8287</v>
      </c>
      <c r="G4804">
        <v>731.39</v>
      </c>
      <c r="H4804">
        <v>1.3180000000000001</v>
      </c>
    </row>
    <row r="4805" spans="2:8" x14ac:dyDescent="0.25">
      <c r="B4805">
        <v>1.3223</v>
      </c>
      <c r="C4805">
        <v>255</v>
      </c>
      <c r="D4805">
        <v>230</v>
      </c>
      <c r="E4805">
        <v>0.54208999999999996</v>
      </c>
      <c r="F4805">
        <v>1.8447</v>
      </c>
      <c r="G4805">
        <v>734.47</v>
      </c>
      <c r="H4805">
        <v>1.3223</v>
      </c>
    </row>
    <row r="4806" spans="2:8" x14ac:dyDescent="0.25">
      <c r="B4806">
        <v>1.3266</v>
      </c>
      <c r="C4806">
        <v>260</v>
      </c>
      <c r="D4806">
        <v>230</v>
      </c>
      <c r="E4806">
        <v>0.53746000000000005</v>
      </c>
      <c r="F4806">
        <v>1.8606</v>
      </c>
      <c r="G4806">
        <v>737.53</v>
      </c>
      <c r="H4806">
        <v>1.3266</v>
      </c>
    </row>
    <row r="4807" spans="2:8" x14ac:dyDescent="0.25">
      <c r="B4807">
        <v>1.3308</v>
      </c>
      <c r="C4807">
        <v>265</v>
      </c>
      <c r="D4807">
        <v>230</v>
      </c>
      <c r="E4807">
        <v>0.53290999999999999</v>
      </c>
      <c r="F4807">
        <v>1.8765000000000001</v>
      </c>
      <c r="G4807">
        <v>740.59</v>
      </c>
      <c r="H4807">
        <v>1.3308</v>
      </c>
    </row>
    <row r="4808" spans="2:8" x14ac:dyDescent="0.25">
      <c r="B4808">
        <v>1.335</v>
      </c>
      <c r="C4808">
        <v>270</v>
      </c>
      <c r="D4808">
        <v>230</v>
      </c>
      <c r="E4808">
        <v>0.52847</v>
      </c>
      <c r="F4808">
        <v>1.8923000000000001</v>
      </c>
      <c r="G4808">
        <v>743.64</v>
      </c>
      <c r="H4808">
        <v>1.335</v>
      </c>
    </row>
    <row r="4809" spans="2:8" x14ac:dyDescent="0.25">
      <c r="B4809">
        <v>1.3391999999999999</v>
      </c>
      <c r="C4809">
        <v>275</v>
      </c>
      <c r="D4809">
        <v>230</v>
      </c>
      <c r="E4809">
        <v>0.52410999999999996</v>
      </c>
      <c r="F4809">
        <v>1.9079999999999999</v>
      </c>
      <c r="G4809">
        <v>746.69</v>
      </c>
      <c r="H4809">
        <v>1.3391999999999999</v>
      </c>
    </row>
    <row r="4810" spans="2:8" x14ac:dyDescent="0.25">
      <c r="B4810">
        <v>1.3432999999999999</v>
      </c>
      <c r="C4810">
        <v>280</v>
      </c>
      <c r="D4810">
        <v>230</v>
      </c>
      <c r="E4810">
        <v>0.51983999999999997</v>
      </c>
      <c r="F4810">
        <v>1.9237</v>
      </c>
      <c r="G4810">
        <v>749.74</v>
      </c>
      <c r="H4810">
        <v>1.3432999999999999</v>
      </c>
    </row>
    <row r="4811" spans="2:8" x14ac:dyDescent="0.25">
      <c r="B4811">
        <v>1.3473999999999999</v>
      </c>
      <c r="C4811">
        <v>285</v>
      </c>
      <c r="D4811">
        <v>230</v>
      </c>
      <c r="E4811">
        <v>0.51565000000000005</v>
      </c>
      <c r="F4811">
        <v>1.9393</v>
      </c>
      <c r="G4811">
        <v>752.78</v>
      </c>
      <c r="H4811">
        <v>1.3473999999999999</v>
      </c>
    </row>
    <row r="4812" spans="2:8" x14ac:dyDescent="0.25">
      <c r="B4812">
        <v>1.3514999999999999</v>
      </c>
      <c r="C4812">
        <v>290</v>
      </c>
      <c r="D4812">
        <v>230</v>
      </c>
      <c r="E4812">
        <v>0.51153999999999999</v>
      </c>
      <c r="F4812">
        <v>1.9549000000000001</v>
      </c>
      <c r="G4812">
        <v>755.82</v>
      </c>
      <c r="H4812">
        <v>1.3514999999999999</v>
      </c>
    </row>
    <row r="4813" spans="2:8" x14ac:dyDescent="0.25">
      <c r="B4813">
        <v>1.3554999999999999</v>
      </c>
      <c r="C4813">
        <v>295</v>
      </c>
      <c r="D4813">
        <v>230</v>
      </c>
      <c r="E4813">
        <v>0.50751000000000002</v>
      </c>
      <c r="F4813">
        <v>1.9703999999999999</v>
      </c>
      <c r="G4813">
        <v>758.86</v>
      </c>
      <c r="H4813">
        <v>1.3554999999999999</v>
      </c>
    </row>
    <row r="4814" spans="2:8" x14ac:dyDescent="0.25">
      <c r="B4814">
        <v>1.3594999999999999</v>
      </c>
      <c r="C4814">
        <v>300</v>
      </c>
      <c r="D4814">
        <v>230</v>
      </c>
      <c r="E4814">
        <v>0.50356000000000001</v>
      </c>
      <c r="F4814">
        <v>1.9859</v>
      </c>
      <c r="G4814">
        <v>761.89</v>
      </c>
      <c r="H4814">
        <v>1.3594999999999999</v>
      </c>
    </row>
    <row r="4815" spans="2:8" x14ac:dyDescent="0.25">
      <c r="B4815">
        <v>1.3634999999999999</v>
      </c>
      <c r="C4815">
        <v>305</v>
      </c>
      <c r="D4815">
        <v>230</v>
      </c>
      <c r="E4815">
        <v>0.49968000000000001</v>
      </c>
      <c r="F4815">
        <v>2.0013000000000001</v>
      </c>
      <c r="G4815">
        <v>764.93</v>
      </c>
      <c r="H4815">
        <v>1.3634999999999999</v>
      </c>
    </row>
    <row r="4816" spans="2:8" x14ac:dyDescent="0.25">
      <c r="B4816">
        <v>1.3674999999999999</v>
      </c>
      <c r="C4816">
        <v>310</v>
      </c>
      <c r="D4816">
        <v>230</v>
      </c>
      <c r="E4816">
        <v>0.49586999999999998</v>
      </c>
      <c r="F4816">
        <v>2.0167000000000002</v>
      </c>
      <c r="G4816">
        <v>767.96</v>
      </c>
      <c r="H4816">
        <v>1.3674999999999999</v>
      </c>
    </row>
    <row r="4817" spans="1:8" x14ac:dyDescent="0.25">
      <c r="B4817">
        <v>1.3714</v>
      </c>
      <c r="C4817">
        <v>315</v>
      </c>
      <c r="D4817">
        <v>230</v>
      </c>
      <c r="E4817">
        <v>0.49213000000000001</v>
      </c>
      <c r="F4817">
        <v>2.032</v>
      </c>
      <c r="G4817">
        <v>770.99</v>
      </c>
      <c r="H4817">
        <v>1.3714</v>
      </c>
    </row>
    <row r="4818" spans="1:8" x14ac:dyDescent="0.25">
      <c r="B4818">
        <v>1.3753</v>
      </c>
      <c r="C4818">
        <v>320</v>
      </c>
      <c r="D4818">
        <v>230</v>
      </c>
      <c r="E4818">
        <v>0.48845</v>
      </c>
      <c r="F4818">
        <v>2.0472999999999999</v>
      </c>
      <c r="G4818">
        <v>774.02</v>
      </c>
      <c r="H4818">
        <v>1.3753</v>
      </c>
    </row>
    <row r="4819" spans="1:8" x14ac:dyDescent="0.25">
      <c r="B4819">
        <v>1.3792</v>
      </c>
      <c r="C4819">
        <v>325</v>
      </c>
      <c r="D4819">
        <v>230</v>
      </c>
      <c r="E4819">
        <v>0.48483999999999999</v>
      </c>
      <c r="F4819">
        <v>2.0625</v>
      </c>
      <c r="G4819">
        <v>777.05</v>
      </c>
      <c r="H4819">
        <v>1.3792</v>
      </c>
    </row>
    <row r="4820" spans="1:8" x14ac:dyDescent="0.25">
      <c r="B4820">
        <v>1.383</v>
      </c>
      <c r="C4820">
        <v>330</v>
      </c>
      <c r="D4820">
        <v>230</v>
      </c>
      <c r="E4820">
        <v>0.48129</v>
      </c>
      <c r="F4820">
        <v>2.0777999999999999</v>
      </c>
      <c r="G4820">
        <v>780.08</v>
      </c>
      <c r="H4820">
        <v>1.383</v>
      </c>
    </row>
    <row r="4821" spans="1:8" x14ac:dyDescent="0.25">
      <c r="B4821">
        <v>1.3869</v>
      </c>
      <c r="C4821">
        <v>335</v>
      </c>
      <c r="D4821">
        <v>230</v>
      </c>
      <c r="E4821">
        <v>0.4778</v>
      </c>
      <c r="F4821">
        <v>2.0929000000000002</v>
      </c>
      <c r="G4821">
        <v>783.11</v>
      </c>
      <c r="H4821">
        <v>1.3869</v>
      </c>
    </row>
    <row r="4822" spans="1:8" x14ac:dyDescent="0.25">
      <c r="B4822">
        <v>1.3907</v>
      </c>
      <c r="C4822">
        <v>340</v>
      </c>
      <c r="D4822">
        <v>230</v>
      </c>
      <c r="E4822">
        <v>0.47436</v>
      </c>
      <c r="F4822">
        <v>2.1080999999999999</v>
      </c>
      <c r="G4822">
        <v>786.15</v>
      </c>
      <c r="H4822">
        <v>1.3907</v>
      </c>
    </row>
    <row r="4823" spans="1:8" x14ac:dyDescent="0.25">
      <c r="B4823">
        <v>1.3944000000000001</v>
      </c>
      <c r="C4823">
        <v>345</v>
      </c>
      <c r="D4823">
        <v>230</v>
      </c>
      <c r="E4823">
        <v>0.47099000000000002</v>
      </c>
      <c r="F4823">
        <v>2.1232000000000002</v>
      </c>
      <c r="G4823">
        <v>789.18</v>
      </c>
      <c r="H4823">
        <v>1.3944000000000001</v>
      </c>
    </row>
    <row r="4824" spans="1:8" x14ac:dyDescent="0.25">
      <c r="B4824">
        <v>1.3982000000000001</v>
      </c>
      <c r="C4824">
        <v>350</v>
      </c>
      <c r="D4824">
        <v>230</v>
      </c>
      <c r="E4824">
        <v>0.46766999999999997</v>
      </c>
      <c r="F4824">
        <v>2.1383000000000001</v>
      </c>
      <c r="G4824">
        <v>792.21</v>
      </c>
      <c r="H4824">
        <v>1.3982000000000001</v>
      </c>
    </row>
    <row r="4826" spans="1:8" x14ac:dyDescent="0.25">
      <c r="A4826">
        <v>235</v>
      </c>
      <c r="B4826">
        <v>9.6151E-2</v>
      </c>
      <c r="C4826">
        <v>0</v>
      </c>
      <c r="D4826">
        <v>235</v>
      </c>
      <c r="E4826">
        <v>41.395000000000003</v>
      </c>
      <c r="F4826">
        <v>2.4157999999999999E-2</v>
      </c>
      <c r="G4826">
        <v>43.237000000000002</v>
      </c>
      <c r="H4826">
        <v>9.6151E-2</v>
      </c>
    </row>
    <row r="4827" spans="1:8" x14ac:dyDescent="0.25">
      <c r="B4827">
        <v>0.10785</v>
      </c>
      <c r="C4827">
        <v>5</v>
      </c>
      <c r="D4827">
        <v>235</v>
      </c>
      <c r="E4827">
        <v>41.168999999999997</v>
      </c>
      <c r="F4827">
        <v>2.4289999999999999E-2</v>
      </c>
      <c r="G4827">
        <v>48.643000000000001</v>
      </c>
      <c r="H4827">
        <v>0.10785</v>
      </c>
    </row>
    <row r="4828" spans="1:8" x14ac:dyDescent="0.25">
      <c r="B4828">
        <v>0.11946</v>
      </c>
      <c r="C4828">
        <v>10</v>
      </c>
      <c r="D4828">
        <v>235</v>
      </c>
      <c r="E4828">
        <v>40.942</v>
      </c>
      <c r="F4828">
        <v>2.4424999999999999E-2</v>
      </c>
      <c r="G4828">
        <v>54.066000000000003</v>
      </c>
      <c r="H4828">
        <v>0.11946</v>
      </c>
    </row>
    <row r="4829" spans="1:8" x14ac:dyDescent="0.25">
      <c r="B4829">
        <v>0.13098000000000001</v>
      </c>
      <c r="C4829">
        <v>15</v>
      </c>
      <c r="D4829">
        <v>235</v>
      </c>
      <c r="E4829">
        <v>40.713000000000001</v>
      </c>
      <c r="F4829">
        <v>2.4562E-2</v>
      </c>
      <c r="G4829">
        <v>59.505000000000003</v>
      </c>
      <c r="H4829">
        <v>0.13098000000000001</v>
      </c>
    </row>
    <row r="4830" spans="1:8" x14ac:dyDescent="0.25">
      <c r="B4830">
        <v>0.14241000000000001</v>
      </c>
      <c r="C4830">
        <v>20</v>
      </c>
      <c r="D4830">
        <v>235</v>
      </c>
      <c r="E4830">
        <v>40.481000000000002</v>
      </c>
      <c r="F4830">
        <v>2.4702999999999999E-2</v>
      </c>
      <c r="G4830">
        <v>64.960999999999999</v>
      </c>
      <c r="H4830">
        <v>0.14241000000000001</v>
      </c>
    </row>
    <row r="4831" spans="1:8" x14ac:dyDescent="0.25">
      <c r="B4831">
        <v>0.15376000000000001</v>
      </c>
      <c r="C4831">
        <v>25</v>
      </c>
      <c r="D4831">
        <v>235</v>
      </c>
      <c r="E4831">
        <v>40.247999999999998</v>
      </c>
      <c r="F4831">
        <v>2.4846E-2</v>
      </c>
      <c r="G4831">
        <v>70.433000000000007</v>
      </c>
      <c r="H4831">
        <v>0.15376000000000001</v>
      </c>
    </row>
    <row r="4832" spans="1:8" x14ac:dyDescent="0.25">
      <c r="B4832">
        <v>0.16503000000000001</v>
      </c>
      <c r="C4832">
        <v>30</v>
      </c>
      <c r="D4832">
        <v>235</v>
      </c>
      <c r="E4832">
        <v>40.012</v>
      </c>
      <c r="F4832">
        <v>2.4993000000000001E-2</v>
      </c>
      <c r="G4832">
        <v>75.924000000000007</v>
      </c>
      <c r="H4832">
        <v>0.16503000000000001</v>
      </c>
    </row>
    <row r="4833" spans="2:8" x14ac:dyDescent="0.25">
      <c r="B4833">
        <v>0.17621999999999999</v>
      </c>
      <c r="C4833">
        <v>35</v>
      </c>
      <c r="D4833">
        <v>235</v>
      </c>
      <c r="E4833">
        <v>39.774000000000001</v>
      </c>
      <c r="F4833">
        <v>2.5142000000000001E-2</v>
      </c>
      <c r="G4833">
        <v>81.432000000000002</v>
      </c>
      <c r="H4833">
        <v>0.17621999999999999</v>
      </c>
    </row>
    <row r="4834" spans="2:8" x14ac:dyDescent="0.25">
      <c r="B4834">
        <v>0.18734000000000001</v>
      </c>
      <c r="C4834">
        <v>40</v>
      </c>
      <c r="D4834">
        <v>235</v>
      </c>
      <c r="E4834">
        <v>39.533000000000001</v>
      </c>
      <c r="F4834">
        <v>2.5295000000000002E-2</v>
      </c>
      <c r="G4834">
        <v>86.959000000000003</v>
      </c>
      <c r="H4834">
        <v>0.18734000000000001</v>
      </c>
    </row>
    <row r="4835" spans="2:8" x14ac:dyDescent="0.25">
      <c r="B4835">
        <v>0.19838</v>
      </c>
      <c r="C4835">
        <v>45</v>
      </c>
      <c r="D4835">
        <v>235</v>
      </c>
      <c r="E4835">
        <v>39.29</v>
      </c>
      <c r="F4835">
        <v>2.5451999999999999E-2</v>
      </c>
      <c r="G4835">
        <v>92.504999999999995</v>
      </c>
      <c r="H4835">
        <v>0.19838</v>
      </c>
    </row>
    <row r="4836" spans="2:8" x14ac:dyDescent="0.25">
      <c r="B4836">
        <v>0.20935999999999999</v>
      </c>
      <c r="C4836">
        <v>50</v>
      </c>
      <c r="D4836">
        <v>235</v>
      </c>
      <c r="E4836">
        <v>39.043999999999997</v>
      </c>
      <c r="F4836">
        <v>2.5611999999999999E-2</v>
      </c>
      <c r="G4836">
        <v>98.072000000000003</v>
      </c>
      <c r="H4836">
        <v>0.20935999999999999</v>
      </c>
    </row>
    <row r="4837" spans="2:8" x14ac:dyDescent="0.25">
      <c r="B4837">
        <v>0.22026999999999999</v>
      </c>
      <c r="C4837">
        <v>55</v>
      </c>
      <c r="D4837">
        <v>235</v>
      </c>
      <c r="E4837">
        <v>38.795999999999999</v>
      </c>
      <c r="F4837">
        <v>2.5776E-2</v>
      </c>
      <c r="G4837">
        <v>103.66</v>
      </c>
      <c r="H4837">
        <v>0.22026999999999999</v>
      </c>
    </row>
    <row r="4838" spans="2:8" x14ac:dyDescent="0.25">
      <c r="B4838">
        <v>0.23111999999999999</v>
      </c>
      <c r="C4838">
        <v>60</v>
      </c>
      <c r="D4838">
        <v>235</v>
      </c>
      <c r="E4838">
        <v>38.543999999999997</v>
      </c>
      <c r="F4838">
        <v>2.5943999999999998E-2</v>
      </c>
      <c r="G4838">
        <v>109.27</v>
      </c>
      <c r="H4838">
        <v>0.23111999999999999</v>
      </c>
    </row>
    <row r="4839" spans="2:8" x14ac:dyDescent="0.25">
      <c r="B4839">
        <v>0.2419</v>
      </c>
      <c r="C4839">
        <v>65</v>
      </c>
      <c r="D4839">
        <v>235</v>
      </c>
      <c r="E4839">
        <v>38.29</v>
      </c>
      <c r="F4839">
        <v>2.6116E-2</v>
      </c>
      <c r="G4839">
        <v>114.9</v>
      </c>
      <c r="H4839">
        <v>0.2419</v>
      </c>
    </row>
    <row r="4840" spans="2:8" x14ac:dyDescent="0.25">
      <c r="B4840">
        <v>0.25263999999999998</v>
      </c>
      <c r="C4840">
        <v>70</v>
      </c>
      <c r="D4840">
        <v>235</v>
      </c>
      <c r="E4840">
        <v>38.031999999999996</v>
      </c>
      <c r="F4840">
        <v>2.6293E-2</v>
      </c>
      <c r="G4840">
        <v>120.56</v>
      </c>
      <c r="H4840">
        <v>0.25263999999999998</v>
      </c>
    </row>
    <row r="4841" spans="2:8" x14ac:dyDescent="0.25">
      <c r="B4841">
        <v>0.26330999999999999</v>
      </c>
      <c r="C4841">
        <v>75</v>
      </c>
      <c r="D4841">
        <v>235</v>
      </c>
      <c r="E4841">
        <v>37.771000000000001</v>
      </c>
      <c r="F4841">
        <v>2.6474999999999999E-2</v>
      </c>
      <c r="G4841">
        <v>126.24</v>
      </c>
      <c r="H4841">
        <v>0.26330999999999999</v>
      </c>
    </row>
    <row r="4842" spans="2:8" x14ac:dyDescent="0.25">
      <c r="B4842">
        <v>0.27395000000000003</v>
      </c>
      <c r="C4842">
        <v>80</v>
      </c>
      <c r="D4842">
        <v>235</v>
      </c>
      <c r="E4842">
        <v>37.506999999999998</v>
      </c>
      <c r="F4842">
        <v>2.6662000000000002E-2</v>
      </c>
      <c r="G4842">
        <v>131.94999999999999</v>
      </c>
      <c r="H4842">
        <v>0.27395000000000003</v>
      </c>
    </row>
    <row r="4843" spans="2:8" x14ac:dyDescent="0.25">
      <c r="B4843">
        <v>0.28453000000000001</v>
      </c>
      <c r="C4843">
        <v>85</v>
      </c>
      <c r="D4843">
        <v>235</v>
      </c>
      <c r="E4843">
        <v>37.238</v>
      </c>
      <c r="F4843">
        <v>2.6853999999999999E-2</v>
      </c>
      <c r="G4843">
        <v>137.69</v>
      </c>
      <c r="H4843">
        <v>0.28453000000000001</v>
      </c>
    </row>
    <row r="4844" spans="2:8" x14ac:dyDescent="0.25">
      <c r="B4844">
        <v>0.29508000000000001</v>
      </c>
      <c r="C4844">
        <v>90</v>
      </c>
      <c r="D4844">
        <v>235</v>
      </c>
      <c r="E4844">
        <v>36.966000000000001</v>
      </c>
      <c r="F4844">
        <v>2.7052E-2</v>
      </c>
      <c r="G4844">
        <v>143.47</v>
      </c>
      <c r="H4844">
        <v>0.29508000000000001</v>
      </c>
    </row>
    <row r="4845" spans="2:8" x14ac:dyDescent="0.25">
      <c r="B4845">
        <v>0.30559999999999998</v>
      </c>
      <c r="C4845">
        <v>95</v>
      </c>
      <c r="D4845">
        <v>235</v>
      </c>
      <c r="E4845">
        <v>36.689</v>
      </c>
      <c r="F4845">
        <v>2.7255999999999999E-2</v>
      </c>
      <c r="G4845">
        <v>149.27000000000001</v>
      </c>
      <c r="H4845">
        <v>0.30559999999999998</v>
      </c>
    </row>
    <row r="4846" spans="2:8" x14ac:dyDescent="0.25">
      <c r="B4846">
        <v>0.31608000000000003</v>
      </c>
      <c r="C4846">
        <v>100</v>
      </c>
      <c r="D4846">
        <v>235</v>
      </c>
      <c r="E4846">
        <v>36.406999999999996</v>
      </c>
      <c r="F4846">
        <v>2.7466999999999998E-2</v>
      </c>
      <c r="G4846">
        <v>155.11000000000001</v>
      </c>
      <c r="H4846">
        <v>0.31608000000000003</v>
      </c>
    </row>
    <row r="4847" spans="2:8" x14ac:dyDescent="0.25">
      <c r="B4847">
        <v>0.32654</v>
      </c>
      <c r="C4847">
        <v>105</v>
      </c>
      <c r="D4847">
        <v>235</v>
      </c>
      <c r="E4847">
        <v>36.119999999999997</v>
      </c>
      <c r="F4847">
        <v>2.7685000000000001E-2</v>
      </c>
      <c r="G4847">
        <v>160.99</v>
      </c>
      <c r="H4847">
        <v>0.32654</v>
      </c>
    </row>
    <row r="4848" spans="2:8" x14ac:dyDescent="0.25">
      <c r="B4848">
        <v>1.1647000000000001</v>
      </c>
      <c r="C4848">
        <v>110</v>
      </c>
      <c r="D4848">
        <v>235</v>
      </c>
      <c r="E4848">
        <v>0.77385000000000004</v>
      </c>
      <c r="F4848">
        <v>1.2922</v>
      </c>
      <c r="G4848">
        <v>635.67999999999995</v>
      </c>
      <c r="H4848">
        <v>1.1647000000000001</v>
      </c>
    </row>
    <row r="4849" spans="2:8" x14ac:dyDescent="0.25">
      <c r="B4849">
        <v>1.1718999999999999</v>
      </c>
      <c r="C4849">
        <v>115</v>
      </c>
      <c r="D4849">
        <v>235</v>
      </c>
      <c r="E4849">
        <v>0.76134000000000002</v>
      </c>
      <c r="F4849">
        <v>1.3134999999999999</v>
      </c>
      <c r="G4849">
        <v>639.78</v>
      </c>
      <c r="H4849">
        <v>1.1718999999999999</v>
      </c>
    </row>
    <row r="4850" spans="2:8" x14ac:dyDescent="0.25">
      <c r="B4850">
        <v>1.1788000000000001</v>
      </c>
      <c r="C4850">
        <v>120</v>
      </c>
      <c r="D4850">
        <v>235</v>
      </c>
      <c r="E4850">
        <v>0.74950000000000006</v>
      </c>
      <c r="F4850">
        <v>1.3342000000000001</v>
      </c>
      <c r="G4850">
        <v>643.78</v>
      </c>
      <c r="H4850">
        <v>1.1788000000000001</v>
      </c>
    </row>
    <row r="4851" spans="2:8" x14ac:dyDescent="0.25">
      <c r="B4851">
        <v>1.1855</v>
      </c>
      <c r="C4851">
        <v>125</v>
      </c>
      <c r="D4851">
        <v>235</v>
      </c>
      <c r="E4851">
        <v>0.73828000000000005</v>
      </c>
      <c r="F4851">
        <v>1.3545</v>
      </c>
      <c r="G4851">
        <v>647.67999999999995</v>
      </c>
      <c r="H4851">
        <v>1.1855</v>
      </c>
    </row>
    <row r="4852" spans="2:8" x14ac:dyDescent="0.25">
      <c r="B4852">
        <v>1.1919999999999999</v>
      </c>
      <c r="C4852">
        <v>130</v>
      </c>
      <c r="D4852">
        <v>235</v>
      </c>
      <c r="E4852">
        <v>0.72758999999999996</v>
      </c>
      <c r="F4852">
        <v>1.3744000000000001</v>
      </c>
      <c r="G4852">
        <v>651.5</v>
      </c>
      <c r="H4852">
        <v>1.1919999999999999</v>
      </c>
    </row>
    <row r="4853" spans="2:8" x14ac:dyDescent="0.25">
      <c r="B4853">
        <v>1.1982999999999999</v>
      </c>
      <c r="C4853">
        <v>135</v>
      </c>
      <c r="D4853">
        <v>235</v>
      </c>
      <c r="E4853">
        <v>0.71740000000000004</v>
      </c>
      <c r="F4853">
        <v>1.3938999999999999</v>
      </c>
      <c r="G4853">
        <v>655.24</v>
      </c>
      <c r="H4853">
        <v>1.1982999999999999</v>
      </c>
    </row>
    <row r="4854" spans="2:8" x14ac:dyDescent="0.25">
      <c r="B4854">
        <v>1.2044999999999999</v>
      </c>
      <c r="C4854">
        <v>140</v>
      </c>
      <c r="D4854">
        <v>235</v>
      </c>
      <c r="E4854">
        <v>0.70765999999999996</v>
      </c>
      <c r="F4854">
        <v>1.4131</v>
      </c>
      <c r="G4854">
        <v>658.91</v>
      </c>
      <c r="H4854">
        <v>1.2044999999999999</v>
      </c>
    </row>
    <row r="4855" spans="2:8" x14ac:dyDescent="0.25">
      <c r="B4855">
        <v>1.2104999999999999</v>
      </c>
      <c r="C4855">
        <v>145</v>
      </c>
      <c r="D4855">
        <v>235</v>
      </c>
      <c r="E4855">
        <v>0.69832000000000005</v>
      </c>
      <c r="F4855">
        <v>1.4319999999999999</v>
      </c>
      <c r="G4855">
        <v>662.53</v>
      </c>
      <c r="H4855">
        <v>1.2104999999999999</v>
      </c>
    </row>
    <row r="4856" spans="2:8" x14ac:dyDescent="0.25">
      <c r="B4856">
        <v>1.2162999999999999</v>
      </c>
      <c r="C4856">
        <v>150</v>
      </c>
      <c r="D4856">
        <v>235</v>
      </c>
      <c r="E4856">
        <v>0.68935999999999997</v>
      </c>
      <c r="F4856">
        <v>1.4505999999999999</v>
      </c>
      <c r="G4856">
        <v>666.09</v>
      </c>
      <c r="H4856">
        <v>1.2162999999999999</v>
      </c>
    </row>
    <row r="4857" spans="2:8" x14ac:dyDescent="0.25">
      <c r="B4857">
        <v>1.2221</v>
      </c>
      <c r="C4857">
        <v>155</v>
      </c>
      <c r="D4857">
        <v>235</v>
      </c>
      <c r="E4857">
        <v>0.68074999999999997</v>
      </c>
      <c r="F4857">
        <v>1.4690000000000001</v>
      </c>
      <c r="G4857">
        <v>669.6</v>
      </c>
      <c r="H4857">
        <v>1.2221</v>
      </c>
    </row>
    <row r="4858" spans="2:8" x14ac:dyDescent="0.25">
      <c r="B4858">
        <v>1.2277</v>
      </c>
      <c r="C4858">
        <v>160</v>
      </c>
      <c r="D4858">
        <v>235</v>
      </c>
      <c r="E4858">
        <v>0.67244999999999999</v>
      </c>
      <c r="F4858">
        <v>1.4871000000000001</v>
      </c>
      <c r="G4858">
        <v>673.06</v>
      </c>
      <c r="H4858">
        <v>1.2277</v>
      </c>
    </row>
    <row r="4859" spans="2:8" x14ac:dyDescent="0.25">
      <c r="B4859">
        <v>1.2332000000000001</v>
      </c>
      <c r="C4859">
        <v>165</v>
      </c>
      <c r="D4859">
        <v>235</v>
      </c>
      <c r="E4859">
        <v>0.66444999999999999</v>
      </c>
      <c r="F4859">
        <v>1.5049999999999999</v>
      </c>
      <c r="G4859">
        <v>676.49</v>
      </c>
      <c r="H4859">
        <v>1.2332000000000001</v>
      </c>
    </row>
    <row r="4860" spans="2:8" x14ac:dyDescent="0.25">
      <c r="B4860">
        <v>1.2385999999999999</v>
      </c>
      <c r="C4860">
        <v>170</v>
      </c>
      <c r="D4860">
        <v>235</v>
      </c>
      <c r="E4860">
        <v>0.65671999999999997</v>
      </c>
      <c r="F4860">
        <v>1.5226999999999999</v>
      </c>
      <c r="G4860">
        <v>679.87</v>
      </c>
      <c r="H4860">
        <v>1.2385999999999999</v>
      </c>
    </row>
    <row r="4861" spans="2:8" x14ac:dyDescent="0.25">
      <c r="B4861">
        <v>1.2439</v>
      </c>
      <c r="C4861">
        <v>175</v>
      </c>
      <c r="D4861">
        <v>235</v>
      </c>
      <c r="E4861">
        <v>0.64924999999999999</v>
      </c>
      <c r="F4861">
        <v>1.5402</v>
      </c>
      <c r="G4861">
        <v>683.23</v>
      </c>
      <c r="H4861">
        <v>1.2439</v>
      </c>
    </row>
    <row r="4862" spans="2:8" x14ac:dyDescent="0.25">
      <c r="B4862">
        <v>1.2491000000000001</v>
      </c>
      <c r="C4862">
        <v>180</v>
      </c>
      <c r="D4862">
        <v>235</v>
      </c>
      <c r="E4862">
        <v>0.64202000000000004</v>
      </c>
      <c r="F4862">
        <v>1.5576000000000001</v>
      </c>
      <c r="G4862">
        <v>686.55</v>
      </c>
      <c r="H4862">
        <v>1.2491000000000001</v>
      </c>
    </row>
    <row r="4863" spans="2:8" x14ac:dyDescent="0.25">
      <c r="B4863">
        <v>1.2542</v>
      </c>
      <c r="C4863">
        <v>185</v>
      </c>
      <c r="D4863">
        <v>235</v>
      </c>
      <c r="E4863">
        <v>0.63500999999999996</v>
      </c>
      <c r="F4863">
        <v>1.5748</v>
      </c>
      <c r="G4863">
        <v>689.84</v>
      </c>
      <c r="H4863">
        <v>1.2542</v>
      </c>
    </row>
    <row r="4864" spans="2:8" x14ac:dyDescent="0.25">
      <c r="B4864">
        <v>1.2593000000000001</v>
      </c>
      <c r="C4864">
        <v>190</v>
      </c>
      <c r="D4864">
        <v>235</v>
      </c>
      <c r="E4864">
        <v>0.62822</v>
      </c>
      <c r="F4864">
        <v>1.5918000000000001</v>
      </c>
      <c r="G4864">
        <v>693.11</v>
      </c>
      <c r="H4864">
        <v>1.2593000000000001</v>
      </c>
    </row>
    <row r="4865" spans="2:8" x14ac:dyDescent="0.25">
      <c r="B4865">
        <v>1.2643</v>
      </c>
      <c r="C4865">
        <v>195</v>
      </c>
      <c r="D4865">
        <v>235</v>
      </c>
      <c r="E4865">
        <v>0.62161999999999995</v>
      </c>
      <c r="F4865">
        <v>1.6087</v>
      </c>
      <c r="G4865">
        <v>696.36</v>
      </c>
      <c r="H4865">
        <v>1.2643</v>
      </c>
    </row>
    <row r="4866" spans="2:8" x14ac:dyDescent="0.25">
      <c r="B4866">
        <v>1.2692000000000001</v>
      </c>
      <c r="C4866">
        <v>200</v>
      </c>
      <c r="D4866">
        <v>235</v>
      </c>
      <c r="E4866">
        <v>0.61521000000000003</v>
      </c>
      <c r="F4866">
        <v>1.6254999999999999</v>
      </c>
      <c r="G4866">
        <v>699.58</v>
      </c>
      <c r="H4866">
        <v>1.2692000000000001</v>
      </c>
    </row>
    <row r="4867" spans="2:8" x14ac:dyDescent="0.25">
      <c r="B4867">
        <v>1.274</v>
      </c>
      <c r="C4867">
        <v>205</v>
      </c>
      <c r="D4867">
        <v>235</v>
      </c>
      <c r="E4867">
        <v>0.60897999999999997</v>
      </c>
      <c r="F4867">
        <v>1.6420999999999999</v>
      </c>
      <c r="G4867">
        <v>702.79</v>
      </c>
      <c r="H4867">
        <v>1.274</v>
      </c>
    </row>
    <row r="4868" spans="2:8" x14ac:dyDescent="0.25">
      <c r="B4868">
        <v>1.2787999999999999</v>
      </c>
      <c r="C4868">
        <v>210</v>
      </c>
      <c r="D4868">
        <v>235</v>
      </c>
      <c r="E4868">
        <v>0.60290999999999995</v>
      </c>
      <c r="F4868">
        <v>1.6586000000000001</v>
      </c>
      <c r="G4868">
        <v>705.97</v>
      </c>
      <c r="H4868">
        <v>1.2787999999999999</v>
      </c>
    </row>
    <row r="4869" spans="2:8" x14ac:dyDescent="0.25">
      <c r="B4869">
        <v>1.2835000000000001</v>
      </c>
      <c r="C4869">
        <v>215</v>
      </c>
      <c r="D4869">
        <v>235</v>
      </c>
      <c r="E4869">
        <v>0.59701000000000004</v>
      </c>
      <c r="F4869">
        <v>1.675</v>
      </c>
      <c r="G4869">
        <v>709.14</v>
      </c>
      <c r="H4869">
        <v>1.2835000000000001</v>
      </c>
    </row>
    <row r="4870" spans="2:8" x14ac:dyDescent="0.25">
      <c r="B4870">
        <v>1.2882</v>
      </c>
      <c r="C4870">
        <v>220</v>
      </c>
      <c r="D4870">
        <v>235</v>
      </c>
      <c r="E4870">
        <v>0.59125000000000005</v>
      </c>
      <c r="F4870">
        <v>1.6913</v>
      </c>
      <c r="G4870">
        <v>712.3</v>
      </c>
      <c r="H4870">
        <v>1.2882</v>
      </c>
    </row>
    <row r="4871" spans="2:8" x14ac:dyDescent="0.25">
      <c r="B4871">
        <v>1.2927999999999999</v>
      </c>
      <c r="C4871">
        <v>225</v>
      </c>
      <c r="D4871">
        <v>235</v>
      </c>
      <c r="E4871">
        <v>0.58564000000000005</v>
      </c>
      <c r="F4871">
        <v>1.7075</v>
      </c>
      <c r="G4871">
        <v>715.44</v>
      </c>
      <c r="H4871">
        <v>1.2927999999999999</v>
      </c>
    </row>
    <row r="4872" spans="2:8" x14ac:dyDescent="0.25">
      <c r="B4872">
        <v>1.2972999999999999</v>
      </c>
      <c r="C4872">
        <v>230</v>
      </c>
      <c r="D4872">
        <v>235</v>
      </c>
      <c r="E4872">
        <v>0.58016999999999996</v>
      </c>
      <c r="F4872">
        <v>1.7236</v>
      </c>
      <c r="G4872">
        <v>718.57</v>
      </c>
      <c r="H4872">
        <v>1.2972999999999999</v>
      </c>
    </row>
    <row r="4873" spans="2:8" x14ac:dyDescent="0.25">
      <c r="B4873">
        <v>1.3018000000000001</v>
      </c>
      <c r="C4873">
        <v>235</v>
      </c>
      <c r="D4873">
        <v>235</v>
      </c>
      <c r="E4873">
        <v>0.57482999999999995</v>
      </c>
      <c r="F4873">
        <v>1.7397</v>
      </c>
      <c r="G4873">
        <v>721.69</v>
      </c>
      <c r="H4873">
        <v>1.3018000000000001</v>
      </c>
    </row>
    <row r="4874" spans="2:8" x14ac:dyDescent="0.25">
      <c r="B4874">
        <v>1.3063</v>
      </c>
      <c r="C4874">
        <v>240</v>
      </c>
      <c r="D4874">
        <v>235</v>
      </c>
      <c r="E4874">
        <v>0.56960999999999995</v>
      </c>
      <c r="F4874">
        <v>1.7556</v>
      </c>
      <c r="G4874">
        <v>724.79</v>
      </c>
      <c r="H4874">
        <v>1.3063</v>
      </c>
    </row>
    <row r="4875" spans="2:8" x14ac:dyDescent="0.25">
      <c r="B4875">
        <v>1.3107</v>
      </c>
      <c r="C4875">
        <v>245</v>
      </c>
      <c r="D4875">
        <v>235</v>
      </c>
      <c r="E4875">
        <v>0.56450999999999996</v>
      </c>
      <c r="F4875">
        <v>1.7714000000000001</v>
      </c>
      <c r="G4875">
        <v>727.89</v>
      </c>
      <c r="H4875">
        <v>1.3107</v>
      </c>
    </row>
    <row r="4876" spans="2:8" x14ac:dyDescent="0.25">
      <c r="B4876">
        <v>1.3150999999999999</v>
      </c>
      <c r="C4876">
        <v>250</v>
      </c>
      <c r="D4876">
        <v>235</v>
      </c>
      <c r="E4876">
        <v>0.55952999999999997</v>
      </c>
      <c r="F4876">
        <v>1.7871999999999999</v>
      </c>
      <c r="G4876">
        <v>730.98</v>
      </c>
      <c r="H4876">
        <v>1.3150999999999999</v>
      </c>
    </row>
    <row r="4877" spans="2:8" x14ac:dyDescent="0.25">
      <c r="B4877">
        <v>1.3193999999999999</v>
      </c>
      <c r="C4877">
        <v>255</v>
      </c>
      <c r="D4877">
        <v>235</v>
      </c>
      <c r="E4877">
        <v>0.55464999999999998</v>
      </c>
      <c r="F4877">
        <v>1.8028999999999999</v>
      </c>
      <c r="G4877">
        <v>734.06</v>
      </c>
      <c r="H4877">
        <v>1.3193999999999999</v>
      </c>
    </row>
    <row r="4878" spans="2:8" x14ac:dyDescent="0.25">
      <c r="B4878">
        <v>1.3237000000000001</v>
      </c>
      <c r="C4878">
        <v>260</v>
      </c>
      <c r="D4878">
        <v>235</v>
      </c>
      <c r="E4878">
        <v>0.54988000000000004</v>
      </c>
      <c r="F4878">
        <v>1.8186</v>
      </c>
      <c r="G4878">
        <v>737.14</v>
      </c>
      <c r="H4878">
        <v>1.3237000000000001</v>
      </c>
    </row>
    <row r="4879" spans="2:8" x14ac:dyDescent="0.25">
      <c r="B4879">
        <v>1.3279000000000001</v>
      </c>
      <c r="C4879">
        <v>265</v>
      </c>
      <c r="D4879">
        <v>235</v>
      </c>
      <c r="E4879">
        <v>0.54520999999999997</v>
      </c>
      <c r="F4879">
        <v>1.8341000000000001</v>
      </c>
      <c r="G4879">
        <v>740.2</v>
      </c>
      <c r="H4879">
        <v>1.3279000000000001</v>
      </c>
    </row>
    <row r="4880" spans="2:8" x14ac:dyDescent="0.25">
      <c r="B4880">
        <v>1.3321000000000001</v>
      </c>
      <c r="C4880">
        <v>270</v>
      </c>
      <c r="D4880">
        <v>235</v>
      </c>
      <c r="E4880">
        <v>0.54064000000000001</v>
      </c>
      <c r="F4880">
        <v>1.8495999999999999</v>
      </c>
      <c r="G4880">
        <v>743.27</v>
      </c>
      <c r="H4880">
        <v>1.3321000000000001</v>
      </c>
    </row>
    <row r="4881" spans="2:8" x14ac:dyDescent="0.25">
      <c r="B4881">
        <v>1.3363</v>
      </c>
      <c r="C4881">
        <v>275</v>
      </c>
      <c r="D4881">
        <v>235</v>
      </c>
      <c r="E4881">
        <v>0.53617000000000004</v>
      </c>
      <c r="F4881">
        <v>1.8651</v>
      </c>
      <c r="G4881">
        <v>746.32</v>
      </c>
      <c r="H4881">
        <v>1.3363</v>
      </c>
    </row>
    <row r="4882" spans="2:8" x14ac:dyDescent="0.25">
      <c r="B4882">
        <v>1.3405</v>
      </c>
      <c r="C4882">
        <v>280</v>
      </c>
      <c r="D4882">
        <v>235</v>
      </c>
      <c r="E4882">
        <v>0.53178000000000003</v>
      </c>
      <c r="F4882">
        <v>1.8805000000000001</v>
      </c>
      <c r="G4882">
        <v>749.38</v>
      </c>
      <c r="H4882">
        <v>1.3405</v>
      </c>
    </row>
    <row r="4883" spans="2:8" x14ac:dyDescent="0.25">
      <c r="B4883">
        <v>1.3446</v>
      </c>
      <c r="C4883">
        <v>285</v>
      </c>
      <c r="D4883">
        <v>235</v>
      </c>
      <c r="E4883">
        <v>0.52747999999999995</v>
      </c>
      <c r="F4883">
        <v>1.8957999999999999</v>
      </c>
      <c r="G4883">
        <v>752.43</v>
      </c>
      <c r="H4883">
        <v>1.3446</v>
      </c>
    </row>
    <row r="4884" spans="2:8" x14ac:dyDescent="0.25">
      <c r="B4884">
        <v>1.3486</v>
      </c>
      <c r="C4884">
        <v>290</v>
      </c>
      <c r="D4884">
        <v>235</v>
      </c>
      <c r="E4884">
        <v>0.52325999999999995</v>
      </c>
      <c r="F4884">
        <v>1.9111</v>
      </c>
      <c r="G4884">
        <v>755.47</v>
      </c>
      <c r="H4884">
        <v>1.3486</v>
      </c>
    </row>
    <row r="4885" spans="2:8" x14ac:dyDescent="0.25">
      <c r="B4885">
        <v>1.3527</v>
      </c>
      <c r="C4885">
        <v>295</v>
      </c>
      <c r="D4885">
        <v>235</v>
      </c>
      <c r="E4885">
        <v>0.51912000000000003</v>
      </c>
      <c r="F4885">
        <v>1.9262999999999999</v>
      </c>
      <c r="G4885">
        <v>758.52</v>
      </c>
      <c r="H4885">
        <v>1.3527</v>
      </c>
    </row>
    <row r="4886" spans="2:8" x14ac:dyDescent="0.25">
      <c r="B4886">
        <v>1.3567</v>
      </c>
      <c r="C4886">
        <v>300</v>
      </c>
      <c r="D4886">
        <v>235</v>
      </c>
      <c r="E4886">
        <v>0.51505999999999996</v>
      </c>
      <c r="F4886">
        <v>1.9415</v>
      </c>
      <c r="G4886">
        <v>761.56</v>
      </c>
      <c r="H4886">
        <v>1.3567</v>
      </c>
    </row>
    <row r="4887" spans="2:8" x14ac:dyDescent="0.25">
      <c r="B4887">
        <v>1.3607</v>
      </c>
      <c r="C4887">
        <v>305</v>
      </c>
      <c r="D4887">
        <v>235</v>
      </c>
      <c r="E4887">
        <v>0.51107999999999998</v>
      </c>
      <c r="F4887">
        <v>1.9567000000000001</v>
      </c>
      <c r="G4887">
        <v>764.6</v>
      </c>
      <c r="H4887">
        <v>1.3607</v>
      </c>
    </row>
    <row r="4888" spans="2:8" x14ac:dyDescent="0.25">
      <c r="B4888">
        <v>1.3647</v>
      </c>
      <c r="C4888">
        <v>310</v>
      </c>
      <c r="D4888">
        <v>235</v>
      </c>
      <c r="E4888">
        <v>0.50717000000000001</v>
      </c>
      <c r="F4888">
        <v>1.9717</v>
      </c>
      <c r="G4888">
        <v>767.64</v>
      </c>
      <c r="H4888">
        <v>1.3647</v>
      </c>
    </row>
    <row r="4889" spans="2:8" x14ac:dyDescent="0.25">
      <c r="B4889">
        <v>1.3686</v>
      </c>
      <c r="C4889">
        <v>315</v>
      </c>
      <c r="D4889">
        <v>235</v>
      </c>
      <c r="E4889">
        <v>0.50331999999999999</v>
      </c>
      <c r="F4889">
        <v>1.9867999999999999</v>
      </c>
      <c r="G4889">
        <v>770.68</v>
      </c>
      <c r="H4889">
        <v>1.3686</v>
      </c>
    </row>
    <row r="4890" spans="2:8" x14ac:dyDescent="0.25">
      <c r="B4890">
        <v>1.3725000000000001</v>
      </c>
      <c r="C4890">
        <v>320</v>
      </c>
      <c r="D4890">
        <v>235</v>
      </c>
      <c r="E4890">
        <v>0.49954999999999999</v>
      </c>
      <c r="F4890">
        <v>2.0017999999999998</v>
      </c>
      <c r="G4890">
        <v>773.71</v>
      </c>
      <c r="H4890">
        <v>1.3725000000000001</v>
      </c>
    </row>
    <row r="4891" spans="2:8" x14ac:dyDescent="0.25">
      <c r="B4891">
        <v>1.3764000000000001</v>
      </c>
      <c r="C4891">
        <v>325</v>
      </c>
      <c r="D4891">
        <v>235</v>
      </c>
      <c r="E4891">
        <v>0.49584</v>
      </c>
      <c r="F4891">
        <v>2.0167999999999999</v>
      </c>
      <c r="G4891">
        <v>776.75</v>
      </c>
      <c r="H4891">
        <v>1.3764000000000001</v>
      </c>
    </row>
    <row r="4892" spans="2:8" x14ac:dyDescent="0.25">
      <c r="B4892">
        <v>1.3802000000000001</v>
      </c>
      <c r="C4892">
        <v>330</v>
      </c>
      <c r="D4892">
        <v>235</v>
      </c>
      <c r="E4892">
        <v>0.49220000000000003</v>
      </c>
      <c r="F4892">
        <v>2.0316999999999998</v>
      </c>
      <c r="G4892">
        <v>779.78</v>
      </c>
      <c r="H4892">
        <v>1.3802000000000001</v>
      </c>
    </row>
    <row r="4893" spans="2:8" x14ac:dyDescent="0.25">
      <c r="B4893">
        <v>1.3841000000000001</v>
      </c>
      <c r="C4893">
        <v>335</v>
      </c>
      <c r="D4893">
        <v>235</v>
      </c>
      <c r="E4893">
        <v>0.48862</v>
      </c>
      <c r="F4893">
        <v>2.0466000000000002</v>
      </c>
      <c r="G4893">
        <v>782.82</v>
      </c>
      <c r="H4893">
        <v>1.3841000000000001</v>
      </c>
    </row>
    <row r="4894" spans="2:8" x14ac:dyDescent="0.25">
      <c r="B4894">
        <v>1.3878999999999999</v>
      </c>
      <c r="C4894">
        <v>340</v>
      </c>
      <c r="D4894">
        <v>235</v>
      </c>
      <c r="E4894">
        <v>0.48509999999999998</v>
      </c>
      <c r="F4894">
        <v>2.0613999999999999</v>
      </c>
      <c r="G4894">
        <v>785.86</v>
      </c>
      <c r="H4894">
        <v>1.3878999999999999</v>
      </c>
    </row>
    <row r="4895" spans="2:8" x14ac:dyDescent="0.25">
      <c r="B4895">
        <v>1.3916999999999999</v>
      </c>
      <c r="C4895">
        <v>345</v>
      </c>
      <c r="D4895">
        <v>235</v>
      </c>
      <c r="E4895">
        <v>0.48164000000000001</v>
      </c>
      <c r="F4895">
        <v>2.0762999999999998</v>
      </c>
      <c r="G4895">
        <v>788.9</v>
      </c>
      <c r="H4895">
        <v>1.3916999999999999</v>
      </c>
    </row>
    <row r="4896" spans="2:8" x14ac:dyDescent="0.25">
      <c r="B4896">
        <v>1.3954</v>
      </c>
      <c r="C4896">
        <v>350</v>
      </c>
      <c r="D4896">
        <v>235</v>
      </c>
      <c r="E4896">
        <v>0.47822999999999999</v>
      </c>
      <c r="F4896">
        <v>2.0910000000000002</v>
      </c>
      <c r="G4896">
        <v>791.93</v>
      </c>
      <c r="H4896">
        <v>1.3954</v>
      </c>
    </row>
    <row r="4898" spans="1:8" x14ac:dyDescent="0.25">
      <c r="A4898">
        <v>240</v>
      </c>
      <c r="B4898">
        <v>9.6127000000000004E-2</v>
      </c>
      <c r="C4898">
        <v>0</v>
      </c>
      <c r="D4898">
        <v>240</v>
      </c>
      <c r="E4898">
        <v>41.396000000000001</v>
      </c>
      <c r="F4898">
        <v>2.4157000000000001E-2</v>
      </c>
      <c r="G4898">
        <v>43.247999999999998</v>
      </c>
      <c r="H4898">
        <v>9.6127000000000004E-2</v>
      </c>
    </row>
    <row r="4899" spans="1:8" x14ac:dyDescent="0.25">
      <c r="B4899">
        <v>0.10782</v>
      </c>
      <c r="C4899">
        <v>5</v>
      </c>
      <c r="D4899">
        <v>240</v>
      </c>
      <c r="E4899">
        <v>41.170999999999999</v>
      </c>
      <c r="F4899">
        <v>2.4289000000000002E-2</v>
      </c>
      <c r="G4899">
        <v>48.654000000000003</v>
      </c>
      <c r="H4899">
        <v>0.10782</v>
      </c>
    </row>
    <row r="4900" spans="1:8" x14ac:dyDescent="0.25">
      <c r="B4900">
        <v>0.11942999999999999</v>
      </c>
      <c r="C4900">
        <v>10</v>
      </c>
      <c r="D4900">
        <v>240</v>
      </c>
      <c r="E4900">
        <v>40.942999999999998</v>
      </c>
      <c r="F4900">
        <v>2.4424000000000001E-2</v>
      </c>
      <c r="G4900">
        <v>54.076999999999998</v>
      </c>
      <c r="H4900">
        <v>0.11942999999999999</v>
      </c>
    </row>
    <row r="4901" spans="1:8" x14ac:dyDescent="0.25">
      <c r="B4901">
        <v>0.13095000000000001</v>
      </c>
      <c r="C4901">
        <v>15</v>
      </c>
      <c r="D4901">
        <v>240</v>
      </c>
      <c r="E4901">
        <v>40.713999999999999</v>
      </c>
      <c r="F4901">
        <v>2.4562E-2</v>
      </c>
      <c r="G4901">
        <v>59.515000000000001</v>
      </c>
      <c r="H4901">
        <v>0.13095000000000001</v>
      </c>
    </row>
    <row r="4902" spans="1:8" x14ac:dyDescent="0.25">
      <c r="B4902">
        <v>0.14238000000000001</v>
      </c>
      <c r="C4902">
        <v>20</v>
      </c>
      <c r="D4902">
        <v>240</v>
      </c>
      <c r="E4902">
        <v>40.482999999999997</v>
      </c>
      <c r="F4902">
        <v>2.4702000000000002E-2</v>
      </c>
      <c r="G4902">
        <v>64.971000000000004</v>
      </c>
      <c r="H4902">
        <v>0.14238000000000001</v>
      </c>
    </row>
    <row r="4903" spans="1:8" x14ac:dyDescent="0.25">
      <c r="B4903">
        <v>0.15373000000000001</v>
      </c>
      <c r="C4903">
        <v>25</v>
      </c>
      <c r="D4903">
        <v>240</v>
      </c>
      <c r="E4903">
        <v>40.249000000000002</v>
      </c>
      <c r="F4903">
        <v>2.4844999999999999E-2</v>
      </c>
      <c r="G4903">
        <v>70.442999999999998</v>
      </c>
      <c r="H4903">
        <v>0.15373000000000001</v>
      </c>
    </row>
    <row r="4904" spans="1:8" x14ac:dyDescent="0.25">
      <c r="B4904">
        <v>0.16500000000000001</v>
      </c>
      <c r="C4904">
        <v>30</v>
      </c>
      <c r="D4904">
        <v>240</v>
      </c>
      <c r="E4904">
        <v>40.012999999999998</v>
      </c>
      <c r="F4904">
        <v>2.4992E-2</v>
      </c>
      <c r="G4904">
        <v>75.933000000000007</v>
      </c>
      <c r="H4904">
        <v>0.16500000000000001</v>
      </c>
    </row>
    <row r="4905" spans="1:8" x14ac:dyDescent="0.25">
      <c r="B4905">
        <v>0.17619000000000001</v>
      </c>
      <c r="C4905">
        <v>35</v>
      </c>
      <c r="D4905">
        <v>240</v>
      </c>
      <c r="E4905">
        <v>39.774999999999999</v>
      </c>
      <c r="F4905">
        <v>2.5141E-2</v>
      </c>
      <c r="G4905">
        <v>81.441999999999993</v>
      </c>
      <c r="H4905">
        <v>0.17619000000000001</v>
      </c>
    </row>
    <row r="4906" spans="1:8" x14ac:dyDescent="0.25">
      <c r="B4906">
        <v>0.18731</v>
      </c>
      <c r="C4906">
        <v>40</v>
      </c>
      <c r="D4906">
        <v>240</v>
      </c>
      <c r="E4906">
        <v>39.534999999999997</v>
      </c>
      <c r="F4906">
        <v>2.5294000000000001E-2</v>
      </c>
      <c r="G4906">
        <v>86.968000000000004</v>
      </c>
      <c r="H4906">
        <v>0.18731</v>
      </c>
    </row>
    <row r="4907" spans="1:8" x14ac:dyDescent="0.25">
      <c r="B4907">
        <v>0.19835</v>
      </c>
      <c r="C4907">
        <v>45</v>
      </c>
      <c r="D4907">
        <v>240</v>
      </c>
      <c r="E4907">
        <v>39.292000000000002</v>
      </c>
      <c r="F4907">
        <v>2.5451000000000001E-2</v>
      </c>
      <c r="G4907">
        <v>92.513999999999996</v>
      </c>
      <c r="H4907">
        <v>0.19835</v>
      </c>
    </row>
    <row r="4908" spans="1:8" x14ac:dyDescent="0.25">
      <c r="B4908">
        <v>0.20932999999999999</v>
      </c>
      <c r="C4908">
        <v>50</v>
      </c>
      <c r="D4908">
        <v>240</v>
      </c>
      <c r="E4908">
        <v>39.045999999999999</v>
      </c>
      <c r="F4908">
        <v>2.5610999999999998E-2</v>
      </c>
      <c r="G4908">
        <v>98.08</v>
      </c>
      <c r="H4908">
        <v>0.20932999999999999</v>
      </c>
    </row>
    <row r="4909" spans="1:8" x14ac:dyDescent="0.25">
      <c r="B4909">
        <v>0.22023999999999999</v>
      </c>
      <c r="C4909">
        <v>55</v>
      </c>
      <c r="D4909">
        <v>240</v>
      </c>
      <c r="E4909">
        <v>38.798000000000002</v>
      </c>
      <c r="F4909">
        <v>2.5774999999999999E-2</v>
      </c>
      <c r="G4909">
        <v>103.67</v>
      </c>
      <c r="H4909">
        <v>0.22023999999999999</v>
      </c>
    </row>
    <row r="4910" spans="1:8" x14ac:dyDescent="0.25">
      <c r="B4910">
        <v>0.23108000000000001</v>
      </c>
      <c r="C4910">
        <v>60</v>
      </c>
      <c r="D4910">
        <v>240</v>
      </c>
      <c r="E4910">
        <v>38.545999999999999</v>
      </c>
      <c r="F4910">
        <v>2.5943000000000001E-2</v>
      </c>
      <c r="G4910">
        <v>109.28</v>
      </c>
      <c r="H4910">
        <v>0.23108000000000001</v>
      </c>
    </row>
    <row r="4911" spans="1:8" x14ac:dyDescent="0.25">
      <c r="B4911">
        <v>0.24187</v>
      </c>
      <c r="C4911">
        <v>65</v>
      </c>
      <c r="D4911">
        <v>240</v>
      </c>
      <c r="E4911">
        <v>38.292000000000002</v>
      </c>
      <c r="F4911">
        <v>2.6114999999999999E-2</v>
      </c>
      <c r="G4911">
        <v>114.91</v>
      </c>
      <c r="H4911">
        <v>0.24187</v>
      </c>
    </row>
    <row r="4912" spans="1:8" x14ac:dyDescent="0.25">
      <c r="B4912">
        <v>0.25259999999999999</v>
      </c>
      <c r="C4912">
        <v>70</v>
      </c>
      <c r="D4912">
        <v>240</v>
      </c>
      <c r="E4912">
        <v>38.033999999999999</v>
      </c>
      <c r="F4912">
        <v>2.6291999999999999E-2</v>
      </c>
      <c r="G4912">
        <v>120.57</v>
      </c>
      <c r="H4912">
        <v>0.25259999999999999</v>
      </c>
    </row>
    <row r="4913" spans="2:8" x14ac:dyDescent="0.25">
      <c r="B4913">
        <v>0.26328000000000001</v>
      </c>
      <c r="C4913">
        <v>75</v>
      </c>
      <c r="D4913">
        <v>240</v>
      </c>
      <c r="E4913">
        <v>37.773000000000003</v>
      </c>
      <c r="F4913">
        <v>2.6474000000000001E-2</v>
      </c>
      <c r="G4913">
        <v>126.25</v>
      </c>
      <c r="H4913">
        <v>0.26328000000000001</v>
      </c>
    </row>
    <row r="4914" spans="2:8" x14ac:dyDescent="0.25">
      <c r="B4914">
        <v>0.27390999999999999</v>
      </c>
      <c r="C4914">
        <v>80</v>
      </c>
      <c r="D4914">
        <v>240</v>
      </c>
      <c r="E4914">
        <v>37.509</v>
      </c>
      <c r="F4914">
        <v>2.666E-2</v>
      </c>
      <c r="G4914">
        <v>131.96</v>
      </c>
      <c r="H4914">
        <v>0.27390999999999999</v>
      </c>
    </row>
    <row r="4915" spans="2:8" x14ac:dyDescent="0.25">
      <c r="B4915">
        <v>0.28449999999999998</v>
      </c>
      <c r="C4915">
        <v>85</v>
      </c>
      <c r="D4915">
        <v>240</v>
      </c>
      <c r="E4915">
        <v>37.24</v>
      </c>
      <c r="F4915">
        <v>2.6852999999999998E-2</v>
      </c>
      <c r="G4915">
        <v>137.69999999999999</v>
      </c>
      <c r="H4915">
        <v>0.28449999999999998</v>
      </c>
    </row>
    <row r="4916" spans="2:8" x14ac:dyDescent="0.25">
      <c r="B4916">
        <v>0.29504999999999998</v>
      </c>
      <c r="C4916">
        <v>90</v>
      </c>
      <c r="D4916">
        <v>240</v>
      </c>
      <c r="E4916">
        <v>36.968000000000004</v>
      </c>
      <c r="F4916">
        <v>2.7050999999999999E-2</v>
      </c>
      <c r="G4916">
        <v>143.47</v>
      </c>
      <c r="H4916">
        <v>0.29504999999999998</v>
      </c>
    </row>
    <row r="4917" spans="2:8" x14ac:dyDescent="0.25">
      <c r="B4917">
        <v>0.30556</v>
      </c>
      <c r="C4917">
        <v>95</v>
      </c>
      <c r="D4917">
        <v>240</v>
      </c>
      <c r="E4917">
        <v>36.691000000000003</v>
      </c>
      <c r="F4917">
        <v>2.7255000000000001E-2</v>
      </c>
      <c r="G4917">
        <v>149.28</v>
      </c>
      <c r="H4917">
        <v>0.30556</v>
      </c>
    </row>
    <row r="4918" spans="2:8" x14ac:dyDescent="0.25">
      <c r="B4918">
        <v>0.31603999999999999</v>
      </c>
      <c r="C4918">
        <v>100</v>
      </c>
      <c r="D4918">
        <v>240</v>
      </c>
      <c r="E4918">
        <v>36.408999999999999</v>
      </c>
      <c r="F4918">
        <v>2.7465E-2</v>
      </c>
      <c r="G4918">
        <v>155.12</v>
      </c>
      <c r="H4918">
        <v>0.31603999999999999</v>
      </c>
    </row>
    <row r="4919" spans="2:8" x14ac:dyDescent="0.25">
      <c r="B4919">
        <v>0.32650000000000001</v>
      </c>
      <c r="C4919">
        <v>105</v>
      </c>
      <c r="D4919">
        <v>240</v>
      </c>
      <c r="E4919">
        <v>36.122999999999998</v>
      </c>
      <c r="F4919">
        <v>2.7682999999999999E-2</v>
      </c>
      <c r="G4919">
        <v>161</v>
      </c>
      <c r="H4919">
        <v>0.32650000000000001</v>
      </c>
    </row>
    <row r="4920" spans="2:8" x14ac:dyDescent="0.25">
      <c r="B4920">
        <v>1.1607000000000001</v>
      </c>
      <c r="C4920">
        <v>110</v>
      </c>
      <c r="D4920">
        <v>240</v>
      </c>
      <c r="E4920">
        <v>0.79403000000000001</v>
      </c>
      <c r="F4920">
        <v>1.2594000000000001</v>
      </c>
      <c r="G4920">
        <v>634.6</v>
      </c>
      <c r="H4920">
        <v>1.1607000000000001</v>
      </c>
    </row>
    <row r="4921" spans="2:8" x14ac:dyDescent="0.25">
      <c r="B4921">
        <v>1.1679999999999999</v>
      </c>
      <c r="C4921">
        <v>115</v>
      </c>
      <c r="D4921">
        <v>240</v>
      </c>
      <c r="E4921">
        <v>0.78095999999999999</v>
      </c>
      <c r="F4921">
        <v>1.2805</v>
      </c>
      <c r="G4921">
        <v>638.76</v>
      </c>
      <c r="H4921">
        <v>1.1679999999999999</v>
      </c>
    </row>
    <row r="4922" spans="2:8" x14ac:dyDescent="0.25">
      <c r="B4922">
        <v>1.175</v>
      </c>
      <c r="C4922">
        <v>120</v>
      </c>
      <c r="D4922">
        <v>240</v>
      </c>
      <c r="E4922">
        <v>0.76863000000000004</v>
      </c>
      <c r="F4922">
        <v>1.3009999999999999</v>
      </c>
      <c r="G4922">
        <v>642.80999999999995</v>
      </c>
      <c r="H4922">
        <v>1.175</v>
      </c>
    </row>
    <row r="4923" spans="2:8" x14ac:dyDescent="0.25">
      <c r="B4923">
        <v>1.1818</v>
      </c>
      <c r="C4923">
        <v>125</v>
      </c>
      <c r="D4923">
        <v>240</v>
      </c>
      <c r="E4923">
        <v>0.75693999999999995</v>
      </c>
      <c r="F4923">
        <v>1.3210999999999999</v>
      </c>
      <c r="G4923">
        <v>646.76</v>
      </c>
      <c r="H4923">
        <v>1.1818</v>
      </c>
    </row>
    <row r="4924" spans="2:8" x14ac:dyDescent="0.25">
      <c r="B4924">
        <v>1.1883999999999999</v>
      </c>
      <c r="C4924">
        <v>130</v>
      </c>
      <c r="D4924">
        <v>240</v>
      </c>
      <c r="E4924">
        <v>0.74582999999999999</v>
      </c>
      <c r="F4924">
        <v>1.3408</v>
      </c>
      <c r="G4924">
        <v>650.61</v>
      </c>
      <c r="H4924">
        <v>1.1883999999999999</v>
      </c>
    </row>
    <row r="4925" spans="2:8" x14ac:dyDescent="0.25">
      <c r="B4925">
        <v>1.1948000000000001</v>
      </c>
      <c r="C4925">
        <v>135</v>
      </c>
      <c r="D4925">
        <v>240</v>
      </c>
      <c r="E4925">
        <v>0.73524</v>
      </c>
      <c r="F4925">
        <v>1.3601000000000001</v>
      </c>
      <c r="G4925">
        <v>654.4</v>
      </c>
      <c r="H4925">
        <v>1.1948000000000001</v>
      </c>
    </row>
    <row r="4926" spans="2:8" x14ac:dyDescent="0.25">
      <c r="B4926">
        <v>1.2010000000000001</v>
      </c>
      <c r="C4926">
        <v>140</v>
      </c>
      <c r="D4926">
        <v>240</v>
      </c>
      <c r="E4926">
        <v>0.72513000000000005</v>
      </c>
      <c r="F4926">
        <v>1.3791</v>
      </c>
      <c r="G4926">
        <v>658.11</v>
      </c>
      <c r="H4926">
        <v>1.2010000000000001</v>
      </c>
    </row>
    <row r="4927" spans="2:8" x14ac:dyDescent="0.25">
      <c r="B4927">
        <v>1.2070000000000001</v>
      </c>
      <c r="C4927">
        <v>145</v>
      </c>
      <c r="D4927">
        <v>240</v>
      </c>
      <c r="E4927">
        <v>0.71545000000000003</v>
      </c>
      <c r="F4927">
        <v>1.3976999999999999</v>
      </c>
      <c r="G4927">
        <v>661.75</v>
      </c>
      <c r="H4927">
        <v>1.2070000000000001</v>
      </c>
    </row>
    <row r="4928" spans="2:8" x14ac:dyDescent="0.25">
      <c r="B4928">
        <v>1.2129000000000001</v>
      </c>
      <c r="C4928">
        <v>150</v>
      </c>
      <c r="D4928">
        <v>240</v>
      </c>
      <c r="E4928">
        <v>0.70616999999999996</v>
      </c>
      <c r="F4928">
        <v>1.4160999999999999</v>
      </c>
      <c r="G4928">
        <v>665.34</v>
      </c>
      <c r="H4928">
        <v>1.2129000000000001</v>
      </c>
    </row>
    <row r="4929" spans="2:8" x14ac:dyDescent="0.25">
      <c r="B4929">
        <v>1.2186999999999999</v>
      </c>
      <c r="C4929">
        <v>155</v>
      </c>
      <c r="D4929">
        <v>240</v>
      </c>
      <c r="E4929">
        <v>0.69725000000000004</v>
      </c>
      <c r="F4929">
        <v>1.4341999999999999</v>
      </c>
      <c r="G4929">
        <v>668.88</v>
      </c>
      <c r="H4929">
        <v>1.2186999999999999</v>
      </c>
    </row>
    <row r="4930" spans="2:8" x14ac:dyDescent="0.25">
      <c r="B4930">
        <v>1.2243999999999999</v>
      </c>
      <c r="C4930">
        <v>160</v>
      </c>
      <c r="D4930">
        <v>240</v>
      </c>
      <c r="E4930">
        <v>0.68866000000000005</v>
      </c>
      <c r="F4930">
        <v>1.4520999999999999</v>
      </c>
      <c r="G4930">
        <v>672.37</v>
      </c>
      <c r="H4930">
        <v>1.2243999999999999</v>
      </c>
    </row>
    <row r="4931" spans="2:8" x14ac:dyDescent="0.25">
      <c r="B4931">
        <v>1.2299</v>
      </c>
      <c r="C4931">
        <v>165</v>
      </c>
      <c r="D4931">
        <v>240</v>
      </c>
      <c r="E4931">
        <v>0.68039000000000005</v>
      </c>
      <c r="F4931">
        <v>1.4698</v>
      </c>
      <c r="G4931">
        <v>675.82</v>
      </c>
      <c r="H4931">
        <v>1.2299</v>
      </c>
    </row>
    <row r="4932" spans="2:8" x14ac:dyDescent="0.25">
      <c r="B4932">
        <v>1.2354000000000001</v>
      </c>
      <c r="C4932">
        <v>170</v>
      </c>
      <c r="D4932">
        <v>240</v>
      </c>
      <c r="E4932">
        <v>0.6724</v>
      </c>
      <c r="F4932">
        <v>1.4872000000000001</v>
      </c>
      <c r="G4932">
        <v>679.23</v>
      </c>
      <c r="H4932">
        <v>1.2354000000000001</v>
      </c>
    </row>
    <row r="4933" spans="2:8" x14ac:dyDescent="0.25">
      <c r="B4933">
        <v>1.2406999999999999</v>
      </c>
      <c r="C4933">
        <v>175</v>
      </c>
      <c r="D4933">
        <v>240</v>
      </c>
      <c r="E4933">
        <v>0.66468000000000005</v>
      </c>
      <c r="F4933">
        <v>1.5044999999999999</v>
      </c>
      <c r="G4933">
        <v>682.6</v>
      </c>
      <c r="H4933">
        <v>1.2406999999999999</v>
      </c>
    </row>
    <row r="4934" spans="2:8" x14ac:dyDescent="0.25">
      <c r="B4934">
        <v>1.2459</v>
      </c>
      <c r="C4934">
        <v>180</v>
      </c>
      <c r="D4934">
        <v>240</v>
      </c>
      <c r="E4934">
        <v>0.65722000000000003</v>
      </c>
      <c r="F4934">
        <v>1.5216000000000001</v>
      </c>
      <c r="G4934">
        <v>685.95</v>
      </c>
      <c r="H4934">
        <v>1.2459</v>
      </c>
    </row>
    <row r="4935" spans="2:8" x14ac:dyDescent="0.25">
      <c r="B4935">
        <v>1.2511000000000001</v>
      </c>
      <c r="C4935">
        <v>185</v>
      </c>
      <c r="D4935">
        <v>240</v>
      </c>
      <c r="E4935">
        <v>0.64998999999999996</v>
      </c>
      <c r="F4935">
        <v>1.5385</v>
      </c>
      <c r="G4935">
        <v>689.26</v>
      </c>
      <c r="H4935">
        <v>1.2511000000000001</v>
      </c>
    </row>
    <row r="4936" spans="2:8" x14ac:dyDescent="0.25">
      <c r="B4936">
        <v>1.2562</v>
      </c>
      <c r="C4936">
        <v>190</v>
      </c>
      <c r="D4936">
        <v>240</v>
      </c>
      <c r="E4936">
        <v>0.64297000000000004</v>
      </c>
      <c r="F4936">
        <v>1.5552999999999999</v>
      </c>
      <c r="G4936">
        <v>692.55</v>
      </c>
      <c r="H4936">
        <v>1.2562</v>
      </c>
    </row>
    <row r="4937" spans="2:8" x14ac:dyDescent="0.25">
      <c r="B4937">
        <v>1.2612000000000001</v>
      </c>
      <c r="C4937">
        <v>195</v>
      </c>
      <c r="D4937">
        <v>240</v>
      </c>
      <c r="E4937">
        <v>0.63617000000000001</v>
      </c>
      <c r="F4937">
        <v>1.5719000000000001</v>
      </c>
      <c r="G4937">
        <v>695.81</v>
      </c>
      <c r="H4937">
        <v>1.2612000000000001</v>
      </c>
    </row>
    <row r="4938" spans="2:8" x14ac:dyDescent="0.25">
      <c r="B4938">
        <v>1.2661</v>
      </c>
      <c r="C4938">
        <v>200</v>
      </c>
      <c r="D4938">
        <v>240</v>
      </c>
      <c r="E4938">
        <v>0.62956000000000001</v>
      </c>
      <c r="F4938">
        <v>1.5884</v>
      </c>
      <c r="G4938">
        <v>699.05</v>
      </c>
      <c r="H4938">
        <v>1.2661</v>
      </c>
    </row>
    <row r="4939" spans="2:8" x14ac:dyDescent="0.25">
      <c r="B4939">
        <v>1.2709999999999999</v>
      </c>
      <c r="C4939">
        <v>205</v>
      </c>
      <c r="D4939">
        <v>240</v>
      </c>
      <c r="E4939">
        <v>0.62314000000000003</v>
      </c>
      <c r="F4939">
        <v>1.6048</v>
      </c>
      <c r="G4939">
        <v>702.27</v>
      </c>
      <c r="H4939">
        <v>1.2709999999999999</v>
      </c>
    </row>
    <row r="4940" spans="2:8" x14ac:dyDescent="0.25">
      <c r="B4940">
        <v>1.2758</v>
      </c>
      <c r="C4940">
        <v>210</v>
      </c>
      <c r="D4940">
        <v>240</v>
      </c>
      <c r="E4940">
        <v>0.6169</v>
      </c>
      <c r="F4940">
        <v>1.621</v>
      </c>
      <c r="G4940">
        <v>705.47</v>
      </c>
      <c r="H4940">
        <v>1.2758</v>
      </c>
    </row>
    <row r="4941" spans="2:8" x14ac:dyDescent="0.25">
      <c r="B4941">
        <v>1.2805</v>
      </c>
      <c r="C4941">
        <v>215</v>
      </c>
      <c r="D4941">
        <v>240</v>
      </c>
      <c r="E4941">
        <v>0.61080999999999996</v>
      </c>
      <c r="F4941">
        <v>1.6372</v>
      </c>
      <c r="G4941">
        <v>708.65</v>
      </c>
      <c r="H4941">
        <v>1.2805</v>
      </c>
    </row>
    <row r="4942" spans="2:8" x14ac:dyDescent="0.25">
      <c r="B4942">
        <v>1.2851999999999999</v>
      </c>
      <c r="C4942">
        <v>220</v>
      </c>
      <c r="D4942">
        <v>240</v>
      </c>
      <c r="E4942">
        <v>0.60489000000000004</v>
      </c>
      <c r="F4942">
        <v>1.6532</v>
      </c>
      <c r="G4942">
        <v>711.82</v>
      </c>
      <c r="H4942">
        <v>1.2851999999999999</v>
      </c>
    </row>
    <row r="4943" spans="2:8" x14ac:dyDescent="0.25">
      <c r="B4943">
        <v>1.2898000000000001</v>
      </c>
      <c r="C4943">
        <v>225</v>
      </c>
      <c r="D4943">
        <v>240</v>
      </c>
      <c r="E4943">
        <v>0.59911999999999999</v>
      </c>
      <c r="F4943">
        <v>1.6691</v>
      </c>
      <c r="G4943">
        <v>714.97</v>
      </c>
      <c r="H4943">
        <v>1.2898000000000001</v>
      </c>
    </row>
    <row r="4944" spans="2:8" x14ac:dyDescent="0.25">
      <c r="B4944">
        <v>1.2944</v>
      </c>
      <c r="C4944">
        <v>230</v>
      </c>
      <c r="D4944">
        <v>240</v>
      </c>
      <c r="E4944">
        <v>0.59348000000000001</v>
      </c>
      <c r="F4944">
        <v>1.6850000000000001</v>
      </c>
      <c r="G4944">
        <v>718.11</v>
      </c>
      <c r="H4944">
        <v>1.2944</v>
      </c>
    </row>
    <row r="4945" spans="2:8" x14ac:dyDescent="0.25">
      <c r="B4945">
        <v>1.2988999999999999</v>
      </c>
      <c r="C4945">
        <v>235</v>
      </c>
      <c r="D4945">
        <v>240</v>
      </c>
      <c r="E4945">
        <v>0.58799000000000001</v>
      </c>
      <c r="F4945">
        <v>1.7007000000000001</v>
      </c>
      <c r="G4945">
        <v>721.24</v>
      </c>
      <c r="H4945">
        <v>1.2988999999999999</v>
      </c>
    </row>
    <row r="4946" spans="2:8" x14ac:dyDescent="0.25">
      <c r="B4946">
        <v>1.3033999999999999</v>
      </c>
      <c r="C4946">
        <v>240</v>
      </c>
      <c r="D4946">
        <v>240</v>
      </c>
      <c r="E4946">
        <v>0.58262000000000003</v>
      </c>
      <c r="F4946">
        <v>1.7163999999999999</v>
      </c>
      <c r="G4946">
        <v>724.36</v>
      </c>
      <c r="H4946">
        <v>1.3033999999999999</v>
      </c>
    </row>
    <row r="4947" spans="2:8" x14ac:dyDescent="0.25">
      <c r="B4947">
        <v>1.3078000000000001</v>
      </c>
      <c r="C4947">
        <v>245</v>
      </c>
      <c r="D4947">
        <v>240</v>
      </c>
      <c r="E4947">
        <v>0.57738</v>
      </c>
      <c r="F4947">
        <v>1.732</v>
      </c>
      <c r="G4947">
        <v>727.47</v>
      </c>
      <c r="H4947">
        <v>1.3078000000000001</v>
      </c>
    </row>
    <row r="4948" spans="2:8" x14ac:dyDescent="0.25">
      <c r="B4948">
        <v>1.3122</v>
      </c>
      <c r="C4948">
        <v>250</v>
      </c>
      <c r="D4948">
        <v>240</v>
      </c>
      <c r="E4948">
        <v>0.57225999999999999</v>
      </c>
      <c r="F4948">
        <v>1.7475000000000001</v>
      </c>
      <c r="G4948">
        <v>730.56</v>
      </c>
      <c r="H4948">
        <v>1.3122</v>
      </c>
    </row>
    <row r="4949" spans="2:8" x14ac:dyDescent="0.25">
      <c r="B4949">
        <v>1.3165</v>
      </c>
      <c r="C4949">
        <v>255</v>
      </c>
      <c r="D4949">
        <v>240</v>
      </c>
      <c r="E4949">
        <v>0.56725000000000003</v>
      </c>
      <c r="F4949">
        <v>1.7628999999999999</v>
      </c>
      <c r="G4949">
        <v>733.66</v>
      </c>
      <c r="H4949">
        <v>1.3165</v>
      </c>
    </row>
    <row r="4950" spans="2:8" x14ac:dyDescent="0.25">
      <c r="B4950">
        <v>1.3208</v>
      </c>
      <c r="C4950">
        <v>260</v>
      </c>
      <c r="D4950">
        <v>240</v>
      </c>
      <c r="E4950">
        <v>0.56233999999999995</v>
      </c>
      <c r="F4950">
        <v>1.7783</v>
      </c>
      <c r="G4950">
        <v>736.74</v>
      </c>
      <c r="H4950">
        <v>1.3208</v>
      </c>
    </row>
    <row r="4951" spans="2:8" x14ac:dyDescent="0.25">
      <c r="B4951">
        <v>1.3250999999999999</v>
      </c>
      <c r="C4951">
        <v>265</v>
      </c>
      <c r="D4951">
        <v>240</v>
      </c>
      <c r="E4951">
        <v>0.55754999999999999</v>
      </c>
      <c r="F4951">
        <v>1.7936000000000001</v>
      </c>
      <c r="G4951">
        <v>739.82</v>
      </c>
      <c r="H4951">
        <v>1.3250999999999999</v>
      </c>
    </row>
    <row r="4952" spans="2:8" x14ac:dyDescent="0.25">
      <c r="B4952">
        <v>1.3292999999999999</v>
      </c>
      <c r="C4952">
        <v>270</v>
      </c>
      <c r="D4952">
        <v>240</v>
      </c>
      <c r="E4952">
        <v>0.55284999999999995</v>
      </c>
      <c r="F4952">
        <v>1.8088</v>
      </c>
      <c r="G4952">
        <v>742.89</v>
      </c>
      <c r="H4952">
        <v>1.3292999999999999</v>
      </c>
    </row>
    <row r="4953" spans="2:8" x14ac:dyDescent="0.25">
      <c r="B4953">
        <v>1.3334999999999999</v>
      </c>
      <c r="C4953">
        <v>275</v>
      </c>
      <c r="D4953">
        <v>240</v>
      </c>
      <c r="E4953">
        <v>0.54825000000000002</v>
      </c>
      <c r="F4953">
        <v>1.8240000000000001</v>
      </c>
      <c r="G4953">
        <v>745.95</v>
      </c>
      <c r="H4953">
        <v>1.3334999999999999</v>
      </c>
    </row>
    <row r="4954" spans="2:8" x14ac:dyDescent="0.25">
      <c r="B4954">
        <v>1.3375999999999999</v>
      </c>
      <c r="C4954">
        <v>280</v>
      </c>
      <c r="D4954">
        <v>240</v>
      </c>
      <c r="E4954">
        <v>0.54374999999999996</v>
      </c>
      <c r="F4954">
        <v>1.8391</v>
      </c>
      <c r="G4954">
        <v>749.02</v>
      </c>
      <c r="H4954">
        <v>1.3375999999999999</v>
      </c>
    </row>
    <row r="4955" spans="2:8" x14ac:dyDescent="0.25">
      <c r="B4955">
        <v>1.3418000000000001</v>
      </c>
      <c r="C4955">
        <v>285</v>
      </c>
      <c r="D4955">
        <v>240</v>
      </c>
      <c r="E4955">
        <v>0.53932999999999998</v>
      </c>
      <c r="F4955">
        <v>1.8541000000000001</v>
      </c>
      <c r="G4955">
        <v>752.07</v>
      </c>
      <c r="H4955">
        <v>1.3418000000000001</v>
      </c>
    </row>
    <row r="4956" spans="2:8" x14ac:dyDescent="0.25">
      <c r="B4956">
        <v>1.3458000000000001</v>
      </c>
      <c r="C4956">
        <v>290</v>
      </c>
      <c r="D4956">
        <v>240</v>
      </c>
      <c r="E4956">
        <v>0.53500000000000003</v>
      </c>
      <c r="F4956">
        <v>1.8692</v>
      </c>
      <c r="G4956">
        <v>755.13</v>
      </c>
      <c r="H4956">
        <v>1.3458000000000001</v>
      </c>
    </row>
    <row r="4957" spans="2:8" x14ac:dyDescent="0.25">
      <c r="B4957">
        <v>1.3499000000000001</v>
      </c>
      <c r="C4957">
        <v>295</v>
      </c>
      <c r="D4957">
        <v>240</v>
      </c>
      <c r="E4957">
        <v>0.53076000000000001</v>
      </c>
      <c r="F4957">
        <v>1.8841000000000001</v>
      </c>
      <c r="G4957">
        <v>758.18</v>
      </c>
      <c r="H4957">
        <v>1.3499000000000001</v>
      </c>
    </row>
    <row r="4958" spans="2:8" x14ac:dyDescent="0.25">
      <c r="B4958">
        <v>1.3539000000000001</v>
      </c>
      <c r="C4958">
        <v>300</v>
      </c>
      <c r="D4958">
        <v>240</v>
      </c>
      <c r="E4958">
        <v>0.52659</v>
      </c>
      <c r="F4958">
        <v>1.899</v>
      </c>
      <c r="G4958">
        <v>761.23</v>
      </c>
      <c r="H4958">
        <v>1.3539000000000001</v>
      </c>
    </row>
    <row r="4959" spans="2:8" x14ac:dyDescent="0.25">
      <c r="B4959">
        <v>1.3579000000000001</v>
      </c>
      <c r="C4959">
        <v>305</v>
      </c>
      <c r="D4959">
        <v>240</v>
      </c>
      <c r="E4959">
        <v>0.52249999999999996</v>
      </c>
      <c r="F4959">
        <v>1.9138999999999999</v>
      </c>
      <c r="G4959">
        <v>764.27</v>
      </c>
      <c r="H4959">
        <v>1.3579000000000001</v>
      </c>
    </row>
    <row r="4960" spans="2:8" x14ac:dyDescent="0.25">
      <c r="B4960">
        <v>1.3619000000000001</v>
      </c>
      <c r="C4960">
        <v>310</v>
      </c>
      <c r="D4960">
        <v>240</v>
      </c>
      <c r="E4960">
        <v>0.51849000000000001</v>
      </c>
      <c r="F4960">
        <v>1.9287000000000001</v>
      </c>
      <c r="G4960">
        <v>767.32</v>
      </c>
      <c r="H4960">
        <v>1.3619000000000001</v>
      </c>
    </row>
    <row r="4961" spans="1:8" x14ac:dyDescent="0.25">
      <c r="B4961">
        <v>1.3657999999999999</v>
      </c>
      <c r="C4961">
        <v>315</v>
      </c>
      <c r="D4961">
        <v>240</v>
      </c>
      <c r="E4961">
        <v>0.51454999999999995</v>
      </c>
      <c r="F4961">
        <v>1.9435</v>
      </c>
      <c r="G4961">
        <v>770.36</v>
      </c>
      <c r="H4961">
        <v>1.3657999999999999</v>
      </c>
    </row>
    <row r="4962" spans="1:8" x14ac:dyDescent="0.25">
      <c r="B4962">
        <v>1.3696999999999999</v>
      </c>
      <c r="C4962">
        <v>320</v>
      </c>
      <c r="D4962">
        <v>240</v>
      </c>
      <c r="E4962">
        <v>0.51068000000000002</v>
      </c>
      <c r="F4962">
        <v>1.9581999999999999</v>
      </c>
      <c r="G4962">
        <v>773.4</v>
      </c>
      <c r="H4962">
        <v>1.3696999999999999</v>
      </c>
    </row>
    <row r="4963" spans="1:8" x14ac:dyDescent="0.25">
      <c r="B4963">
        <v>1.3735999999999999</v>
      </c>
      <c r="C4963">
        <v>325</v>
      </c>
      <c r="D4963">
        <v>240</v>
      </c>
      <c r="E4963">
        <v>0.50687000000000004</v>
      </c>
      <c r="F4963">
        <v>1.9729000000000001</v>
      </c>
      <c r="G4963">
        <v>776.44</v>
      </c>
      <c r="H4963">
        <v>1.3735999999999999</v>
      </c>
    </row>
    <row r="4964" spans="1:8" x14ac:dyDescent="0.25">
      <c r="B4964">
        <v>1.3774999999999999</v>
      </c>
      <c r="C4964">
        <v>330</v>
      </c>
      <c r="D4964">
        <v>240</v>
      </c>
      <c r="E4964">
        <v>0.50314000000000003</v>
      </c>
      <c r="F4964">
        <v>1.9875</v>
      </c>
      <c r="G4964">
        <v>779.48</v>
      </c>
      <c r="H4964">
        <v>1.3774999999999999</v>
      </c>
    </row>
    <row r="4965" spans="1:8" x14ac:dyDescent="0.25">
      <c r="B4965">
        <v>1.3813</v>
      </c>
      <c r="C4965">
        <v>335</v>
      </c>
      <c r="D4965">
        <v>240</v>
      </c>
      <c r="E4965">
        <v>0.49947000000000003</v>
      </c>
      <c r="F4965">
        <v>2.0021</v>
      </c>
      <c r="G4965">
        <v>782.53</v>
      </c>
      <c r="H4965">
        <v>1.3813</v>
      </c>
    </row>
    <row r="4966" spans="1:8" x14ac:dyDescent="0.25">
      <c r="B4966">
        <v>1.3852</v>
      </c>
      <c r="C4966">
        <v>340</v>
      </c>
      <c r="D4966">
        <v>240</v>
      </c>
      <c r="E4966">
        <v>0.49585000000000001</v>
      </c>
      <c r="F4966">
        <v>2.0167000000000002</v>
      </c>
      <c r="G4966">
        <v>785.57</v>
      </c>
      <c r="H4966">
        <v>1.3852</v>
      </c>
    </row>
    <row r="4967" spans="1:8" x14ac:dyDescent="0.25">
      <c r="B4967">
        <v>1.389</v>
      </c>
      <c r="C4967">
        <v>345</v>
      </c>
      <c r="D4967">
        <v>240</v>
      </c>
      <c r="E4967">
        <v>0.49230000000000002</v>
      </c>
      <c r="F4967">
        <v>2.0312999999999999</v>
      </c>
      <c r="G4967">
        <v>788.61</v>
      </c>
      <c r="H4967">
        <v>1.389</v>
      </c>
    </row>
    <row r="4968" spans="1:8" x14ac:dyDescent="0.25">
      <c r="B4968">
        <v>1.3927</v>
      </c>
      <c r="C4968">
        <v>350</v>
      </c>
      <c r="D4968">
        <v>240</v>
      </c>
      <c r="E4968">
        <v>0.48881000000000002</v>
      </c>
      <c r="F4968">
        <v>2.0457999999999998</v>
      </c>
      <c r="G4968">
        <v>791.66</v>
      </c>
      <c r="H4968">
        <v>1.3927</v>
      </c>
    </row>
    <row r="4970" spans="1:8" x14ac:dyDescent="0.25">
      <c r="A4970">
        <v>245</v>
      </c>
      <c r="B4970">
        <v>9.6102999999999994E-2</v>
      </c>
      <c r="C4970">
        <v>0</v>
      </c>
      <c r="D4970">
        <v>245</v>
      </c>
      <c r="E4970">
        <v>41.396999999999998</v>
      </c>
      <c r="F4970">
        <v>2.4156E-2</v>
      </c>
      <c r="G4970">
        <v>43.259</v>
      </c>
      <c r="H4970">
        <v>9.6102999999999994E-2</v>
      </c>
    </row>
    <row r="4971" spans="1:8" x14ac:dyDescent="0.25">
      <c r="B4971">
        <v>0.10780000000000001</v>
      </c>
      <c r="C4971">
        <v>5</v>
      </c>
      <c r="D4971">
        <v>245</v>
      </c>
      <c r="E4971">
        <v>41.171999999999997</v>
      </c>
      <c r="F4971">
        <v>2.4288000000000001E-2</v>
      </c>
      <c r="G4971">
        <v>48.664999999999999</v>
      </c>
      <c r="H4971">
        <v>0.10780000000000001</v>
      </c>
    </row>
    <row r="4972" spans="1:8" x14ac:dyDescent="0.25">
      <c r="B4972">
        <v>0.11941</v>
      </c>
      <c r="C4972">
        <v>10</v>
      </c>
      <c r="D4972">
        <v>245</v>
      </c>
      <c r="E4972">
        <v>40.945</v>
      </c>
      <c r="F4972">
        <v>2.4423E-2</v>
      </c>
      <c r="G4972">
        <v>54.087000000000003</v>
      </c>
      <c r="H4972">
        <v>0.11941</v>
      </c>
    </row>
    <row r="4973" spans="1:8" x14ac:dyDescent="0.25">
      <c r="B4973">
        <v>0.13092000000000001</v>
      </c>
      <c r="C4973">
        <v>15</v>
      </c>
      <c r="D4973">
        <v>245</v>
      </c>
      <c r="E4973">
        <v>40.715000000000003</v>
      </c>
      <c r="F4973">
        <v>2.4560999999999999E-2</v>
      </c>
      <c r="G4973">
        <v>59.526000000000003</v>
      </c>
      <c r="H4973">
        <v>0.13092000000000001</v>
      </c>
    </row>
    <row r="4974" spans="1:8" x14ac:dyDescent="0.25">
      <c r="B4974">
        <v>0.14235999999999999</v>
      </c>
      <c r="C4974">
        <v>20</v>
      </c>
      <c r="D4974">
        <v>245</v>
      </c>
      <c r="E4974">
        <v>40.484000000000002</v>
      </c>
      <c r="F4974">
        <v>2.4701000000000001E-2</v>
      </c>
      <c r="G4974">
        <v>64.980999999999995</v>
      </c>
      <c r="H4974">
        <v>0.14235999999999999</v>
      </c>
    </row>
    <row r="4975" spans="1:8" x14ac:dyDescent="0.25">
      <c r="B4975">
        <v>0.15371000000000001</v>
      </c>
      <c r="C4975">
        <v>25</v>
      </c>
      <c r="D4975">
        <v>245</v>
      </c>
      <c r="E4975">
        <v>40.250999999999998</v>
      </c>
      <c r="F4975">
        <v>2.4844000000000001E-2</v>
      </c>
      <c r="G4975">
        <v>70.453000000000003</v>
      </c>
      <c r="H4975">
        <v>0.15371000000000001</v>
      </c>
    </row>
    <row r="4976" spans="1:8" x14ac:dyDescent="0.25">
      <c r="B4976">
        <v>0.16497000000000001</v>
      </c>
      <c r="C4976">
        <v>30</v>
      </c>
      <c r="D4976">
        <v>245</v>
      </c>
      <c r="E4976">
        <v>40.015000000000001</v>
      </c>
      <c r="F4976">
        <v>2.4990999999999999E-2</v>
      </c>
      <c r="G4976">
        <v>75.942999999999998</v>
      </c>
      <c r="H4976">
        <v>0.16497000000000001</v>
      </c>
    </row>
    <row r="4977" spans="2:8" x14ac:dyDescent="0.25">
      <c r="B4977">
        <v>0.17616999999999999</v>
      </c>
      <c r="C4977">
        <v>35</v>
      </c>
      <c r="D4977">
        <v>245</v>
      </c>
      <c r="E4977">
        <v>39.777000000000001</v>
      </c>
      <c r="F4977">
        <v>2.5139999999999999E-2</v>
      </c>
      <c r="G4977">
        <v>81.450999999999993</v>
      </c>
      <c r="H4977">
        <v>0.17616999999999999</v>
      </c>
    </row>
    <row r="4978" spans="2:8" x14ac:dyDescent="0.25">
      <c r="B4978">
        <v>0.18728</v>
      </c>
      <c r="C4978">
        <v>40</v>
      </c>
      <c r="D4978">
        <v>245</v>
      </c>
      <c r="E4978">
        <v>39.536000000000001</v>
      </c>
      <c r="F4978">
        <v>2.5293E-2</v>
      </c>
      <c r="G4978">
        <v>86.977000000000004</v>
      </c>
      <c r="H4978">
        <v>0.18728</v>
      </c>
    </row>
    <row r="4979" spans="2:8" x14ac:dyDescent="0.25">
      <c r="B4979">
        <v>0.19833000000000001</v>
      </c>
      <c r="C4979">
        <v>45</v>
      </c>
      <c r="D4979">
        <v>245</v>
      </c>
      <c r="E4979">
        <v>39.292999999999999</v>
      </c>
      <c r="F4979">
        <v>2.545E-2</v>
      </c>
      <c r="G4979">
        <v>92.522999999999996</v>
      </c>
      <c r="H4979">
        <v>0.19833000000000001</v>
      </c>
    </row>
    <row r="4980" spans="2:8" x14ac:dyDescent="0.25">
      <c r="B4980">
        <v>0.20930000000000001</v>
      </c>
      <c r="C4980">
        <v>50</v>
      </c>
      <c r="D4980">
        <v>245</v>
      </c>
      <c r="E4980">
        <v>39.048000000000002</v>
      </c>
      <c r="F4980">
        <v>2.5610000000000001E-2</v>
      </c>
      <c r="G4980">
        <v>98.088999999999999</v>
      </c>
      <c r="H4980">
        <v>0.20930000000000001</v>
      </c>
    </row>
    <row r="4981" spans="2:8" x14ac:dyDescent="0.25">
      <c r="B4981">
        <v>0.22020999999999999</v>
      </c>
      <c r="C4981">
        <v>55</v>
      </c>
      <c r="D4981">
        <v>245</v>
      </c>
      <c r="E4981">
        <v>38.798999999999999</v>
      </c>
      <c r="F4981">
        <v>2.5773999999999998E-2</v>
      </c>
      <c r="G4981">
        <v>103.68</v>
      </c>
      <c r="H4981">
        <v>0.22020999999999999</v>
      </c>
    </row>
    <row r="4982" spans="2:8" x14ac:dyDescent="0.25">
      <c r="B4982">
        <v>0.23105000000000001</v>
      </c>
      <c r="C4982">
        <v>60</v>
      </c>
      <c r="D4982">
        <v>245</v>
      </c>
      <c r="E4982">
        <v>38.548000000000002</v>
      </c>
      <c r="F4982">
        <v>2.5942E-2</v>
      </c>
      <c r="G4982">
        <v>109.28</v>
      </c>
      <c r="H4982">
        <v>0.23105000000000001</v>
      </c>
    </row>
    <row r="4983" spans="2:8" x14ac:dyDescent="0.25">
      <c r="B4983">
        <v>0.24184</v>
      </c>
      <c r="C4983">
        <v>65</v>
      </c>
      <c r="D4983">
        <v>245</v>
      </c>
      <c r="E4983">
        <v>38.293999999999997</v>
      </c>
      <c r="F4983">
        <v>2.6113999999999998E-2</v>
      </c>
      <c r="G4983">
        <v>114.92</v>
      </c>
      <c r="H4983">
        <v>0.24184</v>
      </c>
    </row>
    <row r="4984" spans="2:8" x14ac:dyDescent="0.25">
      <c r="B4984">
        <v>0.25257000000000002</v>
      </c>
      <c r="C4984">
        <v>70</v>
      </c>
      <c r="D4984">
        <v>245</v>
      </c>
      <c r="E4984">
        <v>38.036000000000001</v>
      </c>
      <c r="F4984">
        <v>2.6290999999999998E-2</v>
      </c>
      <c r="G4984">
        <v>120.57</v>
      </c>
      <c r="H4984">
        <v>0.25257000000000002</v>
      </c>
    </row>
    <row r="4985" spans="2:8" x14ac:dyDescent="0.25">
      <c r="B4985">
        <v>0.26324999999999998</v>
      </c>
      <c r="C4985">
        <v>75</v>
      </c>
      <c r="D4985">
        <v>245</v>
      </c>
      <c r="E4985">
        <v>37.774999999999999</v>
      </c>
      <c r="F4985">
        <v>2.6471999999999999E-2</v>
      </c>
      <c r="G4985">
        <v>126.26</v>
      </c>
      <c r="H4985">
        <v>0.26324999999999998</v>
      </c>
    </row>
    <row r="4986" spans="2:8" x14ac:dyDescent="0.25">
      <c r="B4986">
        <v>0.27388000000000001</v>
      </c>
      <c r="C4986">
        <v>80</v>
      </c>
      <c r="D4986">
        <v>245</v>
      </c>
      <c r="E4986">
        <v>37.511000000000003</v>
      </c>
      <c r="F4986">
        <v>2.6658999999999999E-2</v>
      </c>
      <c r="G4986">
        <v>131.97</v>
      </c>
      <c r="H4986">
        <v>0.27388000000000001</v>
      </c>
    </row>
    <row r="4987" spans="2:8" x14ac:dyDescent="0.25">
      <c r="B4987">
        <v>0.28445999999999999</v>
      </c>
      <c r="C4987">
        <v>85</v>
      </c>
      <c r="D4987">
        <v>245</v>
      </c>
      <c r="E4987">
        <v>37.241999999999997</v>
      </c>
      <c r="F4987">
        <v>2.6851E-2</v>
      </c>
      <c r="G4987">
        <v>137.69999999999999</v>
      </c>
      <c r="H4987">
        <v>0.28445999999999999</v>
      </c>
    </row>
    <row r="4988" spans="2:8" x14ac:dyDescent="0.25">
      <c r="B4988">
        <v>0.29500999999999999</v>
      </c>
      <c r="C4988">
        <v>90</v>
      </c>
      <c r="D4988">
        <v>245</v>
      </c>
      <c r="E4988">
        <v>36.97</v>
      </c>
      <c r="F4988">
        <v>2.7049E-2</v>
      </c>
      <c r="G4988">
        <v>143.47999999999999</v>
      </c>
      <c r="H4988">
        <v>0.29500999999999999</v>
      </c>
    </row>
    <row r="4989" spans="2:8" x14ac:dyDescent="0.25">
      <c r="B4989">
        <v>0.30552000000000001</v>
      </c>
      <c r="C4989">
        <v>95</v>
      </c>
      <c r="D4989">
        <v>245</v>
      </c>
      <c r="E4989">
        <v>36.692999999999998</v>
      </c>
      <c r="F4989">
        <v>2.7252999999999999E-2</v>
      </c>
      <c r="G4989">
        <v>149.28</v>
      </c>
      <c r="H4989">
        <v>0.30552000000000001</v>
      </c>
    </row>
    <row r="4990" spans="2:8" x14ac:dyDescent="0.25">
      <c r="B4990">
        <v>0.316</v>
      </c>
      <c r="C4990">
        <v>100</v>
      </c>
      <c r="D4990">
        <v>245</v>
      </c>
      <c r="E4990">
        <v>36.411999999999999</v>
      </c>
      <c r="F4990">
        <v>2.7463999999999999E-2</v>
      </c>
      <c r="G4990">
        <v>155.12</v>
      </c>
      <c r="H4990">
        <v>0.316</v>
      </c>
    </row>
    <row r="4991" spans="2:8" x14ac:dyDescent="0.25">
      <c r="B4991">
        <v>0.32645999999999997</v>
      </c>
      <c r="C4991">
        <v>105</v>
      </c>
      <c r="D4991">
        <v>245</v>
      </c>
      <c r="E4991">
        <v>36.125</v>
      </c>
      <c r="F4991">
        <v>2.7681000000000001E-2</v>
      </c>
      <c r="G4991">
        <v>161</v>
      </c>
      <c r="H4991">
        <v>0.32645999999999997</v>
      </c>
    </row>
    <row r="4992" spans="2:8" x14ac:dyDescent="0.25">
      <c r="B4992">
        <v>1.1568000000000001</v>
      </c>
      <c r="C4992">
        <v>110</v>
      </c>
      <c r="D4992">
        <v>245</v>
      </c>
      <c r="E4992">
        <v>0.81444000000000005</v>
      </c>
      <c r="F4992">
        <v>1.2278</v>
      </c>
      <c r="G4992">
        <v>633.51</v>
      </c>
      <c r="H4992">
        <v>1.1568000000000001</v>
      </c>
    </row>
    <row r="4993" spans="2:8" x14ac:dyDescent="0.25">
      <c r="B4993">
        <v>1.1641999999999999</v>
      </c>
      <c r="C4993">
        <v>115</v>
      </c>
      <c r="D4993">
        <v>245</v>
      </c>
      <c r="E4993">
        <v>0.80079999999999996</v>
      </c>
      <c r="F4993">
        <v>1.2487999999999999</v>
      </c>
      <c r="G4993">
        <v>637.73</v>
      </c>
      <c r="H4993">
        <v>1.1641999999999999</v>
      </c>
    </row>
    <row r="4994" spans="2:8" x14ac:dyDescent="0.25">
      <c r="B4994">
        <v>1.1713</v>
      </c>
      <c r="C4994">
        <v>120</v>
      </c>
      <c r="D4994">
        <v>245</v>
      </c>
      <c r="E4994">
        <v>0.78793999999999997</v>
      </c>
      <c r="F4994">
        <v>1.2690999999999999</v>
      </c>
      <c r="G4994">
        <v>641.83000000000004</v>
      </c>
      <c r="H4994">
        <v>1.1713</v>
      </c>
    </row>
    <row r="4995" spans="2:8" x14ac:dyDescent="0.25">
      <c r="B4995">
        <v>1.1780999999999999</v>
      </c>
      <c r="C4995">
        <v>125</v>
      </c>
      <c r="D4995">
        <v>245</v>
      </c>
      <c r="E4995">
        <v>0.77576999999999996</v>
      </c>
      <c r="F4995">
        <v>1.2889999999999999</v>
      </c>
      <c r="G4995">
        <v>645.82000000000005</v>
      </c>
      <c r="H4995">
        <v>1.1780999999999999</v>
      </c>
    </row>
    <row r="4996" spans="2:8" x14ac:dyDescent="0.25">
      <c r="B4996">
        <v>1.1848000000000001</v>
      </c>
      <c r="C4996">
        <v>130</v>
      </c>
      <c r="D4996">
        <v>245</v>
      </c>
      <c r="E4996">
        <v>0.76422000000000001</v>
      </c>
      <c r="F4996">
        <v>1.3085</v>
      </c>
      <c r="G4996">
        <v>649.72</v>
      </c>
      <c r="H4996">
        <v>1.1848000000000001</v>
      </c>
    </row>
    <row r="4997" spans="2:8" x14ac:dyDescent="0.25">
      <c r="B4997">
        <v>1.1912</v>
      </c>
      <c r="C4997">
        <v>135</v>
      </c>
      <c r="D4997">
        <v>245</v>
      </c>
      <c r="E4997">
        <v>0.75322999999999996</v>
      </c>
      <c r="F4997">
        <v>1.3275999999999999</v>
      </c>
      <c r="G4997">
        <v>653.54</v>
      </c>
      <c r="H4997">
        <v>1.1912</v>
      </c>
    </row>
    <row r="4998" spans="2:8" x14ac:dyDescent="0.25">
      <c r="B4998">
        <v>1.1975</v>
      </c>
      <c r="C4998">
        <v>140</v>
      </c>
      <c r="D4998">
        <v>245</v>
      </c>
      <c r="E4998">
        <v>0.74273999999999996</v>
      </c>
      <c r="F4998">
        <v>1.3464</v>
      </c>
      <c r="G4998">
        <v>657.29</v>
      </c>
      <c r="H4998">
        <v>1.1975</v>
      </c>
    </row>
    <row r="4999" spans="2:8" x14ac:dyDescent="0.25">
      <c r="B4999">
        <v>1.2036</v>
      </c>
      <c r="C4999">
        <v>145</v>
      </c>
      <c r="D4999">
        <v>245</v>
      </c>
      <c r="E4999">
        <v>0.73270000000000002</v>
      </c>
      <c r="F4999">
        <v>1.3648</v>
      </c>
      <c r="G4999">
        <v>660.97</v>
      </c>
      <c r="H4999">
        <v>1.2036</v>
      </c>
    </row>
    <row r="5000" spans="2:8" x14ac:dyDescent="0.25">
      <c r="B5000">
        <v>1.2096</v>
      </c>
      <c r="C5000">
        <v>150</v>
      </c>
      <c r="D5000">
        <v>245</v>
      </c>
      <c r="E5000">
        <v>0.72309000000000001</v>
      </c>
      <c r="F5000">
        <v>1.383</v>
      </c>
      <c r="G5000">
        <v>664.59</v>
      </c>
      <c r="H5000">
        <v>1.2096</v>
      </c>
    </row>
    <row r="5001" spans="2:8" x14ac:dyDescent="0.25">
      <c r="B5001">
        <v>1.2154</v>
      </c>
      <c r="C5001">
        <v>155</v>
      </c>
      <c r="D5001">
        <v>245</v>
      </c>
      <c r="E5001">
        <v>0.71384999999999998</v>
      </c>
      <c r="F5001">
        <v>1.4009</v>
      </c>
      <c r="G5001">
        <v>668.16</v>
      </c>
      <c r="H5001">
        <v>1.2154</v>
      </c>
    </row>
    <row r="5002" spans="2:8" x14ac:dyDescent="0.25">
      <c r="B5002">
        <v>1.2211000000000001</v>
      </c>
      <c r="C5002">
        <v>160</v>
      </c>
      <c r="D5002">
        <v>245</v>
      </c>
      <c r="E5002">
        <v>0.70496999999999999</v>
      </c>
      <c r="F5002">
        <v>1.4185000000000001</v>
      </c>
      <c r="G5002">
        <v>671.67</v>
      </c>
      <c r="H5002">
        <v>1.2211000000000001</v>
      </c>
    </row>
    <row r="5003" spans="2:8" x14ac:dyDescent="0.25">
      <c r="B5003">
        <v>1.2266999999999999</v>
      </c>
      <c r="C5003">
        <v>165</v>
      </c>
      <c r="D5003">
        <v>245</v>
      </c>
      <c r="E5003">
        <v>0.69642000000000004</v>
      </c>
      <c r="F5003">
        <v>1.4359</v>
      </c>
      <c r="G5003">
        <v>675.15</v>
      </c>
      <c r="H5003">
        <v>1.2266999999999999</v>
      </c>
    </row>
    <row r="5004" spans="2:8" x14ac:dyDescent="0.25">
      <c r="B5004">
        <v>1.2322</v>
      </c>
      <c r="C5004">
        <v>170</v>
      </c>
      <c r="D5004">
        <v>245</v>
      </c>
      <c r="E5004">
        <v>0.68816999999999995</v>
      </c>
      <c r="F5004">
        <v>1.4531000000000001</v>
      </c>
      <c r="G5004">
        <v>678.58</v>
      </c>
      <c r="H5004">
        <v>1.2322</v>
      </c>
    </row>
    <row r="5005" spans="2:8" x14ac:dyDescent="0.25">
      <c r="B5005">
        <v>1.2375</v>
      </c>
      <c r="C5005">
        <v>175</v>
      </c>
      <c r="D5005">
        <v>245</v>
      </c>
      <c r="E5005">
        <v>0.68020000000000003</v>
      </c>
      <c r="F5005">
        <v>1.4702</v>
      </c>
      <c r="G5005">
        <v>681.98</v>
      </c>
      <c r="H5005">
        <v>1.2375</v>
      </c>
    </row>
    <row r="5006" spans="2:8" x14ac:dyDescent="0.25">
      <c r="B5006">
        <v>1.2427999999999999</v>
      </c>
      <c r="C5006">
        <v>180</v>
      </c>
      <c r="D5006">
        <v>245</v>
      </c>
      <c r="E5006">
        <v>0.67249000000000003</v>
      </c>
      <c r="F5006">
        <v>1.4870000000000001</v>
      </c>
      <c r="G5006">
        <v>685.34</v>
      </c>
      <c r="H5006">
        <v>1.2427999999999999</v>
      </c>
    </row>
    <row r="5007" spans="2:8" x14ac:dyDescent="0.25">
      <c r="B5007">
        <v>1.248</v>
      </c>
      <c r="C5007">
        <v>185</v>
      </c>
      <c r="D5007">
        <v>245</v>
      </c>
      <c r="E5007">
        <v>0.66503000000000001</v>
      </c>
      <c r="F5007">
        <v>1.5037</v>
      </c>
      <c r="G5007">
        <v>688.67</v>
      </c>
      <c r="H5007">
        <v>1.248</v>
      </c>
    </row>
    <row r="5008" spans="2:8" x14ac:dyDescent="0.25">
      <c r="B5008">
        <v>1.2531000000000001</v>
      </c>
      <c r="C5008">
        <v>190</v>
      </c>
      <c r="D5008">
        <v>245</v>
      </c>
      <c r="E5008">
        <v>0.65780000000000005</v>
      </c>
      <c r="F5008">
        <v>1.5202</v>
      </c>
      <c r="G5008">
        <v>691.97</v>
      </c>
      <c r="H5008">
        <v>1.2531000000000001</v>
      </c>
    </row>
    <row r="5009" spans="2:8" x14ac:dyDescent="0.25">
      <c r="B5009">
        <v>1.2581</v>
      </c>
      <c r="C5009">
        <v>195</v>
      </c>
      <c r="D5009">
        <v>245</v>
      </c>
      <c r="E5009">
        <v>0.65078999999999998</v>
      </c>
      <c r="F5009">
        <v>1.5366</v>
      </c>
      <c r="G5009">
        <v>695.25</v>
      </c>
      <c r="H5009">
        <v>1.2581</v>
      </c>
    </row>
    <row r="5010" spans="2:8" x14ac:dyDescent="0.25">
      <c r="B5010">
        <v>1.2630999999999999</v>
      </c>
      <c r="C5010">
        <v>200</v>
      </c>
      <c r="D5010">
        <v>245</v>
      </c>
      <c r="E5010">
        <v>0.64398</v>
      </c>
      <c r="F5010">
        <v>1.5528</v>
      </c>
      <c r="G5010">
        <v>698.51</v>
      </c>
      <c r="H5010">
        <v>1.2630999999999999</v>
      </c>
    </row>
    <row r="5011" spans="2:8" x14ac:dyDescent="0.25">
      <c r="B5011">
        <v>1.268</v>
      </c>
      <c r="C5011">
        <v>205</v>
      </c>
      <c r="D5011">
        <v>245</v>
      </c>
      <c r="E5011">
        <v>0.63736999999999999</v>
      </c>
      <c r="F5011">
        <v>1.569</v>
      </c>
      <c r="G5011">
        <v>701.74</v>
      </c>
      <c r="H5011">
        <v>1.268</v>
      </c>
    </row>
    <row r="5012" spans="2:8" x14ac:dyDescent="0.25">
      <c r="B5012">
        <v>1.2727999999999999</v>
      </c>
      <c r="C5012">
        <v>210</v>
      </c>
      <c r="D5012">
        <v>245</v>
      </c>
      <c r="E5012">
        <v>0.63092999999999999</v>
      </c>
      <c r="F5012">
        <v>1.585</v>
      </c>
      <c r="G5012">
        <v>704.96</v>
      </c>
      <c r="H5012">
        <v>1.2727999999999999</v>
      </c>
    </row>
    <row r="5013" spans="2:8" x14ac:dyDescent="0.25">
      <c r="B5013">
        <v>1.2775000000000001</v>
      </c>
      <c r="C5013">
        <v>215</v>
      </c>
      <c r="D5013">
        <v>245</v>
      </c>
      <c r="E5013">
        <v>0.62466999999999995</v>
      </c>
      <c r="F5013">
        <v>1.6008</v>
      </c>
      <c r="G5013">
        <v>708.16</v>
      </c>
      <c r="H5013">
        <v>1.2775000000000001</v>
      </c>
    </row>
    <row r="5014" spans="2:8" x14ac:dyDescent="0.25">
      <c r="B5014">
        <v>1.2822</v>
      </c>
      <c r="C5014">
        <v>220</v>
      </c>
      <c r="D5014">
        <v>245</v>
      </c>
      <c r="E5014">
        <v>0.61858000000000002</v>
      </c>
      <c r="F5014">
        <v>1.6166</v>
      </c>
      <c r="G5014">
        <v>711.34</v>
      </c>
      <c r="H5014">
        <v>1.2822</v>
      </c>
    </row>
    <row r="5015" spans="2:8" x14ac:dyDescent="0.25">
      <c r="B5015">
        <v>1.2868999999999999</v>
      </c>
      <c r="C5015">
        <v>225</v>
      </c>
      <c r="D5015">
        <v>245</v>
      </c>
      <c r="E5015">
        <v>0.61263999999999996</v>
      </c>
      <c r="F5015">
        <v>1.6323000000000001</v>
      </c>
      <c r="G5015">
        <v>714.5</v>
      </c>
      <c r="H5015">
        <v>1.2868999999999999</v>
      </c>
    </row>
    <row r="5016" spans="2:8" x14ac:dyDescent="0.25">
      <c r="B5016">
        <v>1.2915000000000001</v>
      </c>
      <c r="C5016">
        <v>230</v>
      </c>
      <c r="D5016">
        <v>245</v>
      </c>
      <c r="E5016">
        <v>0.60684000000000005</v>
      </c>
      <c r="F5016">
        <v>1.6478999999999999</v>
      </c>
      <c r="G5016">
        <v>717.65</v>
      </c>
      <c r="H5016">
        <v>1.2915000000000001</v>
      </c>
    </row>
    <row r="5017" spans="2:8" x14ac:dyDescent="0.25">
      <c r="B5017">
        <v>1.296</v>
      </c>
      <c r="C5017">
        <v>235</v>
      </c>
      <c r="D5017">
        <v>245</v>
      </c>
      <c r="E5017">
        <v>0.60119</v>
      </c>
      <c r="F5017">
        <v>1.6634</v>
      </c>
      <c r="G5017">
        <v>720.79</v>
      </c>
      <c r="H5017">
        <v>1.296</v>
      </c>
    </row>
    <row r="5018" spans="2:8" x14ac:dyDescent="0.25">
      <c r="B5018">
        <v>1.3005</v>
      </c>
      <c r="C5018">
        <v>240</v>
      </c>
      <c r="D5018">
        <v>245</v>
      </c>
      <c r="E5018">
        <v>0.59567999999999999</v>
      </c>
      <c r="F5018">
        <v>1.6788000000000001</v>
      </c>
      <c r="G5018">
        <v>723.92</v>
      </c>
      <c r="H5018">
        <v>1.3005</v>
      </c>
    </row>
    <row r="5019" spans="2:8" x14ac:dyDescent="0.25">
      <c r="B5019">
        <v>1.3048999999999999</v>
      </c>
      <c r="C5019">
        <v>245</v>
      </c>
      <c r="D5019">
        <v>245</v>
      </c>
      <c r="E5019">
        <v>0.59028999999999998</v>
      </c>
      <c r="F5019">
        <v>1.6940999999999999</v>
      </c>
      <c r="G5019">
        <v>727.04</v>
      </c>
      <c r="H5019">
        <v>1.3048999999999999</v>
      </c>
    </row>
    <row r="5020" spans="2:8" x14ac:dyDescent="0.25">
      <c r="B5020">
        <v>1.3092999999999999</v>
      </c>
      <c r="C5020">
        <v>250</v>
      </c>
      <c r="D5020">
        <v>245</v>
      </c>
      <c r="E5020">
        <v>0.58501999999999998</v>
      </c>
      <c r="F5020">
        <v>1.7093</v>
      </c>
      <c r="G5020">
        <v>730.15</v>
      </c>
      <c r="H5020">
        <v>1.3092999999999999</v>
      </c>
    </row>
    <row r="5021" spans="2:8" x14ac:dyDescent="0.25">
      <c r="B5021">
        <v>1.3137000000000001</v>
      </c>
      <c r="C5021">
        <v>255</v>
      </c>
      <c r="D5021">
        <v>245</v>
      </c>
      <c r="E5021">
        <v>0.57987999999999995</v>
      </c>
      <c r="F5021">
        <v>1.7244999999999999</v>
      </c>
      <c r="G5021">
        <v>733.25</v>
      </c>
      <c r="H5021">
        <v>1.3137000000000001</v>
      </c>
    </row>
    <row r="5022" spans="2:8" x14ac:dyDescent="0.25">
      <c r="B5022">
        <v>1.3180000000000001</v>
      </c>
      <c r="C5022">
        <v>260</v>
      </c>
      <c r="D5022">
        <v>245</v>
      </c>
      <c r="E5022">
        <v>0.57484000000000002</v>
      </c>
      <c r="F5022">
        <v>1.7396</v>
      </c>
      <c r="G5022">
        <v>736.34</v>
      </c>
      <c r="H5022">
        <v>1.3180000000000001</v>
      </c>
    </row>
    <row r="5023" spans="2:8" x14ac:dyDescent="0.25">
      <c r="B5023">
        <v>1.3223</v>
      </c>
      <c r="C5023">
        <v>265</v>
      </c>
      <c r="D5023">
        <v>245</v>
      </c>
      <c r="E5023">
        <v>0.56991999999999998</v>
      </c>
      <c r="F5023">
        <v>1.7545999999999999</v>
      </c>
      <c r="G5023">
        <v>739.43</v>
      </c>
      <c r="H5023">
        <v>1.3223</v>
      </c>
    </row>
    <row r="5024" spans="2:8" x14ac:dyDescent="0.25">
      <c r="B5024">
        <v>1.3265</v>
      </c>
      <c r="C5024">
        <v>270</v>
      </c>
      <c r="D5024">
        <v>245</v>
      </c>
      <c r="E5024">
        <v>0.56510000000000005</v>
      </c>
      <c r="F5024">
        <v>1.7696000000000001</v>
      </c>
      <c r="G5024">
        <v>742.51</v>
      </c>
      <c r="H5024">
        <v>1.3265</v>
      </c>
    </row>
    <row r="5025" spans="2:8" x14ac:dyDescent="0.25">
      <c r="B5025">
        <v>1.3307</v>
      </c>
      <c r="C5025">
        <v>275</v>
      </c>
      <c r="D5025">
        <v>245</v>
      </c>
      <c r="E5025">
        <v>0.56037000000000003</v>
      </c>
      <c r="F5025">
        <v>1.7845</v>
      </c>
      <c r="G5025">
        <v>745.58</v>
      </c>
      <c r="H5025">
        <v>1.3307</v>
      </c>
    </row>
    <row r="5026" spans="2:8" x14ac:dyDescent="0.25">
      <c r="B5026">
        <v>1.3349</v>
      </c>
      <c r="C5026">
        <v>280</v>
      </c>
      <c r="D5026">
        <v>245</v>
      </c>
      <c r="E5026">
        <v>0.55574999999999997</v>
      </c>
      <c r="F5026">
        <v>1.7994000000000001</v>
      </c>
      <c r="G5026">
        <v>748.65</v>
      </c>
      <c r="H5026">
        <v>1.3349</v>
      </c>
    </row>
    <row r="5027" spans="2:8" x14ac:dyDescent="0.25">
      <c r="B5027">
        <v>1.339</v>
      </c>
      <c r="C5027">
        <v>285</v>
      </c>
      <c r="D5027">
        <v>245</v>
      </c>
      <c r="E5027">
        <v>0.55122000000000004</v>
      </c>
      <c r="F5027">
        <v>1.8142</v>
      </c>
      <c r="G5027">
        <v>751.72</v>
      </c>
      <c r="H5027">
        <v>1.339</v>
      </c>
    </row>
    <row r="5028" spans="2:8" x14ac:dyDescent="0.25">
      <c r="B5028">
        <v>1.3431</v>
      </c>
      <c r="C5028">
        <v>290</v>
      </c>
      <c r="D5028">
        <v>245</v>
      </c>
      <c r="E5028">
        <v>0.54676999999999998</v>
      </c>
      <c r="F5028">
        <v>1.8289</v>
      </c>
      <c r="G5028">
        <v>754.78</v>
      </c>
      <c r="H5028">
        <v>1.3431</v>
      </c>
    </row>
    <row r="5029" spans="2:8" x14ac:dyDescent="0.25">
      <c r="B5029">
        <v>1.3472</v>
      </c>
      <c r="C5029">
        <v>295</v>
      </c>
      <c r="D5029">
        <v>245</v>
      </c>
      <c r="E5029">
        <v>0.54242000000000001</v>
      </c>
      <c r="F5029">
        <v>1.8435999999999999</v>
      </c>
      <c r="G5029">
        <v>757.83</v>
      </c>
      <c r="H5029">
        <v>1.3472</v>
      </c>
    </row>
    <row r="5030" spans="2:8" x14ac:dyDescent="0.25">
      <c r="B5030">
        <v>1.3512</v>
      </c>
      <c r="C5030">
        <v>300</v>
      </c>
      <c r="D5030">
        <v>245</v>
      </c>
      <c r="E5030">
        <v>0.53813999999999995</v>
      </c>
      <c r="F5030">
        <v>1.8582000000000001</v>
      </c>
      <c r="G5030">
        <v>760.89</v>
      </c>
      <c r="H5030">
        <v>1.3512</v>
      </c>
    </row>
    <row r="5031" spans="2:8" x14ac:dyDescent="0.25">
      <c r="B5031">
        <v>1.3552</v>
      </c>
      <c r="C5031">
        <v>305</v>
      </c>
      <c r="D5031">
        <v>245</v>
      </c>
      <c r="E5031">
        <v>0.53395000000000004</v>
      </c>
      <c r="F5031">
        <v>1.8728</v>
      </c>
      <c r="G5031">
        <v>763.94</v>
      </c>
      <c r="H5031">
        <v>1.3552</v>
      </c>
    </row>
    <row r="5032" spans="2:8" x14ac:dyDescent="0.25">
      <c r="B5032">
        <v>1.3592</v>
      </c>
      <c r="C5032">
        <v>310</v>
      </c>
      <c r="D5032">
        <v>245</v>
      </c>
      <c r="E5032">
        <v>0.52983000000000002</v>
      </c>
      <c r="F5032">
        <v>1.8874</v>
      </c>
      <c r="G5032">
        <v>766.99</v>
      </c>
      <c r="H5032">
        <v>1.3592</v>
      </c>
    </row>
    <row r="5033" spans="2:8" x14ac:dyDescent="0.25">
      <c r="B5033">
        <v>1.3631</v>
      </c>
      <c r="C5033">
        <v>315</v>
      </c>
      <c r="D5033">
        <v>245</v>
      </c>
      <c r="E5033">
        <v>0.52578999999999998</v>
      </c>
      <c r="F5033">
        <v>1.9018999999999999</v>
      </c>
      <c r="G5033">
        <v>770.04</v>
      </c>
      <c r="H5033">
        <v>1.3631</v>
      </c>
    </row>
    <row r="5034" spans="2:8" x14ac:dyDescent="0.25">
      <c r="B5034">
        <v>1.367</v>
      </c>
      <c r="C5034">
        <v>320</v>
      </c>
      <c r="D5034">
        <v>245</v>
      </c>
      <c r="E5034">
        <v>0.52181999999999995</v>
      </c>
      <c r="F5034">
        <v>1.9164000000000001</v>
      </c>
      <c r="G5034">
        <v>773.09</v>
      </c>
      <c r="H5034">
        <v>1.367</v>
      </c>
    </row>
    <row r="5035" spans="2:8" x14ac:dyDescent="0.25">
      <c r="B5035">
        <v>1.3709</v>
      </c>
      <c r="C5035">
        <v>325</v>
      </c>
      <c r="D5035">
        <v>245</v>
      </c>
      <c r="E5035">
        <v>0.51792000000000005</v>
      </c>
      <c r="F5035">
        <v>1.9308000000000001</v>
      </c>
      <c r="G5035">
        <v>776.14</v>
      </c>
      <c r="H5035">
        <v>1.3709</v>
      </c>
    </row>
    <row r="5036" spans="2:8" x14ac:dyDescent="0.25">
      <c r="B5036">
        <v>1.3748</v>
      </c>
      <c r="C5036">
        <v>330</v>
      </c>
      <c r="D5036">
        <v>245</v>
      </c>
      <c r="E5036">
        <v>0.51409000000000005</v>
      </c>
      <c r="F5036">
        <v>1.9452</v>
      </c>
      <c r="G5036">
        <v>779.19</v>
      </c>
      <c r="H5036">
        <v>1.3748</v>
      </c>
    </row>
    <row r="5037" spans="2:8" x14ac:dyDescent="0.25">
      <c r="B5037">
        <v>1.3787</v>
      </c>
      <c r="C5037">
        <v>335</v>
      </c>
      <c r="D5037">
        <v>245</v>
      </c>
      <c r="E5037">
        <v>0.51032999999999995</v>
      </c>
      <c r="F5037">
        <v>1.9595</v>
      </c>
      <c r="G5037">
        <v>782.23</v>
      </c>
      <c r="H5037">
        <v>1.3787</v>
      </c>
    </row>
    <row r="5038" spans="2:8" x14ac:dyDescent="0.25">
      <c r="B5038">
        <v>1.3825000000000001</v>
      </c>
      <c r="C5038">
        <v>340</v>
      </c>
      <c r="D5038">
        <v>245</v>
      </c>
      <c r="E5038">
        <v>0.50663000000000002</v>
      </c>
      <c r="F5038">
        <v>1.9738</v>
      </c>
      <c r="G5038">
        <v>785.28</v>
      </c>
      <c r="H5038">
        <v>1.3825000000000001</v>
      </c>
    </row>
    <row r="5039" spans="2:8" x14ac:dyDescent="0.25">
      <c r="B5039">
        <v>1.3863000000000001</v>
      </c>
      <c r="C5039">
        <v>345</v>
      </c>
      <c r="D5039">
        <v>245</v>
      </c>
      <c r="E5039">
        <v>0.50299000000000005</v>
      </c>
      <c r="F5039">
        <v>1.9881</v>
      </c>
      <c r="G5039">
        <v>788.33</v>
      </c>
      <c r="H5039">
        <v>1.3863000000000001</v>
      </c>
    </row>
    <row r="5040" spans="2:8" x14ac:dyDescent="0.25">
      <c r="B5040">
        <v>1.3900999999999999</v>
      </c>
      <c r="C5040">
        <v>350</v>
      </c>
      <c r="D5040">
        <v>245</v>
      </c>
      <c r="E5040">
        <v>0.49941000000000002</v>
      </c>
      <c r="F5040">
        <v>2.0024000000000002</v>
      </c>
      <c r="G5040">
        <v>791.38</v>
      </c>
      <c r="H5040">
        <v>1.3900999999999999</v>
      </c>
    </row>
    <row r="5042" spans="1:8" x14ac:dyDescent="0.25">
      <c r="A5042">
        <v>250</v>
      </c>
      <c r="B5042">
        <v>9.6078999999999998E-2</v>
      </c>
      <c r="C5042">
        <v>0</v>
      </c>
      <c r="D5042">
        <v>250</v>
      </c>
      <c r="E5042">
        <v>41.398000000000003</v>
      </c>
      <c r="F5042">
        <v>2.4154999999999999E-2</v>
      </c>
      <c r="G5042">
        <v>43.271000000000001</v>
      </c>
      <c r="H5042">
        <v>9.6078999999999998E-2</v>
      </c>
    </row>
    <row r="5043" spans="1:8" x14ac:dyDescent="0.25">
      <c r="B5043">
        <v>0.10777</v>
      </c>
      <c r="C5043">
        <v>5</v>
      </c>
      <c r="D5043">
        <v>250</v>
      </c>
      <c r="E5043">
        <v>41.173000000000002</v>
      </c>
      <c r="F5043">
        <v>2.4288000000000001E-2</v>
      </c>
      <c r="G5043">
        <v>48.676000000000002</v>
      </c>
      <c r="H5043">
        <v>0.10777</v>
      </c>
    </row>
    <row r="5044" spans="1:8" x14ac:dyDescent="0.25">
      <c r="B5044">
        <v>0.11938</v>
      </c>
      <c r="C5044">
        <v>10</v>
      </c>
      <c r="D5044">
        <v>250</v>
      </c>
      <c r="E5044">
        <v>40.945999999999998</v>
      </c>
      <c r="F5044">
        <v>2.4421999999999999E-2</v>
      </c>
      <c r="G5044">
        <v>54.097999999999999</v>
      </c>
      <c r="H5044">
        <v>0.11938</v>
      </c>
    </row>
    <row r="5045" spans="1:8" x14ac:dyDescent="0.25">
      <c r="B5045">
        <v>0.13089999999999999</v>
      </c>
      <c r="C5045">
        <v>15</v>
      </c>
      <c r="D5045">
        <v>250</v>
      </c>
      <c r="E5045">
        <v>40.716999999999999</v>
      </c>
      <c r="F5045">
        <v>2.4559999999999998E-2</v>
      </c>
      <c r="G5045">
        <v>59.536000000000001</v>
      </c>
      <c r="H5045">
        <v>0.13089999999999999</v>
      </c>
    </row>
    <row r="5046" spans="1:8" x14ac:dyDescent="0.25">
      <c r="B5046">
        <v>0.14233000000000001</v>
      </c>
      <c r="C5046">
        <v>20</v>
      </c>
      <c r="D5046">
        <v>250</v>
      </c>
      <c r="E5046">
        <v>40.484999999999999</v>
      </c>
      <c r="F5046">
        <v>2.47E-2</v>
      </c>
      <c r="G5046">
        <v>64.991</v>
      </c>
      <c r="H5046">
        <v>0.14233000000000001</v>
      </c>
    </row>
    <row r="5047" spans="1:8" x14ac:dyDescent="0.25">
      <c r="B5047">
        <v>0.15368000000000001</v>
      </c>
      <c r="C5047">
        <v>25</v>
      </c>
      <c r="D5047">
        <v>250</v>
      </c>
      <c r="E5047">
        <v>40.252000000000002</v>
      </c>
      <c r="F5047">
        <v>2.4844000000000001E-2</v>
      </c>
      <c r="G5047">
        <v>70.462999999999994</v>
      </c>
      <c r="H5047">
        <v>0.15368000000000001</v>
      </c>
    </row>
    <row r="5048" spans="1:8" x14ac:dyDescent="0.25">
      <c r="B5048">
        <v>0.16495000000000001</v>
      </c>
      <c r="C5048">
        <v>30</v>
      </c>
      <c r="D5048">
        <v>250</v>
      </c>
      <c r="E5048">
        <v>40.015999999999998</v>
      </c>
      <c r="F5048">
        <v>2.4989999999999998E-2</v>
      </c>
      <c r="G5048">
        <v>75.953000000000003</v>
      </c>
      <c r="H5048">
        <v>0.16495000000000001</v>
      </c>
    </row>
    <row r="5049" spans="1:8" x14ac:dyDescent="0.25">
      <c r="B5049">
        <v>0.17613999999999999</v>
      </c>
      <c r="C5049">
        <v>35</v>
      </c>
      <c r="D5049">
        <v>250</v>
      </c>
      <c r="E5049">
        <v>39.777999999999999</v>
      </c>
      <c r="F5049">
        <v>2.5139000000000002E-2</v>
      </c>
      <c r="G5049">
        <v>81.459999999999994</v>
      </c>
      <c r="H5049">
        <v>0.17613999999999999</v>
      </c>
    </row>
    <row r="5050" spans="1:8" x14ac:dyDescent="0.25">
      <c r="B5050">
        <v>0.18725</v>
      </c>
      <c r="C5050">
        <v>40</v>
      </c>
      <c r="D5050">
        <v>250</v>
      </c>
      <c r="E5050">
        <v>39.537999999999997</v>
      </c>
      <c r="F5050">
        <v>2.5291999999999999E-2</v>
      </c>
      <c r="G5050">
        <v>86.986000000000004</v>
      </c>
      <c r="H5050">
        <v>0.18725</v>
      </c>
    </row>
    <row r="5051" spans="1:8" x14ac:dyDescent="0.25">
      <c r="B5051">
        <v>0.1983</v>
      </c>
      <c r="C5051">
        <v>45</v>
      </c>
      <c r="D5051">
        <v>250</v>
      </c>
      <c r="E5051">
        <v>39.295000000000002</v>
      </c>
      <c r="F5051">
        <v>2.5448999999999999E-2</v>
      </c>
      <c r="G5051">
        <v>92.531999999999996</v>
      </c>
      <c r="H5051">
        <v>0.1983</v>
      </c>
    </row>
    <row r="5052" spans="1:8" x14ac:dyDescent="0.25">
      <c r="B5052">
        <v>0.20927000000000001</v>
      </c>
      <c r="C5052">
        <v>50</v>
      </c>
      <c r="D5052">
        <v>250</v>
      </c>
      <c r="E5052">
        <v>39.048999999999999</v>
      </c>
      <c r="F5052">
        <v>2.5609E-2</v>
      </c>
      <c r="G5052">
        <v>98.096999999999994</v>
      </c>
      <c r="H5052">
        <v>0.20927000000000001</v>
      </c>
    </row>
    <row r="5053" spans="1:8" x14ac:dyDescent="0.25">
      <c r="B5053">
        <v>0.22017999999999999</v>
      </c>
      <c r="C5053">
        <v>55</v>
      </c>
      <c r="D5053">
        <v>250</v>
      </c>
      <c r="E5053">
        <v>38.801000000000002</v>
      </c>
      <c r="F5053">
        <v>2.5773000000000001E-2</v>
      </c>
      <c r="G5053">
        <v>103.68</v>
      </c>
      <c r="H5053">
        <v>0.22017999999999999</v>
      </c>
    </row>
    <row r="5054" spans="1:8" x14ac:dyDescent="0.25">
      <c r="B5054">
        <v>0.23102</v>
      </c>
      <c r="C5054">
        <v>60</v>
      </c>
      <c r="D5054">
        <v>250</v>
      </c>
      <c r="E5054">
        <v>38.549999999999997</v>
      </c>
      <c r="F5054">
        <v>2.5940000000000001E-2</v>
      </c>
      <c r="G5054">
        <v>109.29</v>
      </c>
      <c r="H5054">
        <v>0.23102</v>
      </c>
    </row>
    <row r="5055" spans="1:8" x14ac:dyDescent="0.25">
      <c r="B5055">
        <v>0.24181</v>
      </c>
      <c r="C5055">
        <v>65</v>
      </c>
      <c r="D5055">
        <v>250</v>
      </c>
      <c r="E5055">
        <v>38.295999999999999</v>
      </c>
      <c r="F5055">
        <v>2.6113000000000001E-2</v>
      </c>
      <c r="G5055">
        <v>114.92</v>
      </c>
      <c r="H5055">
        <v>0.24181</v>
      </c>
    </row>
    <row r="5056" spans="1:8" x14ac:dyDescent="0.25">
      <c r="B5056">
        <v>0.25253999999999999</v>
      </c>
      <c r="C5056">
        <v>70</v>
      </c>
      <c r="D5056">
        <v>250</v>
      </c>
      <c r="E5056">
        <v>38.037999999999997</v>
      </c>
      <c r="F5056">
        <v>2.6289E-2</v>
      </c>
      <c r="G5056">
        <v>120.58</v>
      </c>
      <c r="H5056">
        <v>0.25253999999999999</v>
      </c>
    </row>
    <row r="5057" spans="2:8" x14ac:dyDescent="0.25">
      <c r="B5057">
        <v>0.26321</v>
      </c>
      <c r="C5057">
        <v>75</v>
      </c>
      <c r="D5057">
        <v>250</v>
      </c>
      <c r="E5057">
        <v>37.777000000000001</v>
      </c>
      <c r="F5057">
        <v>2.6471000000000001E-2</v>
      </c>
      <c r="G5057">
        <v>126.26</v>
      </c>
      <c r="H5057">
        <v>0.26321</v>
      </c>
    </row>
    <row r="5058" spans="2:8" x14ac:dyDescent="0.25">
      <c r="B5058">
        <v>0.27383999999999997</v>
      </c>
      <c r="C5058">
        <v>80</v>
      </c>
      <c r="D5058">
        <v>250</v>
      </c>
      <c r="E5058">
        <v>37.512999999999998</v>
      </c>
      <c r="F5058">
        <v>2.6658000000000001E-2</v>
      </c>
      <c r="G5058">
        <v>131.97</v>
      </c>
      <c r="H5058">
        <v>0.27383999999999997</v>
      </c>
    </row>
    <row r="5059" spans="2:8" x14ac:dyDescent="0.25">
      <c r="B5059">
        <v>0.28443000000000002</v>
      </c>
      <c r="C5059">
        <v>85</v>
      </c>
      <c r="D5059">
        <v>250</v>
      </c>
      <c r="E5059">
        <v>37.244999999999997</v>
      </c>
      <c r="F5059">
        <v>2.6849999999999999E-2</v>
      </c>
      <c r="G5059">
        <v>137.71</v>
      </c>
      <c r="H5059">
        <v>0.28443000000000002</v>
      </c>
    </row>
    <row r="5060" spans="2:8" x14ac:dyDescent="0.25">
      <c r="B5060">
        <v>0.29497000000000001</v>
      </c>
      <c r="C5060">
        <v>90</v>
      </c>
      <c r="D5060">
        <v>250</v>
      </c>
      <c r="E5060">
        <v>36.972000000000001</v>
      </c>
      <c r="F5060">
        <v>2.7047000000000002E-2</v>
      </c>
      <c r="G5060">
        <v>143.47999999999999</v>
      </c>
      <c r="H5060">
        <v>0.29497000000000001</v>
      </c>
    </row>
    <row r="5061" spans="2:8" x14ac:dyDescent="0.25">
      <c r="B5061">
        <v>0.30547999999999997</v>
      </c>
      <c r="C5061">
        <v>95</v>
      </c>
      <c r="D5061">
        <v>250</v>
      </c>
      <c r="E5061">
        <v>36.695999999999998</v>
      </c>
      <c r="F5061">
        <v>2.7251000000000001E-2</v>
      </c>
      <c r="G5061">
        <v>149.28</v>
      </c>
      <c r="H5061">
        <v>0.30547999999999997</v>
      </c>
    </row>
    <row r="5062" spans="2:8" x14ac:dyDescent="0.25">
      <c r="B5062">
        <v>0.31596000000000002</v>
      </c>
      <c r="C5062">
        <v>100</v>
      </c>
      <c r="D5062">
        <v>250</v>
      </c>
      <c r="E5062">
        <v>36.414000000000001</v>
      </c>
      <c r="F5062">
        <v>2.7462E-2</v>
      </c>
      <c r="G5062">
        <v>155.12</v>
      </c>
      <c r="H5062">
        <v>0.31596000000000002</v>
      </c>
    </row>
    <row r="5063" spans="2:8" x14ac:dyDescent="0.25">
      <c r="B5063">
        <v>0.32641999999999999</v>
      </c>
      <c r="C5063">
        <v>105</v>
      </c>
      <c r="D5063">
        <v>250</v>
      </c>
      <c r="E5063">
        <v>36.128</v>
      </c>
      <c r="F5063">
        <v>2.7678999999999999E-2</v>
      </c>
      <c r="G5063">
        <v>161</v>
      </c>
      <c r="H5063">
        <v>0.32641999999999999</v>
      </c>
    </row>
    <row r="5064" spans="2:8" x14ac:dyDescent="0.25">
      <c r="B5064">
        <v>0.33684999999999998</v>
      </c>
      <c r="C5064">
        <v>110</v>
      </c>
      <c r="D5064">
        <v>250</v>
      </c>
      <c r="E5064">
        <v>35.835999999999999</v>
      </c>
      <c r="F5064">
        <v>2.7904999999999999E-2</v>
      </c>
      <c r="G5064">
        <v>166.92</v>
      </c>
      <c r="H5064">
        <v>0.33684999999999998</v>
      </c>
    </row>
    <row r="5065" spans="2:8" x14ac:dyDescent="0.25">
      <c r="B5065">
        <v>1.1604000000000001</v>
      </c>
      <c r="C5065">
        <v>115</v>
      </c>
      <c r="D5065">
        <v>250</v>
      </c>
      <c r="E5065">
        <v>0.82084999999999997</v>
      </c>
      <c r="F5065">
        <v>1.2182999999999999</v>
      </c>
      <c r="G5065">
        <v>636.67999999999995</v>
      </c>
      <c r="H5065">
        <v>1.1604000000000001</v>
      </c>
    </row>
    <row r="5066" spans="2:8" x14ac:dyDescent="0.25">
      <c r="B5066">
        <v>1.1676</v>
      </c>
      <c r="C5066">
        <v>120</v>
      </c>
      <c r="D5066">
        <v>250</v>
      </c>
      <c r="E5066">
        <v>0.80745</v>
      </c>
      <c r="F5066">
        <v>1.2384999999999999</v>
      </c>
      <c r="G5066">
        <v>640.84</v>
      </c>
      <c r="H5066">
        <v>1.1676</v>
      </c>
    </row>
    <row r="5067" spans="2:8" x14ac:dyDescent="0.25">
      <c r="B5067">
        <v>1.1745000000000001</v>
      </c>
      <c r="C5067">
        <v>125</v>
      </c>
      <c r="D5067">
        <v>250</v>
      </c>
      <c r="E5067">
        <v>0.79478000000000004</v>
      </c>
      <c r="F5067">
        <v>1.2582</v>
      </c>
      <c r="G5067">
        <v>644.88</v>
      </c>
      <c r="H5067">
        <v>1.1745000000000001</v>
      </c>
    </row>
    <row r="5068" spans="2:8" x14ac:dyDescent="0.25">
      <c r="B5068">
        <v>1.1812</v>
      </c>
      <c r="C5068">
        <v>130</v>
      </c>
      <c r="D5068">
        <v>250</v>
      </c>
      <c r="E5068">
        <v>0.78278000000000003</v>
      </c>
      <c r="F5068">
        <v>1.2775000000000001</v>
      </c>
      <c r="G5068">
        <v>648.83000000000004</v>
      </c>
      <c r="H5068">
        <v>1.1812</v>
      </c>
    </row>
    <row r="5069" spans="2:8" x14ac:dyDescent="0.25">
      <c r="B5069">
        <v>1.1878</v>
      </c>
      <c r="C5069">
        <v>135</v>
      </c>
      <c r="D5069">
        <v>250</v>
      </c>
      <c r="E5069">
        <v>0.77136000000000005</v>
      </c>
      <c r="F5069">
        <v>1.2964</v>
      </c>
      <c r="G5069">
        <v>652.69000000000005</v>
      </c>
      <c r="H5069">
        <v>1.1878</v>
      </c>
    </row>
    <row r="5070" spans="2:8" x14ac:dyDescent="0.25">
      <c r="B5070">
        <v>1.1940999999999999</v>
      </c>
      <c r="C5070">
        <v>140</v>
      </c>
      <c r="D5070">
        <v>250</v>
      </c>
      <c r="E5070">
        <v>0.76048000000000004</v>
      </c>
      <c r="F5070">
        <v>1.3149999999999999</v>
      </c>
      <c r="G5070">
        <v>656.47</v>
      </c>
      <c r="H5070">
        <v>1.1940999999999999</v>
      </c>
    </row>
    <row r="5071" spans="2:8" x14ac:dyDescent="0.25">
      <c r="B5071">
        <v>1.2002999999999999</v>
      </c>
      <c r="C5071">
        <v>145</v>
      </c>
      <c r="D5071">
        <v>250</v>
      </c>
      <c r="E5071">
        <v>0.75007999999999997</v>
      </c>
      <c r="F5071">
        <v>1.3331999999999999</v>
      </c>
      <c r="G5071">
        <v>660.18</v>
      </c>
      <c r="H5071">
        <v>1.2002999999999999</v>
      </c>
    </row>
    <row r="5072" spans="2:8" x14ac:dyDescent="0.25">
      <c r="B5072">
        <v>1.2062999999999999</v>
      </c>
      <c r="C5072">
        <v>150</v>
      </c>
      <c r="D5072">
        <v>250</v>
      </c>
      <c r="E5072">
        <v>0.74012</v>
      </c>
      <c r="F5072">
        <v>1.3511</v>
      </c>
      <c r="G5072">
        <v>663.83</v>
      </c>
      <c r="H5072">
        <v>1.2062999999999999</v>
      </c>
    </row>
    <row r="5073" spans="2:8" x14ac:dyDescent="0.25">
      <c r="B5073">
        <v>1.2121</v>
      </c>
      <c r="C5073">
        <v>155</v>
      </c>
      <c r="D5073">
        <v>250</v>
      </c>
      <c r="E5073">
        <v>0.73057000000000005</v>
      </c>
      <c r="F5073">
        <v>1.3688</v>
      </c>
      <c r="G5073">
        <v>667.43</v>
      </c>
      <c r="H5073">
        <v>1.2121</v>
      </c>
    </row>
    <row r="5074" spans="2:8" x14ac:dyDescent="0.25">
      <c r="B5074">
        <v>1.2179</v>
      </c>
      <c r="C5074">
        <v>160</v>
      </c>
      <c r="D5074">
        <v>250</v>
      </c>
      <c r="E5074">
        <v>0.72138000000000002</v>
      </c>
      <c r="F5074">
        <v>1.3862000000000001</v>
      </c>
      <c r="G5074">
        <v>670.97</v>
      </c>
      <c r="H5074">
        <v>1.2179</v>
      </c>
    </row>
    <row r="5075" spans="2:8" x14ac:dyDescent="0.25">
      <c r="B5075">
        <v>1.2235</v>
      </c>
      <c r="C5075">
        <v>165</v>
      </c>
      <c r="D5075">
        <v>250</v>
      </c>
      <c r="E5075">
        <v>0.71253999999999995</v>
      </c>
      <c r="F5075">
        <v>1.4034</v>
      </c>
      <c r="G5075">
        <v>674.47</v>
      </c>
      <c r="H5075">
        <v>1.2235</v>
      </c>
    </row>
    <row r="5076" spans="2:8" x14ac:dyDescent="0.25">
      <c r="B5076">
        <v>1.2290000000000001</v>
      </c>
      <c r="C5076">
        <v>170</v>
      </c>
      <c r="D5076">
        <v>250</v>
      </c>
      <c r="E5076">
        <v>0.70401999999999998</v>
      </c>
      <c r="F5076">
        <v>1.4204000000000001</v>
      </c>
      <c r="G5076">
        <v>677.93</v>
      </c>
      <c r="H5076">
        <v>1.2290000000000001</v>
      </c>
    </row>
    <row r="5077" spans="2:8" x14ac:dyDescent="0.25">
      <c r="B5077">
        <v>1.2343999999999999</v>
      </c>
      <c r="C5077">
        <v>175</v>
      </c>
      <c r="D5077">
        <v>250</v>
      </c>
      <c r="E5077">
        <v>0.69579999999999997</v>
      </c>
      <c r="F5077">
        <v>1.4372</v>
      </c>
      <c r="G5077">
        <v>681.35</v>
      </c>
      <c r="H5077">
        <v>1.2343999999999999</v>
      </c>
    </row>
    <row r="5078" spans="2:8" x14ac:dyDescent="0.25">
      <c r="B5078">
        <v>1.2397</v>
      </c>
      <c r="C5078">
        <v>180</v>
      </c>
      <c r="D5078">
        <v>250</v>
      </c>
      <c r="E5078">
        <v>0.68784999999999996</v>
      </c>
      <c r="F5078">
        <v>1.4538</v>
      </c>
      <c r="G5078">
        <v>684.73</v>
      </c>
      <c r="H5078">
        <v>1.2397</v>
      </c>
    </row>
    <row r="5079" spans="2:8" x14ac:dyDescent="0.25">
      <c r="B5079">
        <v>1.2448999999999999</v>
      </c>
      <c r="C5079">
        <v>185</v>
      </c>
      <c r="D5079">
        <v>250</v>
      </c>
      <c r="E5079">
        <v>0.68015000000000003</v>
      </c>
      <c r="F5079">
        <v>1.4702999999999999</v>
      </c>
      <c r="G5079">
        <v>688.08</v>
      </c>
      <c r="H5079">
        <v>1.2448999999999999</v>
      </c>
    </row>
    <row r="5080" spans="2:8" x14ac:dyDescent="0.25">
      <c r="B5080">
        <v>1.2501</v>
      </c>
      <c r="C5080">
        <v>190</v>
      </c>
      <c r="D5080">
        <v>250</v>
      </c>
      <c r="E5080">
        <v>0.67269999999999996</v>
      </c>
      <c r="F5080">
        <v>1.4864999999999999</v>
      </c>
      <c r="G5080">
        <v>691.4</v>
      </c>
      <c r="H5080">
        <v>1.2501</v>
      </c>
    </row>
    <row r="5081" spans="2:8" x14ac:dyDescent="0.25">
      <c r="B5081">
        <v>1.2551000000000001</v>
      </c>
      <c r="C5081">
        <v>195</v>
      </c>
      <c r="D5081">
        <v>250</v>
      </c>
      <c r="E5081">
        <v>0.66547000000000001</v>
      </c>
      <c r="F5081">
        <v>1.5026999999999999</v>
      </c>
      <c r="G5081">
        <v>694.7</v>
      </c>
      <c r="H5081">
        <v>1.2551000000000001</v>
      </c>
    </row>
    <row r="5082" spans="2:8" x14ac:dyDescent="0.25">
      <c r="B5082">
        <v>1.2601</v>
      </c>
      <c r="C5082">
        <v>200</v>
      </c>
      <c r="D5082">
        <v>250</v>
      </c>
      <c r="E5082">
        <v>0.65846000000000005</v>
      </c>
      <c r="F5082">
        <v>1.5186999999999999</v>
      </c>
      <c r="G5082">
        <v>697.97</v>
      </c>
      <c r="H5082">
        <v>1.2601</v>
      </c>
    </row>
    <row r="5083" spans="2:8" x14ac:dyDescent="0.25">
      <c r="B5083">
        <v>1.2649999999999999</v>
      </c>
      <c r="C5083">
        <v>205</v>
      </c>
      <c r="D5083">
        <v>250</v>
      </c>
      <c r="E5083">
        <v>0.65164999999999995</v>
      </c>
      <c r="F5083">
        <v>1.5346</v>
      </c>
      <c r="G5083">
        <v>701.22</v>
      </c>
      <c r="H5083">
        <v>1.2649999999999999</v>
      </c>
    </row>
    <row r="5084" spans="2:8" x14ac:dyDescent="0.25">
      <c r="B5084">
        <v>1.2699</v>
      </c>
      <c r="C5084">
        <v>210</v>
      </c>
      <c r="D5084">
        <v>250</v>
      </c>
      <c r="E5084">
        <v>0.64502999999999999</v>
      </c>
      <c r="F5084">
        <v>1.5503</v>
      </c>
      <c r="G5084">
        <v>704.45</v>
      </c>
      <c r="H5084">
        <v>1.2699</v>
      </c>
    </row>
    <row r="5085" spans="2:8" x14ac:dyDescent="0.25">
      <c r="B5085">
        <v>1.2746</v>
      </c>
      <c r="C5085">
        <v>215</v>
      </c>
      <c r="D5085">
        <v>250</v>
      </c>
      <c r="E5085">
        <v>0.63858999999999999</v>
      </c>
      <c r="F5085">
        <v>1.5660000000000001</v>
      </c>
      <c r="G5085">
        <v>707.66</v>
      </c>
      <c r="H5085">
        <v>1.2746</v>
      </c>
    </row>
    <row r="5086" spans="2:8" x14ac:dyDescent="0.25">
      <c r="B5086">
        <v>1.2794000000000001</v>
      </c>
      <c r="C5086">
        <v>220</v>
      </c>
      <c r="D5086">
        <v>250</v>
      </c>
      <c r="E5086">
        <v>0.63231999999999999</v>
      </c>
      <c r="F5086">
        <v>1.5814999999999999</v>
      </c>
      <c r="G5086">
        <v>710.85</v>
      </c>
      <c r="H5086">
        <v>1.2794000000000001</v>
      </c>
    </row>
    <row r="5087" spans="2:8" x14ac:dyDescent="0.25">
      <c r="B5087">
        <v>1.284</v>
      </c>
      <c r="C5087">
        <v>225</v>
      </c>
      <c r="D5087">
        <v>250</v>
      </c>
      <c r="E5087">
        <v>0.62621000000000004</v>
      </c>
      <c r="F5087">
        <v>1.5969</v>
      </c>
      <c r="G5087">
        <v>714.03</v>
      </c>
      <c r="H5087">
        <v>1.284</v>
      </c>
    </row>
    <row r="5088" spans="2:8" x14ac:dyDescent="0.25">
      <c r="B5088">
        <v>1.2886</v>
      </c>
      <c r="C5088">
        <v>230</v>
      </c>
      <c r="D5088">
        <v>250</v>
      </c>
      <c r="E5088">
        <v>0.62024999999999997</v>
      </c>
      <c r="F5088">
        <v>1.6122000000000001</v>
      </c>
      <c r="G5088">
        <v>717.2</v>
      </c>
      <c r="H5088">
        <v>1.2886</v>
      </c>
    </row>
    <row r="5089" spans="2:8" x14ac:dyDescent="0.25">
      <c r="B5089">
        <v>1.2931999999999999</v>
      </c>
      <c r="C5089">
        <v>235</v>
      </c>
      <c r="D5089">
        <v>250</v>
      </c>
      <c r="E5089">
        <v>0.61443999999999999</v>
      </c>
      <c r="F5089">
        <v>1.6274999999999999</v>
      </c>
      <c r="G5089">
        <v>720.35</v>
      </c>
      <c r="H5089">
        <v>1.2931999999999999</v>
      </c>
    </row>
    <row r="5090" spans="2:8" x14ac:dyDescent="0.25">
      <c r="B5090">
        <v>1.2977000000000001</v>
      </c>
      <c r="C5090">
        <v>240</v>
      </c>
      <c r="D5090">
        <v>250</v>
      </c>
      <c r="E5090">
        <v>0.60877000000000003</v>
      </c>
      <c r="F5090">
        <v>1.6426000000000001</v>
      </c>
      <c r="G5090">
        <v>723.49</v>
      </c>
      <c r="H5090">
        <v>1.2977000000000001</v>
      </c>
    </row>
    <row r="5091" spans="2:8" x14ac:dyDescent="0.25">
      <c r="B5091">
        <v>1.3021</v>
      </c>
      <c r="C5091">
        <v>245</v>
      </c>
      <c r="D5091">
        <v>250</v>
      </c>
      <c r="E5091">
        <v>0.60324</v>
      </c>
      <c r="F5091">
        <v>1.6577</v>
      </c>
      <c r="G5091">
        <v>726.61</v>
      </c>
      <c r="H5091">
        <v>1.3021</v>
      </c>
    </row>
    <row r="5092" spans="2:8" x14ac:dyDescent="0.25">
      <c r="B5092">
        <v>1.3065</v>
      </c>
      <c r="C5092">
        <v>250</v>
      </c>
      <c r="D5092">
        <v>250</v>
      </c>
      <c r="E5092">
        <v>0.59782999999999997</v>
      </c>
      <c r="F5092">
        <v>1.6727000000000001</v>
      </c>
      <c r="G5092">
        <v>729.73</v>
      </c>
      <c r="H5092">
        <v>1.3065</v>
      </c>
    </row>
    <row r="5093" spans="2:8" x14ac:dyDescent="0.25">
      <c r="B5093">
        <v>1.3109</v>
      </c>
      <c r="C5093">
        <v>255</v>
      </c>
      <c r="D5093">
        <v>250</v>
      </c>
      <c r="E5093">
        <v>0.59253999999999996</v>
      </c>
      <c r="F5093">
        <v>1.6876</v>
      </c>
      <c r="G5093">
        <v>732.84</v>
      </c>
      <c r="H5093">
        <v>1.3109</v>
      </c>
    </row>
    <row r="5094" spans="2:8" x14ac:dyDescent="0.25">
      <c r="B5094">
        <v>1.3151999999999999</v>
      </c>
      <c r="C5094">
        <v>260</v>
      </c>
      <c r="D5094">
        <v>250</v>
      </c>
      <c r="E5094">
        <v>0.58738000000000001</v>
      </c>
      <c r="F5094">
        <v>1.7024999999999999</v>
      </c>
      <c r="G5094">
        <v>735.94</v>
      </c>
      <c r="H5094">
        <v>1.3151999999999999</v>
      </c>
    </row>
    <row r="5095" spans="2:8" x14ac:dyDescent="0.25">
      <c r="B5095">
        <v>1.3194999999999999</v>
      </c>
      <c r="C5095">
        <v>265</v>
      </c>
      <c r="D5095">
        <v>250</v>
      </c>
      <c r="E5095">
        <v>0.58231999999999995</v>
      </c>
      <c r="F5095">
        <v>1.7173</v>
      </c>
      <c r="G5095">
        <v>739.04</v>
      </c>
      <c r="H5095">
        <v>1.3194999999999999</v>
      </c>
    </row>
    <row r="5096" spans="2:8" x14ac:dyDescent="0.25">
      <c r="B5096">
        <v>1.3238000000000001</v>
      </c>
      <c r="C5096">
        <v>270</v>
      </c>
      <c r="D5096">
        <v>250</v>
      </c>
      <c r="E5096">
        <v>0.57737000000000005</v>
      </c>
      <c r="F5096">
        <v>1.732</v>
      </c>
      <c r="G5096">
        <v>742.13</v>
      </c>
      <c r="H5096">
        <v>1.3238000000000001</v>
      </c>
    </row>
    <row r="5097" spans="2:8" x14ac:dyDescent="0.25">
      <c r="B5097">
        <v>1.3280000000000001</v>
      </c>
      <c r="C5097">
        <v>275</v>
      </c>
      <c r="D5097">
        <v>250</v>
      </c>
      <c r="E5097">
        <v>0.57252999999999998</v>
      </c>
      <c r="F5097">
        <v>1.7465999999999999</v>
      </c>
      <c r="G5097">
        <v>745.21</v>
      </c>
      <c r="H5097">
        <v>1.3280000000000001</v>
      </c>
    </row>
    <row r="5098" spans="2:8" x14ac:dyDescent="0.25">
      <c r="B5098">
        <v>1.3321000000000001</v>
      </c>
      <c r="C5098">
        <v>280</v>
      </c>
      <c r="D5098">
        <v>250</v>
      </c>
      <c r="E5098">
        <v>0.56777999999999995</v>
      </c>
      <c r="F5098">
        <v>1.7612000000000001</v>
      </c>
      <c r="G5098">
        <v>748.29</v>
      </c>
      <c r="H5098">
        <v>1.3321000000000001</v>
      </c>
    </row>
    <row r="5099" spans="2:8" x14ac:dyDescent="0.25">
      <c r="B5099">
        <v>1.3363</v>
      </c>
      <c r="C5099">
        <v>285</v>
      </c>
      <c r="D5099">
        <v>250</v>
      </c>
      <c r="E5099">
        <v>0.56313000000000002</v>
      </c>
      <c r="F5099">
        <v>1.7758</v>
      </c>
      <c r="G5099">
        <v>751.36</v>
      </c>
      <c r="H5099">
        <v>1.3363</v>
      </c>
    </row>
    <row r="5100" spans="2:8" x14ac:dyDescent="0.25">
      <c r="B5100">
        <v>1.3404</v>
      </c>
      <c r="C5100">
        <v>290</v>
      </c>
      <c r="D5100">
        <v>250</v>
      </c>
      <c r="E5100">
        <v>0.55857000000000001</v>
      </c>
      <c r="F5100">
        <v>1.7903</v>
      </c>
      <c r="G5100">
        <v>754.43</v>
      </c>
      <c r="H5100">
        <v>1.3404</v>
      </c>
    </row>
    <row r="5101" spans="2:8" x14ac:dyDescent="0.25">
      <c r="B5101">
        <v>1.3445</v>
      </c>
      <c r="C5101">
        <v>295</v>
      </c>
      <c r="D5101">
        <v>250</v>
      </c>
      <c r="E5101">
        <v>0.55410000000000004</v>
      </c>
      <c r="F5101">
        <v>1.8047</v>
      </c>
      <c r="G5101">
        <v>757.49</v>
      </c>
      <c r="H5101">
        <v>1.3445</v>
      </c>
    </row>
    <row r="5102" spans="2:8" x14ac:dyDescent="0.25">
      <c r="B5102">
        <v>1.3485</v>
      </c>
      <c r="C5102">
        <v>300</v>
      </c>
      <c r="D5102">
        <v>250</v>
      </c>
      <c r="E5102">
        <v>0.54971999999999999</v>
      </c>
      <c r="F5102">
        <v>1.8190999999999999</v>
      </c>
      <c r="G5102">
        <v>760.55</v>
      </c>
      <c r="H5102">
        <v>1.3485</v>
      </c>
    </row>
    <row r="5103" spans="2:8" x14ac:dyDescent="0.25">
      <c r="B5103">
        <v>1.3525</v>
      </c>
      <c r="C5103">
        <v>305</v>
      </c>
      <c r="D5103">
        <v>250</v>
      </c>
      <c r="E5103">
        <v>0.54542000000000002</v>
      </c>
      <c r="F5103">
        <v>1.8333999999999999</v>
      </c>
      <c r="G5103">
        <v>763.61</v>
      </c>
      <c r="H5103">
        <v>1.3525</v>
      </c>
    </row>
    <row r="5104" spans="2:8" x14ac:dyDescent="0.25">
      <c r="B5104">
        <v>1.3565</v>
      </c>
      <c r="C5104">
        <v>310</v>
      </c>
      <c r="D5104">
        <v>250</v>
      </c>
      <c r="E5104">
        <v>0.54120000000000001</v>
      </c>
      <c r="F5104">
        <v>1.8476999999999999</v>
      </c>
      <c r="G5104">
        <v>766.67</v>
      </c>
      <c r="H5104">
        <v>1.3565</v>
      </c>
    </row>
    <row r="5105" spans="1:8" x14ac:dyDescent="0.25">
      <c r="B5105">
        <v>1.3605</v>
      </c>
      <c r="C5105">
        <v>315</v>
      </c>
      <c r="D5105">
        <v>250</v>
      </c>
      <c r="E5105">
        <v>0.53705999999999998</v>
      </c>
      <c r="F5105">
        <v>1.8620000000000001</v>
      </c>
      <c r="G5105">
        <v>769.73</v>
      </c>
      <c r="H5105">
        <v>1.3605</v>
      </c>
    </row>
    <row r="5106" spans="1:8" x14ac:dyDescent="0.25">
      <c r="B5106">
        <v>1.3644000000000001</v>
      </c>
      <c r="C5106">
        <v>320</v>
      </c>
      <c r="D5106">
        <v>250</v>
      </c>
      <c r="E5106">
        <v>0.53298999999999996</v>
      </c>
      <c r="F5106">
        <v>1.8762000000000001</v>
      </c>
      <c r="G5106">
        <v>772.78</v>
      </c>
      <c r="H5106">
        <v>1.3644000000000001</v>
      </c>
    </row>
    <row r="5107" spans="1:8" x14ac:dyDescent="0.25">
      <c r="B5107">
        <v>1.3683000000000001</v>
      </c>
      <c r="C5107">
        <v>325</v>
      </c>
      <c r="D5107">
        <v>250</v>
      </c>
      <c r="E5107">
        <v>0.52900000000000003</v>
      </c>
      <c r="F5107">
        <v>1.8904000000000001</v>
      </c>
      <c r="G5107">
        <v>775.83</v>
      </c>
      <c r="H5107">
        <v>1.3683000000000001</v>
      </c>
    </row>
    <row r="5108" spans="1:8" x14ac:dyDescent="0.25">
      <c r="B5108">
        <v>1.3722000000000001</v>
      </c>
      <c r="C5108">
        <v>330</v>
      </c>
      <c r="D5108">
        <v>250</v>
      </c>
      <c r="E5108">
        <v>0.52507000000000004</v>
      </c>
      <c r="F5108">
        <v>1.9045000000000001</v>
      </c>
      <c r="G5108">
        <v>778.89</v>
      </c>
      <c r="H5108">
        <v>1.3722000000000001</v>
      </c>
    </row>
    <row r="5109" spans="1:8" x14ac:dyDescent="0.25">
      <c r="B5109">
        <v>1.3759999999999999</v>
      </c>
      <c r="C5109">
        <v>335</v>
      </c>
      <c r="D5109">
        <v>250</v>
      </c>
      <c r="E5109">
        <v>0.52120999999999995</v>
      </c>
      <c r="F5109">
        <v>1.9186000000000001</v>
      </c>
      <c r="G5109">
        <v>781.94</v>
      </c>
      <c r="H5109">
        <v>1.3759999999999999</v>
      </c>
    </row>
    <row r="5110" spans="1:8" x14ac:dyDescent="0.25">
      <c r="B5110">
        <v>1.3798999999999999</v>
      </c>
      <c r="C5110">
        <v>340</v>
      </c>
      <c r="D5110">
        <v>250</v>
      </c>
      <c r="E5110">
        <v>0.51741999999999999</v>
      </c>
      <c r="F5110">
        <v>1.9327000000000001</v>
      </c>
      <c r="G5110">
        <v>784.99</v>
      </c>
      <c r="H5110">
        <v>1.3798999999999999</v>
      </c>
    </row>
    <row r="5111" spans="1:8" x14ac:dyDescent="0.25">
      <c r="B5111">
        <v>1.3836999999999999</v>
      </c>
      <c r="C5111">
        <v>345</v>
      </c>
      <c r="D5111">
        <v>250</v>
      </c>
      <c r="E5111">
        <v>0.51370000000000005</v>
      </c>
      <c r="F5111">
        <v>1.9467000000000001</v>
      </c>
      <c r="G5111">
        <v>788.04</v>
      </c>
      <c r="H5111">
        <v>1.3836999999999999</v>
      </c>
    </row>
    <row r="5112" spans="1:8" x14ac:dyDescent="0.25">
      <c r="B5112">
        <v>1.3875</v>
      </c>
      <c r="C5112">
        <v>350</v>
      </c>
      <c r="D5112">
        <v>250</v>
      </c>
      <c r="E5112">
        <v>0.51002999999999998</v>
      </c>
      <c r="F5112">
        <v>1.9607000000000001</v>
      </c>
      <c r="G5112">
        <v>791.1</v>
      </c>
      <c r="H5112">
        <v>1.3875</v>
      </c>
    </row>
    <row r="5114" spans="1:8" x14ac:dyDescent="0.25">
      <c r="A5114">
        <v>255</v>
      </c>
      <c r="B5114">
        <v>9.6054E-2</v>
      </c>
      <c r="C5114">
        <v>0</v>
      </c>
      <c r="D5114">
        <v>255</v>
      </c>
      <c r="E5114">
        <v>41.4</v>
      </c>
      <c r="F5114">
        <v>2.4154999999999999E-2</v>
      </c>
      <c r="G5114">
        <v>43.281999999999996</v>
      </c>
      <c r="H5114">
        <v>9.6054E-2</v>
      </c>
    </row>
    <row r="5115" spans="1:8" x14ac:dyDescent="0.25">
      <c r="B5115">
        <v>0.10775</v>
      </c>
      <c r="C5115">
        <v>5</v>
      </c>
      <c r="D5115">
        <v>255</v>
      </c>
      <c r="E5115">
        <v>41.174999999999997</v>
      </c>
      <c r="F5115">
        <v>2.4287E-2</v>
      </c>
      <c r="G5115">
        <v>48.686999999999998</v>
      </c>
      <c r="H5115">
        <v>0.10775</v>
      </c>
    </row>
    <row r="5116" spans="1:8" x14ac:dyDescent="0.25">
      <c r="B5116">
        <v>0.11935999999999999</v>
      </c>
      <c r="C5116">
        <v>10</v>
      </c>
      <c r="D5116">
        <v>255</v>
      </c>
      <c r="E5116">
        <v>40.947000000000003</v>
      </c>
      <c r="F5116">
        <v>2.4421999999999999E-2</v>
      </c>
      <c r="G5116">
        <v>54.109000000000002</v>
      </c>
      <c r="H5116">
        <v>0.11935999999999999</v>
      </c>
    </row>
    <row r="5117" spans="1:8" x14ac:dyDescent="0.25">
      <c r="B5117">
        <v>0.13086999999999999</v>
      </c>
      <c r="C5117">
        <v>15</v>
      </c>
      <c r="D5117">
        <v>255</v>
      </c>
      <c r="E5117">
        <v>40.718000000000004</v>
      </c>
      <c r="F5117">
        <v>2.4559000000000001E-2</v>
      </c>
      <c r="G5117">
        <v>59.546999999999997</v>
      </c>
      <c r="H5117">
        <v>0.13086999999999999</v>
      </c>
    </row>
    <row r="5118" spans="1:8" x14ac:dyDescent="0.25">
      <c r="B5118">
        <v>0.14230000000000001</v>
      </c>
      <c r="C5118">
        <v>20</v>
      </c>
      <c r="D5118">
        <v>255</v>
      </c>
      <c r="E5118">
        <v>40.487000000000002</v>
      </c>
      <c r="F5118">
        <v>2.4698999999999999E-2</v>
      </c>
      <c r="G5118">
        <v>65.001999999999995</v>
      </c>
      <c r="H5118">
        <v>0.14230000000000001</v>
      </c>
    </row>
    <row r="5119" spans="1:8" x14ac:dyDescent="0.25">
      <c r="B5119">
        <v>0.15365000000000001</v>
      </c>
      <c r="C5119">
        <v>25</v>
      </c>
      <c r="D5119">
        <v>255</v>
      </c>
      <c r="E5119">
        <v>40.253</v>
      </c>
      <c r="F5119">
        <v>2.4843E-2</v>
      </c>
      <c r="G5119">
        <v>70.472999999999999</v>
      </c>
      <c r="H5119">
        <v>0.15365000000000001</v>
      </c>
    </row>
    <row r="5120" spans="1:8" x14ac:dyDescent="0.25">
      <c r="B5120">
        <v>0.16492000000000001</v>
      </c>
      <c r="C5120">
        <v>30</v>
      </c>
      <c r="D5120">
        <v>255</v>
      </c>
      <c r="E5120">
        <v>40.018000000000001</v>
      </c>
      <c r="F5120">
        <v>2.4989000000000001E-2</v>
      </c>
      <c r="G5120">
        <v>75.962999999999994</v>
      </c>
      <c r="H5120">
        <v>0.16492000000000001</v>
      </c>
    </row>
    <row r="5121" spans="2:8" x14ac:dyDescent="0.25">
      <c r="B5121">
        <v>0.17610999999999999</v>
      </c>
      <c r="C5121">
        <v>35</v>
      </c>
      <c r="D5121">
        <v>255</v>
      </c>
      <c r="E5121">
        <v>39.78</v>
      </c>
      <c r="F5121">
        <v>2.5138000000000001E-2</v>
      </c>
      <c r="G5121">
        <v>81.47</v>
      </c>
      <c r="H5121">
        <v>0.17610999999999999</v>
      </c>
    </row>
    <row r="5122" spans="2:8" x14ac:dyDescent="0.25">
      <c r="B5122">
        <v>0.18722</v>
      </c>
      <c r="C5122">
        <v>40</v>
      </c>
      <c r="D5122">
        <v>255</v>
      </c>
      <c r="E5122">
        <v>39.539000000000001</v>
      </c>
      <c r="F5122">
        <v>2.5291000000000001E-2</v>
      </c>
      <c r="G5122">
        <v>86.995999999999995</v>
      </c>
      <c r="H5122">
        <v>0.18722</v>
      </c>
    </row>
    <row r="5123" spans="2:8" x14ac:dyDescent="0.25">
      <c r="B5123">
        <v>0.19827</v>
      </c>
      <c r="C5123">
        <v>45</v>
      </c>
      <c r="D5123">
        <v>255</v>
      </c>
      <c r="E5123">
        <v>39.295999999999999</v>
      </c>
      <c r="F5123">
        <v>2.5447999999999998E-2</v>
      </c>
      <c r="G5123">
        <v>92.540999999999997</v>
      </c>
      <c r="H5123">
        <v>0.19827</v>
      </c>
    </row>
    <row r="5124" spans="2:8" x14ac:dyDescent="0.25">
      <c r="B5124">
        <v>0.20924000000000001</v>
      </c>
      <c r="C5124">
        <v>50</v>
      </c>
      <c r="D5124">
        <v>255</v>
      </c>
      <c r="E5124">
        <v>39.051000000000002</v>
      </c>
      <c r="F5124">
        <v>2.5607999999999999E-2</v>
      </c>
      <c r="G5124">
        <v>98.105999999999995</v>
      </c>
      <c r="H5124">
        <v>0.20924000000000001</v>
      </c>
    </row>
    <row r="5125" spans="2:8" x14ac:dyDescent="0.25">
      <c r="B5125">
        <v>0.22015000000000001</v>
      </c>
      <c r="C5125">
        <v>55</v>
      </c>
      <c r="D5125">
        <v>255</v>
      </c>
      <c r="E5125">
        <v>38.802999999999997</v>
      </c>
      <c r="F5125">
        <v>2.5770999999999999E-2</v>
      </c>
      <c r="G5125">
        <v>103.69</v>
      </c>
      <c r="H5125">
        <v>0.22015000000000001</v>
      </c>
    </row>
    <row r="5126" spans="2:8" x14ac:dyDescent="0.25">
      <c r="B5126">
        <v>0.23099</v>
      </c>
      <c r="C5126">
        <v>60</v>
      </c>
      <c r="D5126">
        <v>255</v>
      </c>
      <c r="E5126">
        <v>38.552</v>
      </c>
      <c r="F5126">
        <v>2.5939E-2</v>
      </c>
      <c r="G5126">
        <v>109.3</v>
      </c>
      <c r="H5126">
        <v>0.23099</v>
      </c>
    </row>
    <row r="5127" spans="2:8" x14ac:dyDescent="0.25">
      <c r="B5127">
        <v>0.24177000000000001</v>
      </c>
      <c r="C5127">
        <v>65</v>
      </c>
      <c r="D5127">
        <v>255</v>
      </c>
      <c r="E5127">
        <v>38.296999999999997</v>
      </c>
      <c r="F5127">
        <v>2.6110999999999999E-2</v>
      </c>
      <c r="G5127">
        <v>114.93</v>
      </c>
      <c r="H5127">
        <v>0.24177000000000001</v>
      </c>
    </row>
    <row r="5128" spans="2:8" x14ac:dyDescent="0.25">
      <c r="B5128">
        <v>0.2525</v>
      </c>
      <c r="C5128">
        <v>70</v>
      </c>
      <c r="D5128">
        <v>255</v>
      </c>
      <c r="E5128">
        <v>38.04</v>
      </c>
      <c r="F5128">
        <v>2.6287999999999999E-2</v>
      </c>
      <c r="G5128">
        <v>120.59</v>
      </c>
      <c r="H5128">
        <v>0.2525</v>
      </c>
    </row>
    <row r="5129" spans="2:8" x14ac:dyDescent="0.25">
      <c r="B5129">
        <v>0.26318000000000003</v>
      </c>
      <c r="C5129">
        <v>75</v>
      </c>
      <c r="D5129">
        <v>255</v>
      </c>
      <c r="E5129">
        <v>37.779000000000003</v>
      </c>
      <c r="F5129">
        <v>2.647E-2</v>
      </c>
      <c r="G5129">
        <v>126.27</v>
      </c>
      <c r="H5129">
        <v>0.26318000000000003</v>
      </c>
    </row>
    <row r="5130" spans="2:8" x14ac:dyDescent="0.25">
      <c r="B5130">
        <v>0.27381</v>
      </c>
      <c r="C5130">
        <v>80</v>
      </c>
      <c r="D5130">
        <v>255</v>
      </c>
      <c r="E5130">
        <v>37.515000000000001</v>
      </c>
      <c r="F5130">
        <v>2.6655999999999999E-2</v>
      </c>
      <c r="G5130">
        <v>131.97999999999999</v>
      </c>
      <c r="H5130">
        <v>0.27381</v>
      </c>
    </row>
    <row r="5131" spans="2:8" x14ac:dyDescent="0.25">
      <c r="B5131">
        <v>0.28438999999999998</v>
      </c>
      <c r="C5131">
        <v>85</v>
      </c>
      <c r="D5131">
        <v>255</v>
      </c>
      <c r="E5131">
        <v>37.247</v>
      </c>
      <c r="F5131">
        <v>2.6848E-2</v>
      </c>
      <c r="G5131">
        <v>137.72</v>
      </c>
      <c r="H5131">
        <v>0.28438999999999998</v>
      </c>
    </row>
    <row r="5132" spans="2:8" x14ac:dyDescent="0.25">
      <c r="B5132">
        <v>0.29493000000000003</v>
      </c>
      <c r="C5132">
        <v>90</v>
      </c>
      <c r="D5132">
        <v>255</v>
      </c>
      <c r="E5132">
        <v>36.975000000000001</v>
      </c>
      <c r="F5132">
        <v>2.7046000000000001E-2</v>
      </c>
      <c r="G5132">
        <v>143.47999999999999</v>
      </c>
      <c r="H5132">
        <v>0.29493000000000003</v>
      </c>
    </row>
    <row r="5133" spans="2:8" x14ac:dyDescent="0.25">
      <c r="B5133">
        <v>0.30543999999999999</v>
      </c>
      <c r="C5133">
        <v>95</v>
      </c>
      <c r="D5133">
        <v>255</v>
      </c>
      <c r="E5133">
        <v>36.698</v>
      </c>
      <c r="F5133">
        <v>2.7248999999999999E-2</v>
      </c>
      <c r="G5133">
        <v>149.29</v>
      </c>
      <c r="H5133">
        <v>0.30543999999999999</v>
      </c>
    </row>
    <row r="5134" spans="2:8" x14ac:dyDescent="0.25">
      <c r="B5134">
        <v>0.31591999999999998</v>
      </c>
      <c r="C5134">
        <v>100</v>
      </c>
      <c r="D5134">
        <v>255</v>
      </c>
      <c r="E5134">
        <v>36.417000000000002</v>
      </c>
      <c r="F5134">
        <v>2.7459999999999998E-2</v>
      </c>
      <c r="G5134">
        <v>155.13</v>
      </c>
      <c r="H5134">
        <v>0.31591999999999998</v>
      </c>
    </row>
    <row r="5135" spans="2:8" x14ac:dyDescent="0.25">
      <c r="B5135">
        <v>0.32638</v>
      </c>
      <c r="C5135">
        <v>105</v>
      </c>
      <c r="D5135">
        <v>255</v>
      </c>
      <c r="E5135">
        <v>36.130000000000003</v>
      </c>
      <c r="F5135">
        <v>2.7677E-2</v>
      </c>
      <c r="G5135">
        <v>161</v>
      </c>
      <c r="H5135">
        <v>0.32638</v>
      </c>
    </row>
    <row r="5136" spans="2:8" x14ac:dyDescent="0.25">
      <c r="B5136">
        <v>0.33681</v>
      </c>
      <c r="C5136">
        <v>110</v>
      </c>
      <c r="D5136">
        <v>255</v>
      </c>
      <c r="E5136">
        <v>35.838999999999999</v>
      </c>
      <c r="F5136">
        <v>2.7903000000000001E-2</v>
      </c>
      <c r="G5136">
        <v>166.92</v>
      </c>
      <c r="H5136">
        <v>0.33681</v>
      </c>
    </row>
    <row r="5137" spans="2:8" x14ac:dyDescent="0.25">
      <c r="B5137">
        <v>1.1566000000000001</v>
      </c>
      <c r="C5137">
        <v>115</v>
      </c>
      <c r="D5137">
        <v>255</v>
      </c>
      <c r="E5137">
        <v>0.84111999999999998</v>
      </c>
      <c r="F5137">
        <v>1.1889000000000001</v>
      </c>
      <c r="G5137">
        <v>635.62</v>
      </c>
      <c r="H5137">
        <v>1.1566000000000001</v>
      </c>
    </row>
    <row r="5138" spans="2:8" x14ac:dyDescent="0.25">
      <c r="B5138">
        <v>1.1638999999999999</v>
      </c>
      <c r="C5138">
        <v>120</v>
      </c>
      <c r="D5138">
        <v>255</v>
      </c>
      <c r="E5138">
        <v>0.82715000000000005</v>
      </c>
      <c r="F5138">
        <v>1.2090000000000001</v>
      </c>
      <c r="G5138">
        <v>639.83000000000004</v>
      </c>
      <c r="H5138">
        <v>1.1638999999999999</v>
      </c>
    </row>
    <row r="5139" spans="2:8" x14ac:dyDescent="0.25">
      <c r="B5139">
        <v>1.1709000000000001</v>
      </c>
      <c r="C5139">
        <v>125</v>
      </c>
      <c r="D5139">
        <v>255</v>
      </c>
      <c r="E5139">
        <v>0.81398000000000004</v>
      </c>
      <c r="F5139">
        <v>1.2284999999999999</v>
      </c>
      <c r="G5139">
        <v>643.92999999999995</v>
      </c>
      <c r="H5139">
        <v>1.1709000000000001</v>
      </c>
    </row>
    <row r="5140" spans="2:8" x14ac:dyDescent="0.25">
      <c r="B5140">
        <v>1.1777</v>
      </c>
      <c r="C5140">
        <v>130</v>
      </c>
      <c r="D5140">
        <v>255</v>
      </c>
      <c r="E5140">
        <v>0.80149999999999999</v>
      </c>
      <c r="F5140">
        <v>1.2477</v>
      </c>
      <c r="G5140">
        <v>647.91999999999996</v>
      </c>
      <c r="H5140">
        <v>1.1777</v>
      </c>
    </row>
    <row r="5141" spans="2:8" x14ac:dyDescent="0.25">
      <c r="B5141">
        <v>1.1842999999999999</v>
      </c>
      <c r="C5141">
        <v>135</v>
      </c>
      <c r="D5141">
        <v>255</v>
      </c>
      <c r="E5141">
        <v>0.78964999999999996</v>
      </c>
      <c r="F5141">
        <v>1.2664</v>
      </c>
      <c r="G5141">
        <v>651.82000000000005</v>
      </c>
      <c r="H5141">
        <v>1.1842999999999999</v>
      </c>
    </row>
    <row r="5142" spans="2:8" x14ac:dyDescent="0.25">
      <c r="B5142">
        <v>1.1907000000000001</v>
      </c>
      <c r="C5142">
        <v>140</v>
      </c>
      <c r="D5142">
        <v>255</v>
      </c>
      <c r="E5142">
        <v>0.77836000000000005</v>
      </c>
      <c r="F5142">
        <v>1.2847999999999999</v>
      </c>
      <c r="G5142">
        <v>655.64</v>
      </c>
      <c r="H5142">
        <v>1.1907000000000001</v>
      </c>
    </row>
    <row r="5143" spans="2:8" x14ac:dyDescent="0.25">
      <c r="B5143">
        <v>1.1969000000000001</v>
      </c>
      <c r="C5143">
        <v>145</v>
      </c>
      <c r="D5143">
        <v>255</v>
      </c>
      <c r="E5143">
        <v>0.76758999999999999</v>
      </c>
      <c r="F5143">
        <v>1.3028</v>
      </c>
      <c r="G5143">
        <v>659.39</v>
      </c>
      <c r="H5143">
        <v>1.1969000000000001</v>
      </c>
    </row>
    <row r="5144" spans="2:8" x14ac:dyDescent="0.25">
      <c r="B5144">
        <v>1.2030000000000001</v>
      </c>
      <c r="C5144">
        <v>150</v>
      </c>
      <c r="D5144">
        <v>255</v>
      </c>
      <c r="E5144">
        <v>0.75727999999999995</v>
      </c>
      <c r="F5144">
        <v>1.3205</v>
      </c>
      <c r="G5144">
        <v>663.07</v>
      </c>
      <c r="H5144">
        <v>1.2030000000000001</v>
      </c>
    </row>
    <row r="5145" spans="2:8" x14ac:dyDescent="0.25">
      <c r="B5145">
        <v>1.2089000000000001</v>
      </c>
      <c r="C5145">
        <v>155</v>
      </c>
      <c r="D5145">
        <v>255</v>
      </c>
      <c r="E5145">
        <v>0.74739</v>
      </c>
      <c r="F5145">
        <v>1.3380000000000001</v>
      </c>
      <c r="G5145">
        <v>666.7</v>
      </c>
      <c r="H5145">
        <v>1.2089000000000001</v>
      </c>
    </row>
    <row r="5146" spans="2:8" x14ac:dyDescent="0.25">
      <c r="B5146">
        <v>1.2146999999999999</v>
      </c>
      <c r="C5146">
        <v>160</v>
      </c>
      <c r="D5146">
        <v>255</v>
      </c>
      <c r="E5146">
        <v>0.7379</v>
      </c>
      <c r="F5146">
        <v>1.3552</v>
      </c>
      <c r="G5146">
        <v>670.27</v>
      </c>
      <c r="H5146">
        <v>1.2146999999999999</v>
      </c>
    </row>
    <row r="5147" spans="2:8" x14ac:dyDescent="0.25">
      <c r="B5147">
        <v>1.2203999999999999</v>
      </c>
      <c r="C5147">
        <v>165</v>
      </c>
      <c r="D5147">
        <v>255</v>
      </c>
      <c r="E5147">
        <v>0.72877000000000003</v>
      </c>
      <c r="F5147">
        <v>1.3722000000000001</v>
      </c>
      <c r="G5147">
        <v>673.79</v>
      </c>
      <c r="H5147">
        <v>1.2203999999999999</v>
      </c>
    </row>
    <row r="5148" spans="2:8" x14ac:dyDescent="0.25">
      <c r="B5148">
        <v>1.2259</v>
      </c>
      <c r="C5148">
        <v>170</v>
      </c>
      <c r="D5148">
        <v>255</v>
      </c>
      <c r="E5148">
        <v>0.71997</v>
      </c>
      <c r="F5148">
        <v>1.3889</v>
      </c>
      <c r="G5148">
        <v>677.27</v>
      </c>
      <c r="H5148">
        <v>1.2259</v>
      </c>
    </row>
    <row r="5149" spans="2:8" x14ac:dyDescent="0.25">
      <c r="B5149">
        <v>1.2313000000000001</v>
      </c>
      <c r="C5149">
        <v>175</v>
      </c>
      <c r="D5149">
        <v>255</v>
      </c>
      <c r="E5149">
        <v>0.71148</v>
      </c>
      <c r="F5149">
        <v>1.4055</v>
      </c>
      <c r="G5149">
        <v>680.71</v>
      </c>
      <c r="H5149">
        <v>1.2313000000000001</v>
      </c>
    </row>
    <row r="5150" spans="2:8" x14ac:dyDescent="0.25">
      <c r="B5150">
        <v>1.2366999999999999</v>
      </c>
      <c r="C5150">
        <v>180</v>
      </c>
      <c r="D5150">
        <v>255</v>
      </c>
      <c r="E5150">
        <v>0.70328000000000002</v>
      </c>
      <c r="F5150">
        <v>1.4218999999999999</v>
      </c>
      <c r="G5150">
        <v>684.12</v>
      </c>
      <c r="H5150">
        <v>1.2366999999999999</v>
      </c>
    </row>
    <row r="5151" spans="2:8" x14ac:dyDescent="0.25">
      <c r="B5151">
        <v>1.2419</v>
      </c>
      <c r="C5151">
        <v>185</v>
      </c>
      <c r="D5151">
        <v>255</v>
      </c>
      <c r="E5151">
        <v>0.69535000000000002</v>
      </c>
      <c r="F5151">
        <v>1.4380999999999999</v>
      </c>
      <c r="G5151">
        <v>687.49</v>
      </c>
      <c r="H5151">
        <v>1.2419</v>
      </c>
    </row>
    <row r="5152" spans="2:8" x14ac:dyDescent="0.25">
      <c r="B5152">
        <v>1.2471000000000001</v>
      </c>
      <c r="C5152">
        <v>190</v>
      </c>
      <c r="D5152">
        <v>255</v>
      </c>
      <c r="E5152">
        <v>0.68767</v>
      </c>
      <c r="F5152">
        <v>1.4541999999999999</v>
      </c>
      <c r="G5152">
        <v>690.83</v>
      </c>
      <c r="H5152">
        <v>1.2471000000000001</v>
      </c>
    </row>
    <row r="5153" spans="2:8" x14ac:dyDescent="0.25">
      <c r="B5153">
        <v>1.2522</v>
      </c>
      <c r="C5153">
        <v>195</v>
      </c>
      <c r="D5153">
        <v>255</v>
      </c>
      <c r="E5153">
        <v>0.68023</v>
      </c>
      <c r="F5153">
        <v>1.4701</v>
      </c>
      <c r="G5153">
        <v>694.14</v>
      </c>
      <c r="H5153">
        <v>1.2522</v>
      </c>
    </row>
    <row r="5154" spans="2:8" x14ac:dyDescent="0.25">
      <c r="B5154">
        <v>1.2572000000000001</v>
      </c>
      <c r="C5154">
        <v>200</v>
      </c>
      <c r="D5154">
        <v>255</v>
      </c>
      <c r="E5154">
        <v>0.67301</v>
      </c>
      <c r="F5154">
        <v>1.4859</v>
      </c>
      <c r="G5154">
        <v>697.43</v>
      </c>
      <c r="H5154">
        <v>1.2572000000000001</v>
      </c>
    </row>
    <row r="5155" spans="2:8" x14ac:dyDescent="0.25">
      <c r="B5155">
        <v>1.2621</v>
      </c>
      <c r="C5155">
        <v>205</v>
      </c>
      <c r="D5155">
        <v>255</v>
      </c>
      <c r="E5155">
        <v>0.66598999999999997</v>
      </c>
      <c r="F5155">
        <v>1.5015000000000001</v>
      </c>
      <c r="G5155">
        <v>700.69</v>
      </c>
      <c r="H5155">
        <v>1.2621</v>
      </c>
    </row>
    <row r="5156" spans="2:8" x14ac:dyDescent="0.25">
      <c r="B5156">
        <v>1.2669999999999999</v>
      </c>
      <c r="C5156">
        <v>210</v>
      </c>
      <c r="D5156">
        <v>255</v>
      </c>
      <c r="E5156">
        <v>0.65917999999999999</v>
      </c>
      <c r="F5156">
        <v>1.5169999999999999</v>
      </c>
      <c r="G5156">
        <v>703.94</v>
      </c>
      <c r="H5156">
        <v>1.2669999999999999</v>
      </c>
    </row>
    <row r="5157" spans="2:8" x14ac:dyDescent="0.25">
      <c r="B5157">
        <v>1.2718</v>
      </c>
      <c r="C5157">
        <v>215</v>
      </c>
      <c r="D5157">
        <v>255</v>
      </c>
      <c r="E5157">
        <v>0.65256000000000003</v>
      </c>
      <c r="F5157">
        <v>1.5324</v>
      </c>
      <c r="G5157">
        <v>707.16</v>
      </c>
      <c r="H5157">
        <v>1.2718</v>
      </c>
    </row>
    <row r="5158" spans="2:8" x14ac:dyDescent="0.25">
      <c r="B5158">
        <v>1.2765</v>
      </c>
      <c r="C5158">
        <v>220</v>
      </c>
      <c r="D5158">
        <v>255</v>
      </c>
      <c r="E5158">
        <v>0.64610999999999996</v>
      </c>
      <c r="F5158">
        <v>1.5477000000000001</v>
      </c>
      <c r="G5158">
        <v>710.37</v>
      </c>
      <c r="H5158">
        <v>1.2765</v>
      </c>
    </row>
    <row r="5159" spans="2:8" x14ac:dyDescent="0.25">
      <c r="B5159">
        <v>1.2811999999999999</v>
      </c>
      <c r="C5159">
        <v>225</v>
      </c>
      <c r="D5159">
        <v>255</v>
      </c>
      <c r="E5159">
        <v>0.63983000000000001</v>
      </c>
      <c r="F5159">
        <v>1.5629</v>
      </c>
      <c r="G5159">
        <v>713.56</v>
      </c>
      <c r="H5159">
        <v>1.2811999999999999</v>
      </c>
    </row>
    <row r="5160" spans="2:8" x14ac:dyDescent="0.25">
      <c r="B5160">
        <v>1.2858000000000001</v>
      </c>
      <c r="C5160">
        <v>230</v>
      </c>
      <c r="D5160">
        <v>255</v>
      </c>
      <c r="E5160">
        <v>0.63371</v>
      </c>
      <c r="F5160">
        <v>1.5780000000000001</v>
      </c>
      <c r="G5160">
        <v>716.74</v>
      </c>
      <c r="H5160">
        <v>1.2858000000000001</v>
      </c>
    </row>
    <row r="5161" spans="2:8" x14ac:dyDescent="0.25">
      <c r="B5161">
        <v>1.2904</v>
      </c>
      <c r="C5161">
        <v>235</v>
      </c>
      <c r="D5161">
        <v>255</v>
      </c>
      <c r="E5161">
        <v>0.62773999999999996</v>
      </c>
      <c r="F5161">
        <v>1.593</v>
      </c>
      <c r="G5161">
        <v>719.9</v>
      </c>
      <c r="H5161">
        <v>1.2904</v>
      </c>
    </row>
    <row r="5162" spans="2:8" x14ac:dyDescent="0.25">
      <c r="B5162">
        <v>1.2948999999999999</v>
      </c>
      <c r="C5162">
        <v>240</v>
      </c>
      <c r="D5162">
        <v>255</v>
      </c>
      <c r="E5162">
        <v>0.62190999999999996</v>
      </c>
      <c r="F5162">
        <v>1.6079000000000001</v>
      </c>
      <c r="G5162">
        <v>723.05</v>
      </c>
      <c r="H5162">
        <v>1.2948999999999999</v>
      </c>
    </row>
    <row r="5163" spans="2:8" x14ac:dyDescent="0.25">
      <c r="B5163">
        <v>1.2994000000000001</v>
      </c>
      <c r="C5163">
        <v>245</v>
      </c>
      <c r="D5163">
        <v>255</v>
      </c>
      <c r="E5163">
        <v>0.61623000000000006</v>
      </c>
      <c r="F5163">
        <v>1.6228</v>
      </c>
      <c r="G5163">
        <v>726.19</v>
      </c>
      <c r="H5163">
        <v>1.2994000000000001</v>
      </c>
    </row>
    <row r="5164" spans="2:8" x14ac:dyDescent="0.25">
      <c r="B5164">
        <v>1.3038000000000001</v>
      </c>
      <c r="C5164">
        <v>250</v>
      </c>
      <c r="D5164">
        <v>255</v>
      </c>
      <c r="E5164">
        <v>0.61068</v>
      </c>
      <c r="F5164">
        <v>1.6375</v>
      </c>
      <c r="G5164">
        <v>729.32</v>
      </c>
      <c r="H5164">
        <v>1.3038000000000001</v>
      </c>
    </row>
    <row r="5165" spans="2:8" x14ac:dyDescent="0.25">
      <c r="B5165">
        <v>1.3082</v>
      </c>
      <c r="C5165">
        <v>255</v>
      </c>
      <c r="D5165">
        <v>255</v>
      </c>
      <c r="E5165">
        <v>0.60524999999999995</v>
      </c>
      <c r="F5165">
        <v>1.6521999999999999</v>
      </c>
      <c r="G5165">
        <v>732.44</v>
      </c>
      <c r="H5165">
        <v>1.3082</v>
      </c>
    </row>
    <row r="5166" spans="2:8" x14ac:dyDescent="0.25">
      <c r="B5166">
        <v>1.3125</v>
      </c>
      <c r="C5166">
        <v>260</v>
      </c>
      <c r="D5166">
        <v>255</v>
      </c>
      <c r="E5166">
        <v>0.59994999999999998</v>
      </c>
      <c r="F5166">
        <v>1.6668000000000001</v>
      </c>
      <c r="G5166">
        <v>735.55</v>
      </c>
      <c r="H5166">
        <v>1.3125</v>
      </c>
    </row>
    <row r="5167" spans="2:8" x14ac:dyDescent="0.25">
      <c r="B5167">
        <v>1.3168</v>
      </c>
      <c r="C5167">
        <v>265</v>
      </c>
      <c r="D5167">
        <v>255</v>
      </c>
      <c r="E5167">
        <v>0.59475999999999996</v>
      </c>
      <c r="F5167">
        <v>1.6814</v>
      </c>
      <c r="G5167">
        <v>738.65</v>
      </c>
      <c r="H5167">
        <v>1.3168</v>
      </c>
    </row>
    <row r="5168" spans="2:8" x14ac:dyDescent="0.25">
      <c r="B5168">
        <v>1.3210999999999999</v>
      </c>
      <c r="C5168">
        <v>270</v>
      </c>
      <c r="D5168">
        <v>255</v>
      </c>
      <c r="E5168">
        <v>0.58967999999999998</v>
      </c>
      <c r="F5168">
        <v>1.6958</v>
      </c>
      <c r="G5168">
        <v>741.75</v>
      </c>
      <c r="H5168">
        <v>1.3210999999999999</v>
      </c>
    </row>
    <row r="5169" spans="2:8" x14ac:dyDescent="0.25">
      <c r="B5169">
        <v>1.3252999999999999</v>
      </c>
      <c r="C5169">
        <v>275</v>
      </c>
      <c r="D5169">
        <v>255</v>
      </c>
      <c r="E5169">
        <v>0.58470999999999995</v>
      </c>
      <c r="F5169">
        <v>1.7102999999999999</v>
      </c>
      <c r="G5169">
        <v>744.84</v>
      </c>
      <c r="H5169">
        <v>1.3252999999999999</v>
      </c>
    </row>
    <row r="5170" spans="2:8" x14ac:dyDescent="0.25">
      <c r="B5170">
        <v>1.3294999999999999</v>
      </c>
      <c r="C5170">
        <v>280</v>
      </c>
      <c r="D5170">
        <v>255</v>
      </c>
      <c r="E5170">
        <v>0.57984000000000002</v>
      </c>
      <c r="F5170">
        <v>1.7245999999999999</v>
      </c>
      <c r="G5170">
        <v>747.92</v>
      </c>
      <c r="H5170">
        <v>1.3294999999999999</v>
      </c>
    </row>
    <row r="5171" spans="2:8" x14ac:dyDescent="0.25">
      <c r="B5171">
        <v>1.3335999999999999</v>
      </c>
      <c r="C5171">
        <v>285</v>
      </c>
      <c r="D5171">
        <v>255</v>
      </c>
      <c r="E5171">
        <v>0.57506999999999997</v>
      </c>
      <c r="F5171">
        <v>1.7388999999999999</v>
      </c>
      <c r="G5171">
        <v>751</v>
      </c>
      <c r="H5171">
        <v>1.3335999999999999</v>
      </c>
    </row>
    <row r="5172" spans="2:8" x14ac:dyDescent="0.25">
      <c r="B5172">
        <v>1.3376999999999999</v>
      </c>
      <c r="C5172">
        <v>290</v>
      </c>
      <c r="D5172">
        <v>255</v>
      </c>
      <c r="E5172">
        <v>0.57040000000000002</v>
      </c>
      <c r="F5172">
        <v>1.7532000000000001</v>
      </c>
      <c r="G5172">
        <v>754.08</v>
      </c>
      <c r="H5172">
        <v>1.3376999999999999</v>
      </c>
    </row>
    <row r="5173" spans="2:8" x14ac:dyDescent="0.25">
      <c r="B5173">
        <v>1.3418000000000001</v>
      </c>
      <c r="C5173">
        <v>295</v>
      </c>
      <c r="D5173">
        <v>255</v>
      </c>
      <c r="E5173">
        <v>0.56581999999999999</v>
      </c>
      <c r="F5173">
        <v>1.7674000000000001</v>
      </c>
      <c r="G5173">
        <v>757.15</v>
      </c>
      <c r="H5173">
        <v>1.3418000000000001</v>
      </c>
    </row>
    <row r="5174" spans="2:8" x14ac:dyDescent="0.25">
      <c r="B5174">
        <v>1.3459000000000001</v>
      </c>
      <c r="C5174">
        <v>300</v>
      </c>
      <c r="D5174">
        <v>255</v>
      </c>
      <c r="E5174">
        <v>0.56133</v>
      </c>
      <c r="F5174">
        <v>1.7815000000000001</v>
      </c>
      <c r="G5174">
        <v>760.22</v>
      </c>
      <c r="H5174">
        <v>1.3459000000000001</v>
      </c>
    </row>
    <row r="5175" spans="2:8" x14ac:dyDescent="0.25">
      <c r="B5175">
        <v>1.3499000000000001</v>
      </c>
      <c r="C5175">
        <v>305</v>
      </c>
      <c r="D5175">
        <v>255</v>
      </c>
      <c r="E5175">
        <v>0.55691999999999997</v>
      </c>
      <c r="F5175">
        <v>1.7956000000000001</v>
      </c>
      <c r="G5175">
        <v>763.28</v>
      </c>
      <c r="H5175">
        <v>1.3499000000000001</v>
      </c>
    </row>
    <row r="5176" spans="2:8" x14ac:dyDescent="0.25">
      <c r="B5176">
        <v>1.3539000000000001</v>
      </c>
      <c r="C5176">
        <v>310</v>
      </c>
      <c r="D5176">
        <v>255</v>
      </c>
      <c r="E5176">
        <v>0.55259000000000003</v>
      </c>
      <c r="F5176">
        <v>1.8096000000000001</v>
      </c>
      <c r="G5176">
        <v>766.35</v>
      </c>
      <c r="H5176">
        <v>1.3539000000000001</v>
      </c>
    </row>
    <row r="5177" spans="2:8" x14ac:dyDescent="0.25">
      <c r="B5177">
        <v>1.3579000000000001</v>
      </c>
      <c r="C5177">
        <v>315</v>
      </c>
      <c r="D5177">
        <v>255</v>
      </c>
      <c r="E5177">
        <v>0.54835</v>
      </c>
      <c r="F5177">
        <v>1.8237000000000001</v>
      </c>
      <c r="G5177">
        <v>769.41</v>
      </c>
      <c r="H5177">
        <v>1.3579000000000001</v>
      </c>
    </row>
    <row r="5178" spans="2:8" x14ac:dyDescent="0.25">
      <c r="B5178">
        <v>1.3617999999999999</v>
      </c>
      <c r="C5178">
        <v>320</v>
      </c>
      <c r="D5178">
        <v>255</v>
      </c>
      <c r="E5178">
        <v>0.54418</v>
      </c>
      <c r="F5178">
        <v>1.8375999999999999</v>
      </c>
      <c r="G5178">
        <v>772.47</v>
      </c>
      <c r="H5178">
        <v>1.3617999999999999</v>
      </c>
    </row>
    <row r="5179" spans="2:8" x14ac:dyDescent="0.25">
      <c r="B5179">
        <v>1.3656999999999999</v>
      </c>
      <c r="C5179">
        <v>325</v>
      </c>
      <c r="D5179">
        <v>255</v>
      </c>
      <c r="E5179">
        <v>0.54008999999999996</v>
      </c>
      <c r="F5179">
        <v>1.8514999999999999</v>
      </c>
      <c r="G5179">
        <v>775.53</v>
      </c>
      <c r="H5179">
        <v>1.3656999999999999</v>
      </c>
    </row>
    <row r="5180" spans="2:8" x14ac:dyDescent="0.25">
      <c r="B5180">
        <v>1.3695999999999999</v>
      </c>
      <c r="C5180">
        <v>330</v>
      </c>
      <c r="D5180">
        <v>255</v>
      </c>
      <c r="E5180">
        <v>0.53607000000000005</v>
      </c>
      <c r="F5180">
        <v>1.8653999999999999</v>
      </c>
      <c r="G5180">
        <v>778.59</v>
      </c>
      <c r="H5180">
        <v>1.3695999999999999</v>
      </c>
    </row>
    <row r="5181" spans="2:8" x14ac:dyDescent="0.25">
      <c r="B5181">
        <v>1.3734999999999999</v>
      </c>
      <c r="C5181">
        <v>335</v>
      </c>
      <c r="D5181">
        <v>255</v>
      </c>
      <c r="E5181">
        <v>0.53212000000000004</v>
      </c>
      <c r="F5181">
        <v>1.8793</v>
      </c>
      <c r="G5181">
        <v>781.64</v>
      </c>
      <c r="H5181">
        <v>1.3734999999999999</v>
      </c>
    </row>
    <row r="5182" spans="2:8" x14ac:dyDescent="0.25">
      <c r="B5182">
        <v>1.3773</v>
      </c>
      <c r="C5182">
        <v>340</v>
      </c>
      <c r="D5182">
        <v>255</v>
      </c>
      <c r="E5182">
        <v>0.52824000000000004</v>
      </c>
      <c r="F5182">
        <v>1.8931</v>
      </c>
      <c r="G5182">
        <v>784.7</v>
      </c>
      <c r="H5182">
        <v>1.3773</v>
      </c>
    </row>
    <row r="5183" spans="2:8" x14ac:dyDescent="0.25">
      <c r="B5183">
        <v>1.3811</v>
      </c>
      <c r="C5183">
        <v>345</v>
      </c>
      <c r="D5183">
        <v>255</v>
      </c>
      <c r="E5183">
        <v>0.52442</v>
      </c>
      <c r="F5183">
        <v>1.9069</v>
      </c>
      <c r="G5183">
        <v>787.76</v>
      </c>
      <c r="H5183">
        <v>1.3811</v>
      </c>
    </row>
    <row r="5184" spans="2:8" x14ac:dyDescent="0.25">
      <c r="B5184">
        <v>1.3849</v>
      </c>
      <c r="C5184">
        <v>350</v>
      </c>
      <c r="D5184">
        <v>255</v>
      </c>
      <c r="E5184">
        <v>0.52066999999999997</v>
      </c>
      <c r="F5184">
        <v>1.9206000000000001</v>
      </c>
      <c r="G5184">
        <v>790.82</v>
      </c>
      <c r="H5184">
        <v>1.3849</v>
      </c>
    </row>
    <row r="5186" spans="1:8" x14ac:dyDescent="0.25">
      <c r="A5186">
        <v>260</v>
      </c>
      <c r="B5186">
        <v>9.6030000000000004E-2</v>
      </c>
      <c r="C5186">
        <v>0</v>
      </c>
      <c r="D5186">
        <v>260</v>
      </c>
      <c r="E5186">
        <v>41.401000000000003</v>
      </c>
      <c r="F5186">
        <v>2.4153999999999998E-2</v>
      </c>
      <c r="G5186">
        <v>43.292999999999999</v>
      </c>
      <c r="H5186">
        <v>9.6030000000000004E-2</v>
      </c>
    </row>
    <row r="5187" spans="1:8" x14ac:dyDescent="0.25">
      <c r="B5187">
        <v>0.10773000000000001</v>
      </c>
      <c r="C5187">
        <v>5</v>
      </c>
      <c r="D5187">
        <v>260</v>
      </c>
      <c r="E5187">
        <v>41.176000000000002</v>
      </c>
      <c r="F5187">
        <v>2.4285999999999999E-2</v>
      </c>
      <c r="G5187">
        <v>48.698</v>
      </c>
      <c r="H5187">
        <v>0.10773000000000001</v>
      </c>
    </row>
    <row r="5188" spans="1:8" x14ac:dyDescent="0.25">
      <c r="B5188">
        <v>0.11933000000000001</v>
      </c>
      <c r="C5188">
        <v>10</v>
      </c>
      <c r="D5188">
        <v>260</v>
      </c>
      <c r="E5188">
        <v>40.948999999999998</v>
      </c>
      <c r="F5188">
        <v>2.4421000000000002E-2</v>
      </c>
      <c r="G5188">
        <v>54.12</v>
      </c>
      <c r="H5188">
        <v>0.11933000000000001</v>
      </c>
    </row>
    <row r="5189" spans="1:8" x14ac:dyDescent="0.25">
      <c r="B5189">
        <v>0.13084999999999999</v>
      </c>
      <c r="C5189">
        <v>15</v>
      </c>
      <c r="D5189">
        <v>260</v>
      </c>
      <c r="E5189">
        <v>40.719000000000001</v>
      </c>
      <c r="F5189">
        <v>2.4558E-2</v>
      </c>
      <c r="G5189">
        <v>59.557000000000002</v>
      </c>
      <c r="H5189">
        <v>0.13084999999999999</v>
      </c>
    </row>
    <row r="5190" spans="1:8" x14ac:dyDescent="0.25">
      <c r="B5190">
        <v>0.14227999999999999</v>
      </c>
      <c r="C5190">
        <v>20</v>
      </c>
      <c r="D5190">
        <v>260</v>
      </c>
      <c r="E5190">
        <v>40.488</v>
      </c>
      <c r="F5190">
        <v>2.4698999999999999E-2</v>
      </c>
      <c r="G5190">
        <v>65.012</v>
      </c>
      <c r="H5190">
        <v>0.14227999999999999</v>
      </c>
    </row>
    <row r="5191" spans="1:8" x14ac:dyDescent="0.25">
      <c r="B5191">
        <v>0.15362999999999999</v>
      </c>
      <c r="C5191">
        <v>25</v>
      </c>
      <c r="D5191">
        <v>260</v>
      </c>
      <c r="E5191">
        <v>40.255000000000003</v>
      </c>
      <c r="F5191">
        <v>2.4841999999999999E-2</v>
      </c>
      <c r="G5191">
        <v>70.483000000000004</v>
      </c>
      <c r="H5191">
        <v>0.15362999999999999</v>
      </c>
    </row>
    <row r="5192" spans="1:8" x14ac:dyDescent="0.25">
      <c r="B5192">
        <v>0.16489000000000001</v>
      </c>
      <c r="C5192">
        <v>30</v>
      </c>
      <c r="D5192">
        <v>260</v>
      </c>
      <c r="E5192">
        <v>40.018999999999998</v>
      </c>
      <c r="F5192">
        <v>2.4988E-2</v>
      </c>
      <c r="G5192">
        <v>75.971999999999994</v>
      </c>
      <c r="H5192">
        <v>0.16489000000000001</v>
      </c>
    </row>
    <row r="5193" spans="1:8" x14ac:dyDescent="0.25">
      <c r="B5193">
        <v>0.17607999999999999</v>
      </c>
      <c r="C5193">
        <v>35</v>
      </c>
      <c r="D5193">
        <v>260</v>
      </c>
      <c r="E5193">
        <v>39.780999999999999</v>
      </c>
      <c r="F5193">
        <v>2.5137E-2</v>
      </c>
      <c r="G5193">
        <v>81.478999999999999</v>
      </c>
      <c r="H5193">
        <v>0.17607999999999999</v>
      </c>
    </row>
    <row r="5194" spans="1:8" x14ac:dyDescent="0.25">
      <c r="B5194">
        <v>0.18720000000000001</v>
      </c>
      <c r="C5194">
        <v>40</v>
      </c>
      <c r="D5194">
        <v>260</v>
      </c>
      <c r="E5194">
        <v>39.540999999999997</v>
      </c>
      <c r="F5194">
        <v>2.529E-2</v>
      </c>
      <c r="G5194">
        <v>87.004999999999995</v>
      </c>
      <c r="H5194">
        <v>0.18720000000000001</v>
      </c>
    </row>
    <row r="5195" spans="1:8" x14ac:dyDescent="0.25">
      <c r="B5195">
        <v>0.19824</v>
      </c>
      <c r="C5195">
        <v>45</v>
      </c>
      <c r="D5195">
        <v>260</v>
      </c>
      <c r="E5195">
        <v>39.298000000000002</v>
      </c>
      <c r="F5195">
        <v>2.5447000000000001E-2</v>
      </c>
      <c r="G5195">
        <v>92.549000000000007</v>
      </c>
      <c r="H5195">
        <v>0.19824</v>
      </c>
    </row>
    <row r="5196" spans="1:8" x14ac:dyDescent="0.25">
      <c r="B5196">
        <v>0.20921000000000001</v>
      </c>
      <c r="C5196">
        <v>50</v>
      </c>
      <c r="D5196">
        <v>260</v>
      </c>
      <c r="E5196">
        <v>39.052999999999997</v>
      </c>
      <c r="F5196">
        <v>2.5606E-2</v>
      </c>
      <c r="G5196">
        <v>98.114000000000004</v>
      </c>
      <c r="H5196">
        <v>0.20921000000000001</v>
      </c>
    </row>
    <row r="5197" spans="1:8" x14ac:dyDescent="0.25">
      <c r="B5197">
        <v>0.22012000000000001</v>
      </c>
      <c r="C5197">
        <v>55</v>
      </c>
      <c r="D5197">
        <v>260</v>
      </c>
      <c r="E5197">
        <v>38.804000000000002</v>
      </c>
      <c r="F5197">
        <v>2.5770000000000001E-2</v>
      </c>
      <c r="G5197">
        <v>103.7</v>
      </c>
      <c r="H5197">
        <v>0.22012000000000001</v>
      </c>
    </row>
    <row r="5198" spans="1:8" x14ac:dyDescent="0.25">
      <c r="B5198">
        <v>0.23096</v>
      </c>
      <c r="C5198">
        <v>60</v>
      </c>
      <c r="D5198">
        <v>260</v>
      </c>
      <c r="E5198">
        <v>38.552999999999997</v>
      </c>
      <c r="F5198">
        <v>2.5937999999999999E-2</v>
      </c>
      <c r="G5198">
        <v>109.31</v>
      </c>
      <c r="H5198">
        <v>0.23096</v>
      </c>
    </row>
    <row r="5199" spans="1:8" x14ac:dyDescent="0.25">
      <c r="B5199">
        <v>0.24174000000000001</v>
      </c>
      <c r="C5199">
        <v>65</v>
      </c>
      <c r="D5199">
        <v>260</v>
      </c>
      <c r="E5199">
        <v>38.298999999999999</v>
      </c>
      <c r="F5199">
        <v>2.6110000000000001E-2</v>
      </c>
      <c r="G5199">
        <v>114.94</v>
      </c>
      <c r="H5199">
        <v>0.24174000000000001</v>
      </c>
    </row>
    <row r="5200" spans="1:8" x14ac:dyDescent="0.25">
      <c r="B5200">
        <v>0.25247000000000003</v>
      </c>
      <c r="C5200">
        <v>70</v>
      </c>
      <c r="D5200">
        <v>260</v>
      </c>
      <c r="E5200">
        <v>38.042000000000002</v>
      </c>
      <c r="F5200">
        <v>2.6287000000000001E-2</v>
      </c>
      <c r="G5200">
        <v>120.59</v>
      </c>
      <c r="H5200">
        <v>0.25247000000000003</v>
      </c>
    </row>
    <row r="5201" spans="2:8" x14ac:dyDescent="0.25">
      <c r="B5201">
        <v>0.26313999999999999</v>
      </c>
      <c r="C5201">
        <v>75</v>
      </c>
      <c r="D5201">
        <v>260</v>
      </c>
      <c r="E5201">
        <v>37.780999999999999</v>
      </c>
      <c r="F5201">
        <v>2.6467999999999998E-2</v>
      </c>
      <c r="G5201">
        <v>126.27</v>
      </c>
      <c r="H5201">
        <v>0.26313999999999999</v>
      </c>
    </row>
    <row r="5202" spans="2:8" x14ac:dyDescent="0.25">
      <c r="B5202">
        <v>0.27377000000000001</v>
      </c>
      <c r="C5202">
        <v>80</v>
      </c>
      <c r="D5202">
        <v>260</v>
      </c>
      <c r="E5202">
        <v>37.517000000000003</v>
      </c>
      <c r="F5202">
        <v>2.6655000000000002E-2</v>
      </c>
      <c r="G5202">
        <v>131.97999999999999</v>
      </c>
      <c r="H5202">
        <v>0.27377000000000001</v>
      </c>
    </row>
    <row r="5203" spans="2:8" x14ac:dyDescent="0.25">
      <c r="B5203">
        <v>0.28434999999999999</v>
      </c>
      <c r="C5203">
        <v>85</v>
      </c>
      <c r="D5203">
        <v>260</v>
      </c>
      <c r="E5203">
        <v>37.249000000000002</v>
      </c>
      <c r="F5203">
        <v>2.6845999999999998E-2</v>
      </c>
      <c r="G5203">
        <v>137.72</v>
      </c>
      <c r="H5203">
        <v>0.28434999999999999</v>
      </c>
    </row>
    <row r="5204" spans="2:8" x14ac:dyDescent="0.25">
      <c r="B5204">
        <v>0.2949</v>
      </c>
      <c r="C5204">
        <v>90</v>
      </c>
      <c r="D5204">
        <v>260</v>
      </c>
      <c r="E5204">
        <v>36.976999999999997</v>
      </c>
      <c r="F5204">
        <v>2.7043999999999999E-2</v>
      </c>
      <c r="G5204">
        <v>143.49</v>
      </c>
      <c r="H5204">
        <v>0.2949</v>
      </c>
    </row>
    <row r="5205" spans="2:8" x14ac:dyDescent="0.25">
      <c r="B5205">
        <v>0.3054</v>
      </c>
      <c r="C5205">
        <v>95</v>
      </c>
      <c r="D5205">
        <v>260</v>
      </c>
      <c r="E5205">
        <v>36.700000000000003</v>
      </c>
      <c r="F5205">
        <v>2.7248000000000001E-2</v>
      </c>
      <c r="G5205">
        <v>149.29</v>
      </c>
      <c r="H5205">
        <v>0.3054</v>
      </c>
    </row>
    <row r="5206" spans="2:8" x14ac:dyDescent="0.25">
      <c r="B5206">
        <v>0.31587999999999999</v>
      </c>
      <c r="C5206">
        <v>100</v>
      </c>
      <c r="D5206">
        <v>260</v>
      </c>
      <c r="E5206">
        <v>36.418999999999997</v>
      </c>
      <c r="F5206">
        <v>2.7458E-2</v>
      </c>
      <c r="G5206">
        <v>155.13</v>
      </c>
      <c r="H5206">
        <v>0.31587999999999999</v>
      </c>
    </row>
    <row r="5207" spans="2:8" x14ac:dyDescent="0.25">
      <c r="B5207">
        <v>0.32634000000000002</v>
      </c>
      <c r="C5207">
        <v>105</v>
      </c>
      <c r="D5207">
        <v>260</v>
      </c>
      <c r="E5207">
        <v>36.133000000000003</v>
      </c>
      <c r="F5207">
        <v>2.7675999999999999E-2</v>
      </c>
      <c r="G5207">
        <v>161.01</v>
      </c>
      <c r="H5207">
        <v>0.32634000000000002</v>
      </c>
    </row>
    <row r="5208" spans="2:8" x14ac:dyDescent="0.25">
      <c r="B5208">
        <v>0.33677000000000001</v>
      </c>
      <c r="C5208">
        <v>110</v>
      </c>
      <c r="D5208">
        <v>260</v>
      </c>
      <c r="E5208">
        <v>35.841999999999999</v>
      </c>
      <c r="F5208">
        <v>2.7900999999999999E-2</v>
      </c>
      <c r="G5208">
        <v>166.92</v>
      </c>
      <c r="H5208">
        <v>0.33677000000000001</v>
      </c>
    </row>
    <row r="5209" spans="2:8" x14ac:dyDescent="0.25">
      <c r="B5209">
        <v>1.1528</v>
      </c>
      <c r="C5209">
        <v>115</v>
      </c>
      <c r="D5209">
        <v>260</v>
      </c>
      <c r="E5209">
        <v>0.86162000000000005</v>
      </c>
      <c r="F5209">
        <v>1.1606000000000001</v>
      </c>
      <c r="G5209">
        <v>634.54999999999995</v>
      </c>
      <c r="H5209">
        <v>1.1528</v>
      </c>
    </row>
    <row r="5210" spans="2:8" x14ac:dyDescent="0.25">
      <c r="B5210">
        <v>1.1601999999999999</v>
      </c>
      <c r="C5210">
        <v>120</v>
      </c>
      <c r="D5210">
        <v>260</v>
      </c>
      <c r="E5210">
        <v>0.84706999999999999</v>
      </c>
      <c r="F5210">
        <v>1.1805000000000001</v>
      </c>
      <c r="G5210">
        <v>638.82000000000005</v>
      </c>
      <c r="H5210">
        <v>1.1601999999999999</v>
      </c>
    </row>
    <row r="5211" spans="2:8" x14ac:dyDescent="0.25">
      <c r="B5211">
        <v>1.1673</v>
      </c>
      <c r="C5211">
        <v>125</v>
      </c>
      <c r="D5211">
        <v>260</v>
      </c>
      <c r="E5211">
        <v>0.83335000000000004</v>
      </c>
      <c r="F5211">
        <v>1.2</v>
      </c>
      <c r="G5211">
        <v>642.97</v>
      </c>
      <c r="H5211">
        <v>1.1673</v>
      </c>
    </row>
    <row r="5212" spans="2:8" x14ac:dyDescent="0.25">
      <c r="B5212">
        <v>1.1741999999999999</v>
      </c>
      <c r="C5212">
        <v>130</v>
      </c>
      <c r="D5212">
        <v>260</v>
      </c>
      <c r="E5212">
        <v>0.82038999999999995</v>
      </c>
      <c r="F5212">
        <v>1.2189000000000001</v>
      </c>
      <c r="G5212">
        <v>647.01</v>
      </c>
      <c r="H5212">
        <v>1.1741999999999999</v>
      </c>
    </row>
    <row r="5213" spans="2:8" x14ac:dyDescent="0.25">
      <c r="B5213">
        <v>1.1809000000000001</v>
      </c>
      <c r="C5213">
        <v>135</v>
      </c>
      <c r="D5213">
        <v>260</v>
      </c>
      <c r="E5213">
        <v>0.80808999999999997</v>
      </c>
      <c r="F5213">
        <v>1.2375</v>
      </c>
      <c r="G5213">
        <v>650.95000000000005</v>
      </c>
      <c r="H5213">
        <v>1.1809000000000001</v>
      </c>
    </row>
    <row r="5214" spans="2:8" x14ac:dyDescent="0.25">
      <c r="B5214">
        <v>1.1873</v>
      </c>
      <c r="C5214">
        <v>140</v>
      </c>
      <c r="D5214">
        <v>260</v>
      </c>
      <c r="E5214">
        <v>0.79637999999999998</v>
      </c>
      <c r="F5214">
        <v>1.2557</v>
      </c>
      <c r="G5214">
        <v>654.80999999999995</v>
      </c>
      <c r="H5214">
        <v>1.1873</v>
      </c>
    </row>
    <row r="5215" spans="2:8" x14ac:dyDescent="0.25">
      <c r="B5215">
        <v>1.1936</v>
      </c>
      <c r="C5215">
        <v>145</v>
      </c>
      <c r="D5215">
        <v>260</v>
      </c>
      <c r="E5215">
        <v>0.78522000000000003</v>
      </c>
      <c r="F5215">
        <v>1.2735000000000001</v>
      </c>
      <c r="G5215">
        <v>658.59</v>
      </c>
      <c r="H5215">
        <v>1.1936</v>
      </c>
    </row>
    <row r="5216" spans="2:8" x14ac:dyDescent="0.25">
      <c r="B5216">
        <v>1.1997</v>
      </c>
      <c r="C5216">
        <v>150</v>
      </c>
      <c r="D5216">
        <v>260</v>
      </c>
      <c r="E5216">
        <v>0.77454999999999996</v>
      </c>
      <c r="F5216">
        <v>1.2910999999999999</v>
      </c>
      <c r="G5216">
        <v>662.31</v>
      </c>
      <c r="H5216">
        <v>1.1997</v>
      </c>
    </row>
    <row r="5217" spans="2:8" x14ac:dyDescent="0.25">
      <c r="B5217">
        <v>1.2057</v>
      </c>
      <c r="C5217">
        <v>155</v>
      </c>
      <c r="D5217">
        <v>260</v>
      </c>
      <c r="E5217">
        <v>0.76432999999999995</v>
      </c>
      <c r="F5217">
        <v>1.3083</v>
      </c>
      <c r="G5217">
        <v>665.96</v>
      </c>
      <c r="H5217">
        <v>1.2057</v>
      </c>
    </row>
    <row r="5218" spans="2:8" x14ac:dyDescent="0.25">
      <c r="B5218">
        <v>1.2116</v>
      </c>
      <c r="C5218">
        <v>160</v>
      </c>
      <c r="D5218">
        <v>260</v>
      </c>
      <c r="E5218">
        <v>0.75451999999999997</v>
      </c>
      <c r="F5218">
        <v>1.3252999999999999</v>
      </c>
      <c r="G5218">
        <v>669.56</v>
      </c>
      <c r="H5218">
        <v>1.2116</v>
      </c>
    </row>
    <row r="5219" spans="2:8" x14ac:dyDescent="0.25">
      <c r="B5219">
        <v>1.2173</v>
      </c>
      <c r="C5219">
        <v>165</v>
      </c>
      <c r="D5219">
        <v>260</v>
      </c>
      <c r="E5219">
        <v>0.74509000000000003</v>
      </c>
      <c r="F5219">
        <v>1.3421000000000001</v>
      </c>
      <c r="G5219">
        <v>673.11</v>
      </c>
      <c r="H5219">
        <v>1.2173</v>
      </c>
    </row>
    <row r="5220" spans="2:8" x14ac:dyDescent="0.25">
      <c r="B5220">
        <v>1.2228000000000001</v>
      </c>
      <c r="C5220">
        <v>170</v>
      </c>
      <c r="D5220">
        <v>260</v>
      </c>
      <c r="E5220">
        <v>0.73601000000000005</v>
      </c>
      <c r="F5220">
        <v>1.3587</v>
      </c>
      <c r="G5220">
        <v>676.61</v>
      </c>
      <c r="H5220">
        <v>1.2228000000000001</v>
      </c>
    </row>
    <row r="5221" spans="2:8" x14ac:dyDescent="0.25">
      <c r="B5221">
        <v>1.2282999999999999</v>
      </c>
      <c r="C5221">
        <v>175</v>
      </c>
      <c r="D5221">
        <v>260</v>
      </c>
      <c r="E5221">
        <v>0.72724999999999995</v>
      </c>
      <c r="F5221">
        <v>1.375</v>
      </c>
      <c r="G5221">
        <v>680.07</v>
      </c>
      <c r="H5221">
        <v>1.2282999999999999</v>
      </c>
    </row>
    <row r="5222" spans="2:8" x14ac:dyDescent="0.25">
      <c r="B5222">
        <v>1.2337</v>
      </c>
      <c r="C5222">
        <v>180</v>
      </c>
      <c r="D5222">
        <v>260</v>
      </c>
      <c r="E5222">
        <v>0.71879000000000004</v>
      </c>
      <c r="F5222">
        <v>1.3912</v>
      </c>
      <c r="G5222">
        <v>683.5</v>
      </c>
      <c r="H5222">
        <v>1.2337</v>
      </c>
    </row>
    <row r="5223" spans="2:8" x14ac:dyDescent="0.25">
      <c r="B5223">
        <v>1.2390000000000001</v>
      </c>
      <c r="C5223">
        <v>185</v>
      </c>
      <c r="D5223">
        <v>260</v>
      </c>
      <c r="E5223">
        <v>0.71062000000000003</v>
      </c>
      <c r="F5223">
        <v>1.4072</v>
      </c>
      <c r="G5223">
        <v>686.89</v>
      </c>
      <c r="H5223">
        <v>1.2390000000000001</v>
      </c>
    </row>
    <row r="5224" spans="2:8" x14ac:dyDescent="0.25">
      <c r="B5224">
        <v>1.2442</v>
      </c>
      <c r="C5224">
        <v>190</v>
      </c>
      <c r="D5224">
        <v>260</v>
      </c>
      <c r="E5224">
        <v>0.70270999999999995</v>
      </c>
      <c r="F5224">
        <v>1.4231</v>
      </c>
      <c r="G5224">
        <v>690.25</v>
      </c>
      <c r="H5224">
        <v>1.2442</v>
      </c>
    </row>
    <row r="5225" spans="2:8" x14ac:dyDescent="0.25">
      <c r="B5225">
        <v>1.2493000000000001</v>
      </c>
      <c r="C5225">
        <v>195</v>
      </c>
      <c r="D5225">
        <v>260</v>
      </c>
      <c r="E5225">
        <v>0.69504999999999995</v>
      </c>
      <c r="F5225">
        <v>1.4388000000000001</v>
      </c>
      <c r="G5225">
        <v>693.58</v>
      </c>
      <c r="H5225">
        <v>1.2493000000000001</v>
      </c>
    </row>
    <row r="5226" spans="2:8" x14ac:dyDescent="0.25">
      <c r="B5226">
        <v>1.2543</v>
      </c>
      <c r="C5226">
        <v>200</v>
      </c>
      <c r="D5226">
        <v>260</v>
      </c>
      <c r="E5226">
        <v>0.68761000000000005</v>
      </c>
      <c r="F5226">
        <v>1.4542999999999999</v>
      </c>
      <c r="G5226">
        <v>696.88</v>
      </c>
      <c r="H5226">
        <v>1.2543</v>
      </c>
    </row>
    <row r="5227" spans="2:8" x14ac:dyDescent="0.25">
      <c r="B5227">
        <v>1.2593000000000001</v>
      </c>
      <c r="C5227">
        <v>205</v>
      </c>
      <c r="D5227">
        <v>260</v>
      </c>
      <c r="E5227">
        <v>0.6804</v>
      </c>
      <c r="F5227">
        <v>1.4697</v>
      </c>
      <c r="G5227">
        <v>700.16</v>
      </c>
      <c r="H5227">
        <v>1.2593000000000001</v>
      </c>
    </row>
    <row r="5228" spans="2:8" x14ac:dyDescent="0.25">
      <c r="B5228">
        <v>1.2641</v>
      </c>
      <c r="C5228">
        <v>210</v>
      </c>
      <c r="D5228">
        <v>260</v>
      </c>
      <c r="E5228">
        <v>0.67339000000000004</v>
      </c>
      <c r="F5228">
        <v>1.4850000000000001</v>
      </c>
      <c r="G5228">
        <v>703.42</v>
      </c>
      <c r="H5228">
        <v>1.2641</v>
      </c>
    </row>
    <row r="5229" spans="2:8" x14ac:dyDescent="0.25">
      <c r="B5229">
        <v>1.2689999999999999</v>
      </c>
      <c r="C5229">
        <v>215</v>
      </c>
      <c r="D5229">
        <v>260</v>
      </c>
      <c r="E5229">
        <v>0.66657999999999995</v>
      </c>
      <c r="F5229">
        <v>1.5002</v>
      </c>
      <c r="G5229">
        <v>706.66</v>
      </c>
      <c r="H5229">
        <v>1.2689999999999999</v>
      </c>
    </row>
    <row r="5230" spans="2:8" x14ac:dyDescent="0.25">
      <c r="B5230">
        <v>1.2737000000000001</v>
      </c>
      <c r="C5230">
        <v>220</v>
      </c>
      <c r="D5230">
        <v>260</v>
      </c>
      <c r="E5230">
        <v>0.65995000000000004</v>
      </c>
      <c r="F5230">
        <v>1.5153000000000001</v>
      </c>
      <c r="G5230">
        <v>709.88</v>
      </c>
      <c r="H5230">
        <v>1.2737000000000001</v>
      </c>
    </row>
    <row r="5231" spans="2:8" x14ac:dyDescent="0.25">
      <c r="B5231">
        <v>1.2784</v>
      </c>
      <c r="C5231">
        <v>225</v>
      </c>
      <c r="D5231">
        <v>260</v>
      </c>
      <c r="E5231">
        <v>0.65349999999999997</v>
      </c>
      <c r="F5231">
        <v>1.5302</v>
      </c>
      <c r="G5231">
        <v>713.09</v>
      </c>
      <c r="H5231">
        <v>1.2784</v>
      </c>
    </row>
    <row r="5232" spans="2:8" x14ac:dyDescent="0.25">
      <c r="B5232">
        <v>1.2829999999999999</v>
      </c>
      <c r="C5232">
        <v>230</v>
      </c>
      <c r="D5232">
        <v>260</v>
      </c>
      <c r="E5232">
        <v>0.64720999999999995</v>
      </c>
      <c r="F5232">
        <v>1.5450999999999999</v>
      </c>
      <c r="G5232">
        <v>716.27</v>
      </c>
      <c r="H5232">
        <v>1.2829999999999999</v>
      </c>
    </row>
    <row r="5233" spans="2:8" x14ac:dyDescent="0.25">
      <c r="B5233">
        <v>1.2876000000000001</v>
      </c>
      <c r="C5233">
        <v>235</v>
      </c>
      <c r="D5233">
        <v>260</v>
      </c>
      <c r="E5233">
        <v>0.64107999999999998</v>
      </c>
      <c r="F5233">
        <v>1.5599000000000001</v>
      </c>
      <c r="G5233">
        <v>719.45</v>
      </c>
      <c r="H5233">
        <v>1.2876000000000001</v>
      </c>
    </row>
    <row r="5234" spans="2:8" x14ac:dyDescent="0.25">
      <c r="B5234">
        <v>1.2922</v>
      </c>
      <c r="C5234">
        <v>240</v>
      </c>
      <c r="D5234">
        <v>260</v>
      </c>
      <c r="E5234">
        <v>0.6351</v>
      </c>
      <c r="F5234">
        <v>1.5746</v>
      </c>
      <c r="G5234">
        <v>722.61</v>
      </c>
      <c r="H5234">
        <v>1.2922</v>
      </c>
    </row>
    <row r="5235" spans="2:8" x14ac:dyDescent="0.25">
      <c r="B5235">
        <v>1.2967</v>
      </c>
      <c r="C5235">
        <v>245</v>
      </c>
      <c r="D5235">
        <v>260</v>
      </c>
      <c r="E5235">
        <v>0.62926000000000004</v>
      </c>
      <c r="F5235">
        <v>1.5891999999999999</v>
      </c>
      <c r="G5235">
        <v>725.76</v>
      </c>
      <c r="H5235">
        <v>1.2967</v>
      </c>
    </row>
    <row r="5236" spans="2:8" x14ac:dyDescent="0.25">
      <c r="B5236">
        <v>1.3010999999999999</v>
      </c>
      <c r="C5236">
        <v>250</v>
      </c>
      <c r="D5236">
        <v>260</v>
      </c>
      <c r="E5236">
        <v>0.62356</v>
      </c>
      <c r="F5236">
        <v>1.6036999999999999</v>
      </c>
      <c r="G5236">
        <v>728.9</v>
      </c>
      <c r="H5236">
        <v>1.3010999999999999</v>
      </c>
    </row>
    <row r="5237" spans="2:8" x14ac:dyDescent="0.25">
      <c r="B5237">
        <v>1.3055000000000001</v>
      </c>
      <c r="C5237">
        <v>255</v>
      </c>
      <c r="D5237">
        <v>260</v>
      </c>
      <c r="E5237">
        <v>0.61799000000000004</v>
      </c>
      <c r="F5237">
        <v>1.6181000000000001</v>
      </c>
      <c r="G5237">
        <v>732.03</v>
      </c>
      <c r="H5237">
        <v>1.3055000000000001</v>
      </c>
    </row>
    <row r="5238" spans="2:8" x14ac:dyDescent="0.25">
      <c r="B5238">
        <v>1.3098000000000001</v>
      </c>
      <c r="C5238">
        <v>260</v>
      </c>
      <c r="D5238">
        <v>260</v>
      </c>
      <c r="E5238">
        <v>0.61255000000000004</v>
      </c>
      <c r="F5238">
        <v>1.6325000000000001</v>
      </c>
      <c r="G5238">
        <v>735.15</v>
      </c>
      <c r="H5238">
        <v>1.3098000000000001</v>
      </c>
    </row>
    <row r="5239" spans="2:8" x14ac:dyDescent="0.25">
      <c r="B5239">
        <v>1.3141</v>
      </c>
      <c r="C5239">
        <v>265</v>
      </c>
      <c r="D5239">
        <v>260</v>
      </c>
      <c r="E5239">
        <v>0.60723000000000005</v>
      </c>
      <c r="F5239">
        <v>1.6468</v>
      </c>
      <c r="G5239">
        <v>738.26</v>
      </c>
      <c r="H5239">
        <v>1.3141</v>
      </c>
    </row>
    <row r="5240" spans="2:8" x14ac:dyDescent="0.25">
      <c r="B5240">
        <v>1.3184</v>
      </c>
      <c r="C5240">
        <v>270</v>
      </c>
      <c r="D5240">
        <v>260</v>
      </c>
      <c r="E5240">
        <v>0.60202</v>
      </c>
      <c r="F5240">
        <v>1.6611</v>
      </c>
      <c r="G5240">
        <v>741.36</v>
      </c>
      <c r="H5240">
        <v>1.3184</v>
      </c>
    </row>
    <row r="5241" spans="2:8" x14ac:dyDescent="0.25">
      <c r="B5241">
        <v>1.3226</v>
      </c>
      <c r="C5241">
        <v>275</v>
      </c>
      <c r="D5241">
        <v>260</v>
      </c>
      <c r="E5241">
        <v>0.59692000000000001</v>
      </c>
      <c r="F5241">
        <v>1.6753</v>
      </c>
      <c r="G5241">
        <v>744.46</v>
      </c>
      <c r="H5241">
        <v>1.3226</v>
      </c>
    </row>
    <row r="5242" spans="2:8" x14ac:dyDescent="0.25">
      <c r="B5242">
        <v>1.3268</v>
      </c>
      <c r="C5242">
        <v>280</v>
      </c>
      <c r="D5242">
        <v>260</v>
      </c>
      <c r="E5242">
        <v>0.59192999999999996</v>
      </c>
      <c r="F5242">
        <v>1.6894</v>
      </c>
      <c r="G5242">
        <v>747.55</v>
      </c>
      <c r="H5242">
        <v>1.3268</v>
      </c>
    </row>
    <row r="5243" spans="2:8" x14ac:dyDescent="0.25">
      <c r="B5243">
        <v>1.331</v>
      </c>
      <c r="C5243">
        <v>285</v>
      </c>
      <c r="D5243">
        <v>260</v>
      </c>
      <c r="E5243">
        <v>0.58704000000000001</v>
      </c>
      <c r="F5243">
        <v>1.7034</v>
      </c>
      <c r="G5243">
        <v>750.64</v>
      </c>
      <c r="H5243">
        <v>1.331</v>
      </c>
    </row>
    <row r="5244" spans="2:8" x14ac:dyDescent="0.25">
      <c r="B5244">
        <v>1.3351</v>
      </c>
      <c r="C5244">
        <v>290</v>
      </c>
      <c r="D5244">
        <v>260</v>
      </c>
      <c r="E5244">
        <v>0.58226</v>
      </c>
      <c r="F5244">
        <v>1.7175</v>
      </c>
      <c r="G5244">
        <v>753.73</v>
      </c>
      <c r="H5244">
        <v>1.3351</v>
      </c>
    </row>
    <row r="5245" spans="2:8" x14ac:dyDescent="0.25">
      <c r="B5245">
        <v>1.3391999999999999</v>
      </c>
      <c r="C5245">
        <v>295</v>
      </c>
      <c r="D5245">
        <v>260</v>
      </c>
      <c r="E5245">
        <v>0.57755999999999996</v>
      </c>
      <c r="F5245">
        <v>1.7314000000000001</v>
      </c>
      <c r="G5245">
        <v>756.8</v>
      </c>
      <c r="H5245">
        <v>1.3391999999999999</v>
      </c>
    </row>
    <row r="5246" spans="2:8" x14ac:dyDescent="0.25">
      <c r="B5246">
        <v>1.3432999999999999</v>
      </c>
      <c r="C5246">
        <v>300</v>
      </c>
      <c r="D5246">
        <v>260</v>
      </c>
      <c r="E5246">
        <v>0.57296000000000002</v>
      </c>
      <c r="F5246">
        <v>1.7453000000000001</v>
      </c>
      <c r="G5246">
        <v>759.88</v>
      </c>
      <c r="H5246">
        <v>1.3432999999999999</v>
      </c>
    </row>
    <row r="5247" spans="2:8" x14ac:dyDescent="0.25">
      <c r="B5247">
        <v>1.3472999999999999</v>
      </c>
      <c r="C5247">
        <v>305</v>
      </c>
      <c r="D5247">
        <v>260</v>
      </c>
      <c r="E5247">
        <v>0.56843999999999995</v>
      </c>
      <c r="F5247">
        <v>1.7592000000000001</v>
      </c>
      <c r="G5247">
        <v>762.95</v>
      </c>
      <c r="H5247">
        <v>1.3472999999999999</v>
      </c>
    </row>
    <row r="5248" spans="2:8" x14ac:dyDescent="0.25">
      <c r="B5248">
        <v>1.3512999999999999</v>
      </c>
      <c r="C5248">
        <v>310</v>
      </c>
      <c r="D5248">
        <v>260</v>
      </c>
      <c r="E5248">
        <v>0.56401000000000001</v>
      </c>
      <c r="F5248">
        <v>1.7729999999999999</v>
      </c>
      <c r="G5248">
        <v>766.02</v>
      </c>
      <c r="H5248">
        <v>1.3512999999999999</v>
      </c>
    </row>
    <row r="5249" spans="1:8" x14ac:dyDescent="0.25">
      <c r="B5249">
        <v>1.3552999999999999</v>
      </c>
      <c r="C5249">
        <v>315</v>
      </c>
      <c r="D5249">
        <v>260</v>
      </c>
      <c r="E5249">
        <v>0.55966000000000005</v>
      </c>
      <c r="F5249">
        <v>1.7867999999999999</v>
      </c>
      <c r="G5249">
        <v>769.09</v>
      </c>
      <c r="H5249">
        <v>1.3552999999999999</v>
      </c>
    </row>
    <row r="5250" spans="1:8" x14ac:dyDescent="0.25">
      <c r="B5250">
        <v>1.3592</v>
      </c>
      <c r="C5250">
        <v>320</v>
      </c>
      <c r="D5250">
        <v>260</v>
      </c>
      <c r="E5250">
        <v>0.5554</v>
      </c>
      <c r="F5250">
        <v>1.8005</v>
      </c>
      <c r="G5250">
        <v>772.16</v>
      </c>
      <c r="H5250">
        <v>1.3592</v>
      </c>
    </row>
    <row r="5251" spans="1:8" x14ac:dyDescent="0.25">
      <c r="B5251">
        <v>1.3632</v>
      </c>
      <c r="C5251">
        <v>325</v>
      </c>
      <c r="D5251">
        <v>260</v>
      </c>
      <c r="E5251">
        <v>0.55120999999999998</v>
      </c>
      <c r="F5251">
        <v>1.8142</v>
      </c>
      <c r="G5251">
        <v>775.22</v>
      </c>
      <c r="H5251">
        <v>1.3632</v>
      </c>
    </row>
    <row r="5252" spans="1:8" x14ac:dyDescent="0.25">
      <c r="B5252">
        <v>1.367</v>
      </c>
      <c r="C5252">
        <v>330</v>
      </c>
      <c r="D5252">
        <v>260</v>
      </c>
      <c r="E5252">
        <v>0.54708999999999997</v>
      </c>
      <c r="F5252">
        <v>1.8279000000000001</v>
      </c>
      <c r="G5252">
        <v>778.28</v>
      </c>
      <c r="H5252">
        <v>1.367</v>
      </c>
    </row>
    <row r="5253" spans="1:8" x14ac:dyDescent="0.25">
      <c r="B5253">
        <v>1.3709</v>
      </c>
      <c r="C5253">
        <v>335</v>
      </c>
      <c r="D5253">
        <v>260</v>
      </c>
      <c r="E5253">
        <v>0.54303999999999997</v>
      </c>
      <c r="F5253">
        <v>1.8414999999999999</v>
      </c>
      <c r="G5253">
        <v>781.35</v>
      </c>
      <c r="H5253">
        <v>1.3709</v>
      </c>
    </row>
    <row r="5254" spans="1:8" x14ac:dyDescent="0.25">
      <c r="B5254">
        <v>1.3748</v>
      </c>
      <c r="C5254">
        <v>340</v>
      </c>
      <c r="D5254">
        <v>260</v>
      </c>
      <c r="E5254">
        <v>0.53907000000000005</v>
      </c>
      <c r="F5254">
        <v>1.855</v>
      </c>
      <c r="G5254">
        <v>784.41</v>
      </c>
      <c r="H5254">
        <v>1.3748</v>
      </c>
    </row>
    <row r="5255" spans="1:8" x14ac:dyDescent="0.25">
      <c r="B5255">
        <v>1.3786</v>
      </c>
      <c r="C5255">
        <v>345</v>
      </c>
      <c r="D5255">
        <v>260</v>
      </c>
      <c r="E5255">
        <v>0.53515999999999997</v>
      </c>
      <c r="F5255">
        <v>1.8686</v>
      </c>
      <c r="G5255">
        <v>787.47</v>
      </c>
      <c r="H5255">
        <v>1.3786</v>
      </c>
    </row>
    <row r="5256" spans="1:8" x14ac:dyDescent="0.25">
      <c r="B5256">
        <v>1.3824000000000001</v>
      </c>
      <c r="C5256">
        <v>350</v>
      </c>
      <c r="D5256">
        <v>260</v>
      </c>
      <c r="E5256">
        <v>0.53132000000000001</v>
      </c>
      <c r="F5256">
        <v>1.8821000000000001</v>
      </c>
      <c r="G5256">
        <v>790.54</v>
      </c>
      <c r="H5256">
        <v>1.3824000000000001</v>
      </c>
    </row>
    <row r="5258" spans="1:8" x14ac:dyDescent="0.25">
      <c r="A5258">
        <v>265</v>
      </c>
      <c r="B5258">
        <v>9.6005999999999994E-2</v>
      </c>
      <c r="C5258">
        <v>0</v>
      </c>
      <c r="D5258">
        <v>265</v>
      </c>
      <c r="E5258">
        <v>41.402000000000001</v>
      </c>
      <c r="F5258">
        <v>2.4153000000000001E-2</v>
      </c>
      <c r="G5258">
        <v>43.304000000000002</v>
      </c>
      <c r="H5258">
        <v>9.6005999999999994E-2</v>
      </c>
    </row>
    <row r="5259" spans="1:8" x14ac:dyDescent="0.25">
      <c r="B5259">
        <v>0.1077</v>
      </c>
      <c r="C5259">
        <v>5</v>
      </c>
      <c r="D5259">
        <v>265</v>
      </c>
      <c r="E5259">
        <v>41.177</v>
      </c>
      <c r="F5259">
        <v>2.4285000000000001E-2</v>
      </c>
      <c r="G5259">
        <v>48.709000000000003</v>
      </c>
      <c r="H5259">
        <v>0.1077</v>
      </c>
    </row>
    <row r="5260" spans="1:8" x14ac:dyDescent="0.25">
      <c r="B5260">
        <v>0.11931</v>
      </c>
      <c r="C5260">
        <v>10</v>
      </c>
      <c r="D5260">
        <v>265</v>
      </c>
      <c r="E5260">
        <v>40.950000000000003</v>
      </c>
      <c r="F5260">
        <v>2.4420000000000001E-2</v>
      </c>
      <c r="G5260">
        <v>54.13</v>
      </c>
      <c r="H5260">
        <v>0.11931</v>
      </c>
    </row>
    <row r="5261" spans="1:8" x14ac:dyDescent="0.25">
      <c r="B5261">
        <v>0.13081999999999999</v>
      </c>
      <c r="C5261">
        <v>15</v>
      </c>
      <c r="D5261">
        <v>265</v>
      </c>
      <c r="E5261">
        <v>40.720999999999997</v>
      </c>
      <c r="F5261">
        <v>2.4556999999999999E-2</v>
      </c>
      <c r="G5261">
        <v>59.567999999999998</v>
      </c>
      <c r="H5261">
        <v>0.13081999999999999</v>
      </c>
    </row>
    <row r="5262" spans="1:8" x14ac:dyDescent="0.25">
      <c r="B5262">
        <v>0.14224999999999999</v>
      </c>
      <c r="C5262">
        <v>20</v>
      </c>
      <c r="D5262">
        <v>265</v>
      </c>
      <c r="E5262">
        <v>40.49</v>
      </c>
      <c r="F5262">
        <v>2.4698000000000001E-2</v>
      </c>
      <c r="G5262">
        <v>65.022000000000006</v>
      </c>
      <c r="H5262">
        <v>0.14224999999999999</v>
      </c>
    </row>
    <row r="5263" spans="1:8" x14ac:dyDescent="0.25">
      <c r="B5263">
        <v>0.15359999999999999</v>
      </c>
      <c r="C5263">
        <v>25</v>
      </c>
      <c r="D5263">
        <v>265</v>
      </c>
      <c r="E5263">
        <v>40.256</v>
      </c>
      <c r="F5263">
        <v>2.4840999999999998E-2</v>
      </c>
      <c r="G5263">
        <v>70.492999999999995</v>
      </c>
      <c r="H5263">
        <v>0.15359999999999999</v>
      </c>
    </row>
    <row r="5264" spans="1:8" x14ac:dyDescent="0.25">
      <c r="B5264">
        <v>0.16486999999999999</v>
      </c>
      <c r="C5264">
        <v>30</v>
      </c>
      <c r="D5264">
        <v>265</v>
      </c>
      <c r="E5264">
        <v>40.021000000000001</v>
      </c>
      <c r="F5264">
        <v>2.4986999999999999E-2</v>
      </c>
      <c r="G5264">
        <v>75.981999999999999</v>
      </c>
      <c r="H5264">
        <v>0.16486999999999999</v>
      </c>
    </row>
    <row r="5265" spans="2:8" x14ac:dyDescent="0.25">
      <c r="B5265">
        <v>0.17605000000000001</v>
      </c>
      <c r="C5265">
        <v>35</v>
      </c>
      <c r="D5265">
        <v>265</v>
      </c>
      <c r="E5265">
        <v>39.783000000000001</v>
      </c>
      <c r="F5265">
        <v>2.5137E-2</v>
      </c>
      <c r="G5265">
        <v>81.489000000000004</v>
      </c>
      <c r="H5265">
        <v>0.17605000000000001</v>
      </c>
    </row>
    <row r="5266" spans="2:8" x14ac:dyDescent="0.25">
      <c r="B5266">
        <v>0.18717</v>
      </c>
      <c r="C5266">
        <v>40</v>
      </c>
      <c r="D5266">
        <v>265</v>
      </c>
      <c r="E5266">
        <v>39.542000000000002</v>
      </c>
      <c r="F5266">
        <v>2.5288999999999999E-2</v>
      </c>
      <c r="G5266">
        <v>87.013999999999996</v>
      </c>
      <c r="H5266">
        <v>0.18717</v>
      </c>
    </row>
    <row r="5267" spans="2:8" x14ac:dyDescent="0.25">
      <c r="B5267">
        <v>0.19821</v>
      </c>
      <c r="C5267">
        <v>45</v>
      </c>
      <c r="D5267">
        <v>265</v>
      </c>
      <c r="E5267">
        <v>39.299999999999997</v>
      </c>
      <c r="F5267">
        <v>2.5444999999999999E-2</v>
      </c>
      <c r="G5267">
        <v>92.558000000000007</v>
      </c>
      <c r="H5267">
        <v>0.19821</v>
      </c>
    </row>
    <row r="5268" spans="2:8" x14ac:dyDescent="0.25">
      <c r="B5268">
        <v>0.20918</v>
      </c>
      <c r="C5268">
        <v>50</v>
      </c>
      <c r="D5268">
        <v>265</v>
      </c>
      <c r="E5268">
        <v>39.054000000000002</v>
      </c>
      <c r="F5268">
        <v>2.5604999999999999E-2</v>
      </c>
      <c r="G5268">
        <v>98.123000000000005</v>
      </c>
      <c r="H5268">
        <v>0.20918</v>
      </c>
    </row>
    <row r="5269" spans="2:8" x14ac:dyDescent="0.25">
      <c r="B5269">
        <v>0.22008</v>
      </c>
      <c r="C5269">
        <v>55</v>
      </c>
      <c r="D5269">
        <v>265</v>
      </c>
      <c r="E5269">
        <v>38.805999999999997</v>
      </c>
      <c r="F5269">
        <v>2.5769E-2</v>
      </c>
      <c r="G5269">
        <v>103.71</v>
      </c>
      <c r="H5269">
        <v>0.22008</v>
      </c>
    </row>
    <row r="5270" spans="2:8" x14ac:dyDescent="0.25">
      <c r="B5270">
        <v>0.23093</v>
      </c>
      <c r="C5270">
        <v>60</v>
      </c>
      <c r="D5270">
        <v>265</v>
      </c>
      <c r="E5270">
        <v>38.555</v>
      </c>
      <c r="F5270">
        <v>2.5937000000000002E-2</v>
      </c>
      <c r="G5270">
        <v>109.32</v>
      </c>
      <c r="H5270">
        <v>0.23093</v>
      </c>
    </row>
    <row r="5271" spans="2:8" x14ac:dyDescent="0.25">
      <c r="B5271">
        <v>0.24171000000000001</v>
      </c>
      <c r="C5271">
        <v>65</v>
      </c>
      <c r="D5271">
        <v>265</v>
      </c>
      <c r="E5271">
        <v>38.301000000000002</v>
      </c>
      <c r="F5271">
        <v>2.6109E-2</v>
      </c>
      <c r="G5271">
        <v>114.95</v>
      </c>
      <c r="H5271">
        <v>0.24171000000000001</v>
      </c>
    </row>
    <row r="5272" spans="2:8" x14ac:dyDescent="0.25">
      <c r="B5272">
        <v>0.25244</v>
      </c>
      <c r="C5272">
        <v>70</v>
      </c>
      <c r="D5272">
        <v>265</v>
      </c>
      <c r="E5272">
        <v>38.043999999999997</v>
      </c>
      <c r="F5272">
        <v>2.6284999999999999E-2</v>
      </c>
      <c r="G5272">
        <v>120.6</v>
      </c>
      <c r="H5272">
        <v>0.25244</v>
      </c>
    </row>
    <row r="5273" spans="2:8" x14ac:dyDescent="0.25">
      <c r="B5273">
        <v>0.26311000000000001</v>
      </c>
      <c r="C5273">
        <v>75</v>
      </c>
      <c r="D5273">
        <v>265</v>
      </c>
      <c r="E5273">
        <v>37.783000000000001</v>
      </c>
      <c r="F5273">
        <v>2.6467000000000001E-2</v>
      </c>
      <c r="G5273">
        <v>126.28</v>
      </c>
      <c r="H5273">
        <v>0.26311000000000001</v>
      </c>
    </row>
    <row r="5274" spans="2:8" x14ac:dyDescent="0.25">
      <c r="B5274">
        <v>0.27373999999999998</v>
      </c>
      <c r="C5274">
        <v>80</v>
      </c>
      <c r="D5274">
        <v>265</v>
      </c>
      <c r="E5274">
        <v>37.518999999999998</v>
      </c>
      <c r="F5274">
        <v>2.6653E-2</v>
      </c>
      <c r="G5274">
        <v>131.99</v>
      </c>
      <c r="H5274">
        <v>0.27373999999999998</v>
      </c>
    </row>
    <row r="5275" spans="2:8" x14ac:dyDescent="0.25">
      <c r="B5275">
        <v>0.28432000000000002</v>
      </c>
      <c r="C5275">
        <v>85</v>
      </c>
      <c r="D5275">
        <v>265</v>
      </c>
      <c r="E5275">
        <v>37.250999999999998</v>
      </c>
      <c r="F5275">
        <v>2.6845000000000001E-2</v>
      </c>
      <c r="G5275">
        <v>137.72999999999999</v>
      </c>
      <c r="H5275">
        <v>0.28432000000000002</v>
      </c>
    </row>
    <row r="5276" spans="2:8" x14ac:dyDescent="0.25">
      <c r="B5276">
        <v>0.29486000000000001</v>
      </c>
      <c r="C5276">
        <v>90</v>
      </c>
      <c r="D5276">
        <v>265</v>
      </c>
      <c r="E5276">
        <v>36.978999999999999</v>
      </c>
      <c r="F5276">
        <v>2.7042E-2</v>
      </c>
      <c r="G5276">
        <v>143.49</v>
      </c>
      <c r="H5276">
        <v>0.29486000000000001</v>
      </c>
    </row>
    <row r="5277" spans="2:8" x14ac:dyDescent="0.25">
      <c r="B5277">
        <v>0.30536999999999997</v>
      </c>
      <c r="C5277">
        <v>95</v>
      </c>
      <c r="D5277">
        <v>265</v>
      </c>
      <c r="E5277">
        <v>36.703000000000003</v>
      </c>
      <c r="F5277">
        <v>2.7245999999999999E-2</v>
      </c>
      <c r="G5277">
        <v>149.30000000000001</v>
      </c>
      <c r="H5277">
        <v>0.30536999999999997</v>
      </c>
    </row>
    <row r="5278" spans="2:8" x14ac:dyDescent="0.25">
      <c r="B5278">
        <v>0.31584000000000001</v>
      </c>
      <c r="C5278">
        <v>100</v>
      </c>
      <c r="D5278">
        <v>265</v>
      </c>
      <c r="E5278">
        <v>36.421999999999997</v>
      </c>
      <c r="F5278">
        <v>2.7456000000000001E-2</v>
      </c>
      <c r="G5278">
        <v>155.13</v>
      </c>
      <c r="H5278">
        <v>0.31584000000000001</v>
      </c>
    </row>
    <row r="5279" spans="2:8" x14ac:dyDescent="0.25">
      <c r="B5279">
        <v>0.32629000000000002</v>
      </c>
      <c r="C5279">
        <v>105</v>
      </c>
      <c r="D5279">
        <v>265</v>
      </c>
      <c r="E5279">
        <v>36.136000000000003</v>
      </c>
      <c r="F5279">
        <v>2.7674000000000001E-2</v>
      </c>
      <c r="G5279">
        <v>161.01</v>
      </c>
      <c r="H5279">
        <v>0.32629000000000002</v>
      </c>
    </row>
    <row r="5280" spans="2:8" x14ac:dyDescent="0.25">
      <c r="B5280">
        <v>0.33672999999999997</v>
      </c>
      <c r="C5280">
        <v>110</v>
      </c>
      <c r="D5280">
        <v>265</v>
      </c>
      <c r="E5280">
        <v>35.844000000000001</v>
      </c>
      <c r="F5280">
        <v>2.7899E-2</v>
      </c>
      <c r="G5280">
        <v>166.92</v>
      </c>
      <c r="H5280">
        <v>0.33672999999999997</v>
      </c>
    </row>
    <row r="5281" spans="2:8" x14ac:dyDescent="0.25">
      <c r="B5281">
        <v>1.1491</v>
      </c>
      <c r="C5281">
        <v>115</v>
      </c>
      <c r="D5281">
        <v>265</v>
      </c>
      <c r="E5281">
        <v>0.88236000000000003</v>
      </c>
      <c r="F5281">
        <v>1.1333</v>
      </c>
      <c r="G5281">
        <v>633.47</v>
      </c>
      <c r="H5281">
        <v>1.1491</v>
      </c>
    </row>
    <row r="5282" spans="2:8" x14ac:dyDescent="0.25">
      <c r="B5282">
        <v>1.1566000000000001</v>
      </c>
      <c r="C5282">
        <v>120</v>
      </c>
      <c r="D5282">
        <v>265</v>
      </c>
      <c r="E5282">
        <v>0.86719000000000002</v>
      </c>
      <c r="F5282">
        <v>1.1531</v>
      </c>
      <c r="G5282">
        <v>637.79999999999995</v>
      </c>
      <c r="H5282">
        <v>1.1566000000000001</v>
      </c>
    </row>
    <row r="5283" spans="2:8" x14ac:dyDescent="0.25">
      <c r="B5283">
        <v>1.1637999999999999</v>
      </c>
      <c r="C5283">
        <v>125</v>
      </c>
      <c r="D5283">
        <v>265</v>
      </c>
      <c r="E5283">
        <v>0.85292000000000001</v>
      </c>
      <c r="F5283">
        <v>1.1724000000000001</v>
      </c>
      <c r="G5283">
        <v>642</v>
      </c>
      <c r="H5283">
        <v>1.1637999999999999</v>
      </c>
    </row>
    <row r="5284" spans="2:8" x14ac:dyDescent="0.25">
      <c r="B5284">
        <v>1.1708000000000001</v>
      </c>
      <c r="C5284">
        <v>130</v>
      </c>
      <c r="D5284">
        <v>265</v>
      </c>
      <c r="E5284">
        <v>0.83945000000000003</v>
      </c>
      <c r="F5284">
        <v>1.1913</v>
      </c>
      <c r="G5284">
        <v>646.08000000000004</v>
      </c>
      <c r="H5284">
        <v>1.1708000000000001</v>
      </c>
    </row>
    <row r="5285" spans="2:8" x14ac:dyDescent="0.25">
      <c r="B5285">
        <v>1.1775</v>
      </c>
      <c r="C5285">
        <v>135</v>
      </c>
      <c r="D5285">
        <v>265</v>
      </c>
      <c r="E5285">
        <v>0.82669000000000004</v>
      </c>
      <c r="F5285">
        <v>1.2096</v>
      </c>
      <c r="G5285">
        <v>650.07000000000005</v>
      </c>
      <c r="H5285">
        <v>1.1775</v>
      </c>
    </row>
    <row r="5286" spans="2:8" x14ac:dyDescent="0.25">
      <c r="B5286">
        <v>1.1839999999999999</v>
      </c>
      <c r="C5286">
        <v>140</v>
      </c>
      <c r="D5286">
        <v>265</v>
      </c>
      <c r="E5286">
        <v>0.81455</v>
      </c>
      <c r="F5286">
        <v>1.2277</v>
      </c>
      <c r="G5286">
        <v>653.97</v>
      </c>
      <c r="H5286">
        <v>1.1839999999999999</v>
      </c>
    </row>
    <row r="5287" spans="2:8" x14ac:dyDescent="0.25">
      <c r="B5287">
        <v>1.1903999999999999</v>
      </c>
      <c r="C5287">
        <v>145</v>
      </c>
      <c r="D5287">
        <v>265</v>
      </c>
      <c r="E5287">
        <v>0.80298999999999998</v>
      </c>
      <c r="F5287">
        <v>1.2453000000000001</v>
      </c>
      <c r="G5287">
        <v>657.79</v>
      </c>
      <c r="H5287">
        <v>1.1903999999999999</v>
      </c>
    </row>
    <row r="5288" spans="2:8" x14ac:dyDescent="0.25">
      <c r="B5288">
        <v>1.1964999999999999</v>
      </c>
      <c r="C5288">
        <v>150</v>
      </c>
      <c r="D5288">
        <v>265</v>
      </c>
      <c r="E5288">
        <v>0.79195000000000004</v>
      </c>
      <c r="F5288">
        <v>1.2626999999999999</v>
      </c>
      <c r="G5288">
        <v>661.54</v>
      </c>
      <c r="H5288">
        <v>1.1964999999999999</v>
      </c>
    </row>
    <row r="5289" spans="2:8" x14ac:dyDescent="0.25">
      <c r="B5289">
        <v>1.2025999999999999</v>
      </c>
      <c r="C5289">
        <v>155</v>
      </c>
      <c r="D5289">
        <v>265</v>
      </c>
      <c r="E5289">
        <v>0.78137999999999996</v>
      </c>
      <c r="F5289">
        <v>1.2798</v>
      </c>
      <c r="G5289">
        <v>665.22</v>
      </c>
      <c r="H5289">
        <v>1.2025999999999999</v>
      </c>
    </row>
    <row r="5290" spans="2:8" x14ac:dyDescent="0.25">
      <c r="B5290">
        <v>1.2083999999999999</v>
      </c>
      <c r="C5290">
        <v>160</v>
      </c>
      <c r="D5290">
        <v>265</v>
      </c>
      <c r="E5290">
        <v>0.77124999999999999</v>
      </c>
      <c r="F5290">
        <v>1.2966</v>
      </c>
      <c r="G5290">
        <v>668.85</v>
      </c>
      <c r="H5290">
        <v>1.2083999999999999</v>
      </c>
    </row>
    <row r="5291" spans="2:8" x14ac:dyDescent="0.25">
      <c r="B5291">
        <v>1.2141999999999999</v>
      </c>
      <c r="C5291">
        <v>165</v>
      </c>
      <c r="D5291">
        <v>265</v>
      </c>
      <c r="E5291">
        <v>0.76151000000000002</v>
      </c>
      <c r="F5291">
        <v>1.3131999999999999</v>
      </c>
      <c r="G5291">
        <v>672.42</v>
      </c>
      <c r="H5291">
        <v>1.2141999999999999</v>
      </c>
    </row>
    <row r="5292" spans="2:8" x14ac:dyDescent="0.25">
      <c r="B5292">
        <v>1.2198</v>
      </c>
      <c r="C5292">
        <v>170</v>
      </c>
      <c r="D5292">
        <v>265</v>
      </c>
      <c r="E5292">
        <v>0.75214000000000003</v>
      </c>
      <c r="F5292">
        <v>1.3294999999999999</v>
      </c>
      <c r="G5292">
        <v>675.95</v>
      </c>
      <c r="H5292">
        <v>1.2198</v>
      </c>
    </row>
    <row r="5293" spans="2:8" x14ac:dyDescent="0.25">
      <c r="B5293">
        <v>1.2253000000000001</v>
      </c>
      <c r="C5293">
        <v>175</v>
      </c>
      <c r="D5293">
        <v>265</v>
      </c>
      <c r="E5293">
        <v>0.74311000000000005</v>
      </c>
      <c r="F5293">
        <v>1.3456999999999999</v>
      </c>
      <c r="G5293">
        <v>679.43</v>
      </c>
      <c r="H5293">
        <v>1.2253000000000001</v>
      </c>
    </row>
    <row r="5294" spans="2:8" x14ac:dyDescent="0.25">
      <c r="B5294">
        <v>1.2306999999999999</v>
      </c>
      <c r="C5294">
        <v>180</v>
      </c>
      <c r="D5294">
        <v>265</v>
      </c>
      <c r="E5294">
        <v>0.73438999999999999</v>
      </c>
      <c r="F5294">
        <v>1.3616999999999999</v>
      </c>
      <c r="G5294">
        <v>682.88</v>
      </c>
      <c r="H5294">
        <v>1.2306999999999999</v>
      </c>
    </row>
    <row r="5295" spans="2:8" x14ac:dyDescent="0.25">
      <c r="B5295">
        <v>1.236</v>
      </c>
      <c r="C5295">
        <v>185</v>
      </c>
      <c r="D5295">
        <v>265</v>
      </c>
      <c r="E5295">
        <v>0.72597</v>
      </c>
      <c r="F5295">
        <v>1.3774999999999999</v>
      </c>
      <c r="G5295">
        <v>686.29</v>
      </c>
      <c r="H5295">
        <v>1.236</v>
      </c>
    </row>
    <row r="5296" spans="2:8" x14ac:dyDescent="0.25">
      <c r="B5296">
        <v>1.2413000000000001</v>
      </c>
      <c r="C5296">
        <v>190</v>
      </c>
      <c r="D5296">
        <v>265</v>
      </c>
      <c r="E5296">
        <v>0.71782000000000001</v>
      </c>
      <c r="F5296">
        <v>1.3931</v>
      </c>
      <c r="G5296">
        <v>689.67</v>
      </c>
      <c r="H5296">
        <v>1.2413000000000001</v>
      </c>
    </row>
    <row r="5297" spans="2:8" x14ac:dyDescent="0.25">
      <c r="B5297">
        <v>1.2464</v>
      </c>
      <c r="C5297">
        <v>195</v>
      </c>
      <c r="D5297">
        <v>265</v>
      </c>
      <c r="E5297">
        <v>0.70992999999999995</v>
      </c>
      <c r="F5297">
        <v>1.4086000000000001</v>
      </c>
      <c r="G5297">
        <v>693.02</v>
      </c>
      <c r="H5297">
        <v>1.2464</v>
      </c>
    </row>
    <row r="5298" spans="2:8" x14ac:dyDescent="0.25">
      <c r="B5298">
        <v>1.2515000000000001</v>
      </c>
      <c r="C5298">
        <v>200</v>
      </c>
      <c r="D5298">
        <v>265</v>
      </c>
      <c r="E5298">
        <v>0.70228999999999997</v>
      </c>
      <c r="F5298">
        <v>1.4238999999999999</v>
      </c>
      <c r="G5298">
        <v>696.34</v>
      </c>
      <c r="H5298">
        <v>1.2515000000000001</v>
      </c>
    </row>
    <row r="5299" spans="2:8" x14ac:dyDescent="0.25">
      <c r="B5299">
        <v>1.2564</v>
      </c>
      <c r="C5299">
        <v>205</v>
      </c>
      <c r="D5299">
        <v>265</v>
      </c>
      <c r="E5299">
        <v>0.69486999999999999</v>
      </c>
      <c r="F5299">
        <v>1.4391</v>
      </c>
      <c r="G5299">
        <v>699.63</v>
      </c>
      <c r="H5299">
        <v>1.2564</v>
      </c>
    </row>
    <row r="5300" spans="2:8" x14ac:dyDescent="0.25">
      <c r="B5300">
        <v>1.2613000000000001</v>
      </c>
      <c r="C5300">
        <v>210</v>
      </c>
      <c r="D5300">
        <v>265</v>
      </c>
      <c r="E5300">
        <v>0.68766000000000005</v>
      </c>
      <c r="F5300">
        <v>1.4541999999999999</v>
      </c>
      <c r="G5300">
        <v>702.91</v>
      </c>
      <c r="H5300">
        <v>1.2613000000000001</v>
      </c>
    </row>
    <row r="5301" spans="2:8" x14ac:dyDescent="0.25">
      <c r="B5301">
        <v>1.2662</v>
      </c>
      <c r="C5301">
        <v>215</v>
      </c>
      <c r="D5301">
        <v>265</v>
      </c>
      <c r="E5301">
        <v>0.68066000000000004</v>
      </c>
      <c r="F5301">
        <v>1.4692000000000001</v>
      </c>
      <c r="G5301">
        <v>706.16</v>
      </c>
      <c r="H5301">
        <v>1.2662</v>
      </c>
    </row>
    <row r="5302" spans="2:8" x14ac:dyDescent="0.25">
      <c r="B5302">
        <v>1.2709999999999999</v>
      </c>
      <c r="C5302">
        <v>220</v>
      </c>
      <c r="D5302">
        <v>265</v>
      </c>
      <c r="E5302">
        <v>0.67384999999999995</v>
      </c>
      <c r="F5302">
        <v>1.484</v>
      </c>
      <c r="G5302">
        <v>709.39</v>
      </c>
      <c r="H5302">
        <v>1.2709999999999999</v>
      </c>
    </row>
    <row r="5303" spans="2:8" x14ac:dyDescent="0.25">
      <c r="B5303">
        <v>1.2757000000000001</v>
      </c>
      <c r="C5303">
        <v>225</v>
      </c>
      <c r="D5303">
        <v>265</v>
      </c>
      <c r="E5303">
        <v>0.66720999999999997</v>
      </c>
      <c r="F5303">
        <v>1.4987999999999999</v>
      </c>
      <c r="G5303">
        <v>712.61</v>
      </c>
      <c r="H5303">
        <v>1.2757000000000001</v>
      </c>
    </row>
    <row r="5304" spans="2:8" x14ac:dyDescent="0.25">
      <c r="B5304">
        <v>1.2803</v>
      </c>
      <c r="C5304">
        <v>230</v>
      </c>
      <c r="D5304">
        <v>265</v>
      </c>
      <c r="E5304">
        <v>0.66076000000000001</v>
      </c>
      <c r="F5304">
        <v>1.5134000000000001</v>
      </c>
      <c r="G5304">
        <v>715.81</v>
      </c>
      <c r="H5304">
        <v>1.2803</v>
      </c>
    </row>
    <row r="5305" spans="2:8" x14ac:dyDescent="0.25">
      <c r="B5305">
        <v>1.2848999999999999</v>
      </c>
      <c r="C5305">
        <v>235</v>
      </c>
      <c r="D5305">
        <v>265</v>
      </c>
      <c r="E5305">
        <v>0.65446000000000004</v>
      </c>
      <c r="F5305">
        <v>1.528</v>
      </c>
      <c r="G5305">
        <v>719</v>
      </c>
      <c r="H5305">
        <v>1.2848999999999999</v>
      </c>
    </row>
    <row r="5306" spans="2:8" x14ac:dyDescent="0.25">
      <c r="B5306">
        <v>1.2895000000000001</v>
      </c>
      <c r="C5306">
        <v>240</v>
      </c>
      <c r="D5306">
        <v>265</v>
      </c>
      <c r="E5306">
        <v>0.64832000000000001</v>
      </c>
      <c r="F5306">
        <v>1.5424</v>
      </c>
      <c r="G5306">
        <v>722.17</v>
      </c>
      <c r="H5306">
        <v>1.2895000000000001</v>
      </c>
    </row>
    <row r="5307" spans="2:8" x14ac:dyDescent="0.25">
      <c r="B5307">
        <v>1.294</v>
      </c>
      <c r="C5307">
        <v>245</v>
      </c>
      <c r="D5307">
        <v>265</v>
      </c>
      <c r="E5307">
        <v>0.64232999999999996</v>
      </c>
      <c r="F5307">
        <v>1.5568</v>
      </c>
      <c r="G5307">
        <v>725.33</v>
      </c>
      <c r="H5307">
        <v>1.294</v>
      </c>
    </row>
    <row r="5308" spans="2:8" x14ac:dyDescent="0.25">
      <c r="B5308">
        <v>1.2984</v>
      </c>
      <c r="C5308">
        <v>250</v>
      </c>
      <c r="D5308">
        <v>265</v>
      </c>
      <c r="E5308">
        <v>0.63649</v>
      </c>
      <c r="F5308">
        <v>1.5710999999999999</v>
      </c>
      <c r="G5308">
        <v>728.48</v>
      </c>
      <c r="H5308">
        <v>1.2984</v>
      </c>
    </row>
    <row r="5309" spans="2:8" x14ac:dyDescent="0.25">
      <c r="B5309">
        <v>1.3028</v>
      </c>
      <c r="C5309">
        <v>255</v>
      </c>
      <c r="D5309">
        <v>265</v>
      </c>
      <c r="E5309">
        <v>0.63077000000000005</v>
      </c>
      <c r="F5309">
        <v>1.5853999999999999</v>
      </c>
      <c r="G5309">
        <v>731.62</v>
      </c>
      <c r="H5309">
        <v>1.3028</v>
      </c>
    </row>
    <row r="5310" spans="2:8" x14ac:dyDescent="0.25">
      <c r="B5310">
        <v>1.3071999999999999</v>
      </c>
      <c r="C5310">
        <v>260</v>
      </c>
      <c r="D5310">
        <v>265</v>
      </c>
      <c r="E5310">
        <v>0.62519000000000002</v>
      </c>
      <c r="F5310">
        <v>1.5994999999999999</v>
      </c>
      <c r="G5310">
        <v>734.75</v>
      </c>
      <c r="H5310">
        <v>1.3071999999999999</v>
      </c>
    </row>
    <row r="5311" spans="2:8" x14ac:dyDescent="0.25">
      <c r="B5311">
        <v>1.3115000000000001</v>
      </c>
      <c r="C5311">
        <v>265</v>
      </c>
      <c r="D5311">
        <v>265</v>
      </c>
      <c r="E5311">
        <v>0.61973</v>
      </c>
      <c r="F5311">
        <v>1.6135999999999999</v>
      </c>
      <c r="G5311">
        <v>737.87</v>
      </c>
      <c r="H5311">
        <v>1.3115000000000001</v>
      </c>
    </row>
    <row r="5312" spans="2:8" x14ac:dyDescent="0.25">
      <c r="B5312">
        <v>1.3158000000000001</v>
      </c>
      <c r="C5312">
        <v>270</v>
      </c>
      <c r="D5312">
        <v>265</v>
      </c>
      <c r="E5312">
        <v>0.61438999999999999</v>
      </c>
      <c r="F5312">
        <v>1.6275999999999999</v>
      </c>
      <c r="G5312">
        <v>740.98</v>
      </c>
      <c r="H5312">
        <v>1.3158000000000001</v>
      </c>
    </row>
    <row r="5313" spans="2:8" x14ac:dyDescent="0.25">
      <c r="B5313">
        <v>1.32</v>
      </c>
      <c r="C5313">
        <v>275</v>
      </c>
      <c r="D5313">
        <v>265</v>
      </c>
      <c r="E5313">
        <v>0.60916999999999999</v>
      </c>
      <c r="F5313">
        <v>1.6415999999999999</v>
      </c>
      <c r="G5313">
        <v>744.09</v>
      </c>
      <c r="H5313">
        <v>1.32</v>
      </c>
    </row>
    <row r="5314" spans="2:8" x14ac:dyDescent="0.25">
      <c r="B5314">
        <v>1.3243</v>
      </c>
      <c r="C5314">
        <v>280</v>
      </c>
      <c r="D5314">
        <v>265</v>
      </c>
      <c r="E5314">
        <v>0.60406000000000004</v>
      </c>
      <c r="F5314">
        <v>1.6555</v>
      </c>
      <c r="G5314">
        <v>747.19</v>
      </c>
      <c r="H5314">
        <v>1.3243</v>
      </c>
    </row>
    <row r="5315" spans="2:8" x14ac:dyDescent="0.25">
      <c r="B5315">
        <v>1.3284</v>
      </c>
      <c r="C5315">
        <v>285</v>
      </c>
      <c r="D5315">
        <v>265</v>
      </c>
      <c r="E5315">
        <v>0.59904999999999997</v>
      </c>
      <c r="F5315">
        <v>1.6693</v>
      </c>
      <c r="G5315">
        <v>750.28</v>
      </c>
      <c r="H5315">
        <v>1.3284</v>
      </c>
    </row>
    <row r="5316" spans="2:8" x14ac:dyDescent="0.25">
      <c r="B5316">
        <v>1.3326</v>
      </c>
      <c r="C5316">
        <v>290</v>
      </c>
      <c r="D5316">
        <v>265</v>
      </c>
      <c r="E5316">
        <v>0.59414</v>
      </c>
      <c r="F5316">
        <v>1.6831</v>
      </c>
      <c r="G5316">
        <v>753.37</v>
      </c>
      <c r="H5316">
        <v>1.3326</v>
      </c>
    </row>
    <row r="5317" spans="2:8" x14ac:dyDescent="0.25">
      <c r="B5317">
        <v>1.3367</v>
      </c>
      <c r="C5317">
        <v>295</v>
      </c>
      <c r="D5317">
        <v>265</v>
      </c>
      <c r="E5317">
        <v>0.58933000000000002</v>
      </c>
      <c r="F5317">
        <v>1.6968000000000001</v>
      </c>
      <c r="G5317">
        <v>756.46</v>
      </c>
      <c r="H5317">
        <v>1.3367</v>
      </c>
    </row>
    <row r="5318" spans="2:8" x14ac:dyDescent="0.25">
      <c r="B5318">
        <v>1.3407</v>
      </c>
      <c r="C5318">
        <v>300</v>
      </c>
      <c r="D5318">
        <v>265</v>
      </c>
      <c r="E5318">
        <v>0.58460999999999996</v>
      </c>
      <c r="F5318">
        <v>1.7104999999999999</v>
      </c>
      <c r="G5318">
        <v>759.54</v>
      </c>
      <c r="H5318">
        <v>1.3407</v>
      </c>
    </row>
    <row r="5319" spans="2:8" x14ac:dyDescent="0.25">
      <c r="B5319">
        <v>1.3448</v>
      </c>
      <c r="C5319">
        <v>305</v>
      </c>
      <c r="D5319">
        <v>265</v>
      </c>
      <c r="E5319">
        <v>0.57999000000000001</v>
      </c>
      <c r="F5319">
        <v>1.7242</v>
      </c>
      <c r="G5319">
        <v>762.62</v>
      </c>
      <c r="H5319">
        <v>1.3448</v>
      </c>
    </row>
    <row r="5320" spans="2:8" x14ac:dyDescent="0.25">
      <c r="B5320">
        <v>1.3488</v>
      </c>
      <c r="C5320">
        <v>310</v>
      </c>
      <c r="D5320">
        <v>265</v>
      </c>
      <c r="E5320">
        <v>0.57545000000000002</v>
      </c>
      <c r="F5320">
        <v>1.7378</v>
      </c>
      <c r="G5320">
        <v>765.7</v>
      </c>
      <c r="H5320">
        <v>1.3488</v>
      </c>
    </row>
    <row r="5321" spans="2:8" x14ac:dyDescent="0.25">
      <c r="B5321">
        <v>1.3528</v>
      </c>
      <c r="C5321">
        <v>315</v>
      </c>
      <c r="D5321">
        <v>265</v>
      </c>
      <c r="E5321">
        <v>0.57099999999999995</v>
      </c>
      <c r="F5321">
        <v>1.7513000000000001</v>
      </c>
      <c r="G5321">
        <v>768.77</v>
      </c>
      <c r="H5321">
        <v>1.3528</v>
      </c>
    </row>
    <row r="5322" spans="2:8" x14ac:dyDescent="0.25">
      <c r="B5322">
        <v>1.3567</v>
      </c>
      <c r="C5322">
        <v>320</v>
      </c>
      <c r="D5322">
        <v>265</v>
      </c>
      <c r="E5322">
        <v>0.56662999999999997</v>
      </c>
      <c r="F5322">
        <v>1.7647999999999999</v>
      </c>
      <c r="G5322">
        <v>771.84</v>
      </c>
      <c r="H5322">
        <v>1.3567</v>
      </c>
    </row>
    <row r="5323" spans="2:8" x14ac:dyDescent="0.25">
      <c r="B5323">
        <v>1.3606</v>
      </c>
      <c r="C5323">
        <v>325</v>
      </c>
      <c r="D5323">
        <v>265</v>
      </c>
      <c r="E5323">
        <v>0.56233999999999995</v>
      </c>
      <c r="F5323">
        <v>1.7783</v>
      </c>
      <c r="G5323">
        <v>774.91</v>
      </c>
      <c r="H5323">
        <v>1.3606</v>
      </c>
    </row>
    <row r="5324" spans="2:8" x14ac:dyDescent="0.25">
      <c r="B5324">
        <v>1.3645</v>
      </c>
      <c r="C5324">
        <v>330</v>
      </c>
      <c r="D5324">
        <v>265</v>
      </c>
      <c r="E5324">
        <v>0.55813000000000001</v>
      </c>
      <c r="F5324">
        <v>1.7917000000000001</v>
      </c>
      <c r="G5324">
        <v>777.98</v>
      </c>
      <c r="H5324">
        <v>1.3645</v>
      </c>
    </row>
    <row r="5325" spans="2:8" x14ac:dyDescent="0.25">
      <c r="B5325">
        <v>1.3684000000000001</v>
      </c>
      <c r="C5325">
        <v>335</v>
      </c>
      <c r="D5325">
        <v>265</v>
      </c>
      <c r="E5325">
        <v>0.55398999999999998</v>
      </c>
      <c r="F5325">
        <v>1.8050999999999999</v>
      </c>
      <c r="G5325">
        <v>781.05</v>
      </c>
      <c r="H5325">
        <v>1.3684000000000001</v>
      </c>
    </row>
    <row r="5326" spans="2:8" x14ac:dyDescent="0.25">
      <c r="B5326">
        <v>1.3723000000000001</v>
      </c>
      <c r="C5326">
        <v>340</v>
      </c>
      <c r="D5326">
        <v>265</v>
      </c>
      <c r="E5326">
        <v>0.54991999999999996</v>
      </c>
      <c r="F5326">
        <v>1.8184</v>
      </c>
      <c r="G5326">
        <v>784.12</v>
      </c>
      <c r="H5326">
        <v>1.3723000000000001</v>
      </c>
    </row>
    <row r="5327" spans="2:8" x14ac:dyDescent="0.25">
      <c r="B5327">
        <v>1.3761000000000001</v>
      </c>
      <c r="C5327">
        <v>345</v>
      </c>
      <c r="D5327">
        <v>265</v>
      </c>
      <c r="E5327">
        <v>0.54593000000000003</v>
      </c>
      <c r="F5327">
        <v>1.8318000000000001</v>
      </c>
      <c r="G5327">
        <v>787.19</v>
      </c>
      <c r="H5327">
        <v>1.3761000000000001</v>
      </c>
    </row>
    <row r="5328" spans="2:8" x14ac:dyDescent="0.25">
      <c r="B5328">
        <v>1.3798999999999999</v>
      </c>
      <c r="C5328">
        <v>350</v>
      </c>
      <c r="D5328">
        <v>265</v>
      </c>
      <c r="E5328">
        <v>0.54200000000000004</v>
      </c>
      <c r="F5328">
        <v>1.845</v>
      </c>
      <c r="G5328">
        <v>790.26</v>
      </c>
      <c r="H5328">
        <v>1.3798999999999999</v>
      </c>
    </row>
    <row r="5330" spans="1:8" x14ac:dyDescent="0.25">
      <c r="A5330">
        <v>270</v>
      </c>
      <c r="B5330">
        <v>9.5981999999999998E-2</v>
      </c>
      <c r="C5330">
        <v>0</v>
      </c>
      <c r="D5330">
        <v>270</v>
      </c>
      <c r="E5330">
        <v>41.402999999999999</v>
      </c>
      <c r="F5330">
        <v>2.4153000000000001E-2</v>
      </c>
      <c r="G5330">
        <v>43.316000000000003</v>
      </c>
      <c r="H5330">
        <v>9.5981999999999998E-2</v>
      </c>
    </row>
    <row r="5331" spans="1:8" x14ac:dyDescent="0.25">
      <c r="B5331">
        <v>0.10768</v>
      </c>
      <c r="C5331">
        <v>5</v>
      </c>
      <c r="D5331">
        <v>270</v>
      </c>
      <c r="E5331">
        <v>41.177999999999997</v>
      </c>
      <c r="F5331">
        <v>2.4285000000000001E-2</v>
      </c>
      <c r="G5331">
        <v>48.72</v>
      </c>
      <c r="H5331">
        <v>0.10768</v>
      </c>
    </row>
    <row r="5332" spans="1:8" x14ac:dyDescent="0.25">
      <c r="B5332">
        <v>0.11928</v>
      </c>
      <c r="C5332">
        <v>10</v>
      </c>
      <c r="D5332">
        <v>270</v>
      </c>
      <c r="E5332">
        <v>40.951000000000001</v>
      </c>
      <c r="F5332">
        <v>2.4419E-2</v>
      </c>
      <c r="G5332">
        <v>54.140999999999998</v>
      </c>
      <c r="H5332">
        <v>0.11928</v>
      </c>
    </row>
    <row r="5333" spans="1:8" x14ac:dyDescent="0.25">
      <c r="B5333">
        <v>0.1308</v>
      </c>
      <c r="C5333">
        <v>15</v>
      </c>
      <c r="D5333">
        <v>270</v>
      </c>
      <c r="E5333">
        <v>40.722000000000001</v>
      </c>
      <c r="F5333">
        <v>2.4556999999999999E-2</v>
      </c>
      <c r="G5333">
        <v>59.579000000000001</v>
      </c>
      <c r="H5333">
        <v>0.1308</v>
      </c>
    </row>
    <row r="5334" spans="1:8" x14ac:dyDescent="0.25">
      <c r="B5334">
        <v>0.14223</v>
      </c>
      <c r="C5334">
        <v>20</v>
      </c>
      <c r="D5334">
        <v>270</v>
      </c>
      <c r="E5334">
        <v>40.491</v>
      </c>
      <c r="F5334">
        <v>2.4697E-2</v>
      </c>
      <c r="G5334">
        <v>65.031999999999996</v>
      </c>
      <c r="H5334">
        <v>0.14223</v>
      </c>
    </row>
    <row r="5335" spans="1:8" x14ac:dyDescent="0.25">
      <c r="B5335">
        <v>0.15357000000000001</v>
      </c>
      <c r="C5335">
        <v>25</v>
      </c>
      <c r="D5335">
        <v>270</v>
      </c>
      <c r="E5335">
        <v>40.258000000000003</v>
      </c>
      <c r="F5335">
        <v>2.4840000000000001E-2</v>
      </c>
      <c r="G5335">
        <v>70.503</v>
      </c>
      <c r="H5335">
        <v>0.15357000000000001</v>
      </c>
    </row>
    <row r="5336" spans="1:8" x14ac:dyDescent="0.25">
      <c r="B5336">
        <v>0.16483999999999999</v>
      </c>
      <c r="C5336">
        <v>30</v>
      </c>
      <c r="D5336">
        <v>270</v>
      </c>
      <c r="E5336">
        <v>40.021999999999998</v>
      </c>
      <c r="F5336">
        <v>2.4986000000000001E-2</v>
      </c>
      <c r="G5336">
        <v>75.992000000000004</v>
      </c>
      <c r="H5336">
        <v>0.16483999999999999</v>
      </c>
    </row>
    <row r="5337" spans="1:8" x14ac:dyDescent="0.25">
      <c r="B5337">
        <v>0.17602999999999999</v>
      </c>
      <c r="C5337">
        <v>35</v>
      </c>
      <c r="D5337">
        <v>270</v>
      </c>
      <c r="E5337">
        <v>39.783999999999999</v>
      </c>
      <c r="F5337">
        <v>2.5135999999999999E-2</v>
      </c>
      <c r="G5337">
        <v>81.498000000000005</v>
      </c>
      <c r="H5337">
        <v>0.17602999999999999</v>
      </c>
    </row>
    <row r="5338" spans="1:8" x14ac:dyDescent="0.25">
      <c r="B5338">
        <v>0.18714</v>
      </c>
      <c r="C5338">
        <v>40</v>
      </c>
      <c r="D5338">
        <v>270</v>
      </c>
      <c r="E5338">
        <v>39.543999999999997</v>
      </c>
      <c r="F5338">
        <v>2.5288000000000001E-2</v>
      </c>
      <c r="G5338">
        <v>87.022999999999996</v>
      </c>
      <c r="H5338">
        <v>0.18714</v>
      </c>
    </row>
    <row r="5339" spans="1:8" x14ac:dyDescent="0.25">
      <c r="B5339">
        <v>0.19818</v>
      </c>
      <c r="C5339">
        <v>45</v>
      </c>
      <c r="D5339">
        <v>270</v>
      </c>
      <c r="E5339">
        <v>39.301000000000002</v>
      </c>
      <c r="F5339">
        <v>2.5444000000000001E-2</v>
      </c>
      <c r="G5339">
        <v>92.566999999999993</v>
      </c>
      <c r="H5339">
        <v>0.19818</v>
      </c>
    </row>
    <row r="5340" spans="1:8" x14ac:dyDescent="0.25">
      <c r="B5340">
        <v>0.20915</v>
      </c>
      <c r="C5340">
        <v>50</v>
      </c>
      <c r="D5340">
        <v>270</v>
      </c>
      <c r="E5340">
        <v>39.055999999999997</v>
      </c>
      <c r="F5340">
        <v>2.5603999999999998E-2</v>
      </c>
      <c r="G5340">
        <v>98.131</v>
      </c>
      <c r="H5340">
        <v>0.20915</v>
      </c>
    </row>
    <row r="5341" spans="1:8" x14ac:dyDescent="0.25">
      <c r="B5341">
        <v>0.22005</v>
      </c>
      <c r="C5341">
        <v>55</v>
      </c>
      <c r="D5341">
        <v>270</v>
      </c>
      <c r="E5341">
        <v>38.808</v>
      </c>
      <c r="F5341">
        <v>2.5767999999999999E-2</v>
      </c>
      <c r="G5341">
        <v>103.72</v>
      </c>
      <c r="H5341">
        <v>0.22005</v>
      </c>
    </row>
    <row r="5342" spans="1:8" x14ac:dyDescent="0.25">
      <c r="B5342">
        <v>0.23089999999999999</v>
      </c>
      <c r="C5342">
        <v>60</v>
      </c>
      <c r="D5342">
        <v>270</v>
      </c>
      <c r="E5342">
        <v>38.557000000000002</v>
      </c>
      <c r="F5342">
        <v>2.5936000000000001E-2</v>
      </c>
      <c r="G5342">
        <v>109.32</v>
      </c>
      <c r="H5342">
        <v>0.23089999999999999</v>
      </c>
    </row>
    <row r="5343" spans="1:8" x14ac:dyDescent="0.25">
      <c r="B5343">
        <v>0.24168000000000001</v>
      </c>
      <c r="C5343">
        <v>65</v>
      </c>
      <c r="D5343">
        <v>270</v>
      </c>
      <c r="E5343">
        <v>38.302999999999997</v>
      </c>
      <c r="F5343">
        <v>2.6107999999999999E-2</v>
      </c>
      <c r="G5343">
        <v>114.95</v>
      </c>
      <c r="H5343">
        <v>0.24168000000000001</v>
      </c>
    </row>
    <row r="5344" spans="1:8" x14ac:dyDescent="0.25">
      <c r="B5344">
        <v>0.25240000000000001</v>
      </c>
      <c r="C5344">
        <v>70</v>
      </c>
      <c r="D5344">
        <v>270</v>
      </c>
      <c r="E5344">
        <v>38.045999999999999</v>
      </c>
      <c r="F5344">
        <v>2.6283999999999998E-2</v>
      </c>
      <c r="G5344">
        <v>120.61</v>
      </c>
      <c r="H5344">
        <v>0.25240000000000001</v>
      </c>
    </row>
    <row r="5345" spans="2:8" x14ac:dyDescent="0.25">
      <c r="B5345">
        <v>0.26307999999999998</v>
      </c>
      <c r="C5345">
        <v>75</v>
      </c>
      <c r="D5345">
        <v>270</v>
      </c>
      <c r="E5345">
        <v>37.784999999999997</v>
      </c>
      <c r="F5345">
        <v>2.6464999999999999E-2</v>
      </c>
      <c r="G5345">
        <v>126.29</v>
      </c>
      <c r="H5345">
        <v>0.26307999999999998</v>
      </c>
    </row>
    <row r="5346" spans="2:8" x14ac:dyDescent="0.25">
      <c r="B5346">
        <v>0.2737</v>
      </c>
      <c r="C5346">
        <v>80</v>
      </c>
      <c r="D5346">
        <v>270</v>
      </c>
      <c r="E5346">
        <v>37.521000000000001</v>
      </c>
      <c r="F5346">
        <v>2.6651999999999999E-2</v>
      </c>
      <c r="G5346">
        <v>131.99</v>
      </c>
      <c r="H5346">
        <v>0.2737</v>
      </c>
    </row>
    <row r="5347" spans="2:8" x14ac:dyDescent="0.25">
      <c r="B5347">
        <v>0.28427999999999998</v>
      </c>
      <c r="C5347">
        <v>85</v>
      </c>
      <c r="D5347">
        <v>270</v>
      </c>
      <c r="E5347">
        <v>37.253</v>
      </c>
      <c r="F5347">
        <v>2.6842999999999999E-2</v>
      </c>
      <c r="G5347">
        <v>137.72999999999999</v>
      </c>
      <c r="H5347">
        <v>0.28427999999999998</v>
      </c>
    </row>
    <row r="5348" spans="2:8" x14ac:dyDescent="0.25">
      <c r="B5348">
        <v>0.29482000000000003</v>
      </c>
      <c r="C5348">
        <v>90</v>
      </c>
      <c r="D5348">
        <v>270</v>
      </c>
      <c r="E5348">
        <v>36.981000000000002</v>
      </c>
      <c r="F5348">
        <v>2.7040999999999999E-2</v>
      </c>
      <c r="G5348">
        <v>143.5</v>
      </c>
      <c r="H5348">
        <v>0.29482000000000003</v>
      </c>
    </row>
    <row r="5349" spans="2:8" x14ac:dyDescent="0.25">
      <c r="B5349">
        <v>0.30532999999999999</v>
      </c>
      <c r="C5349">
        <v>95</v>
      </c>
      <c r="D5349">
        <v>270</v>
      </c>
      <c r="E5349">
        <v>36.704999999999998</v>
      </c>
      <c r="F5349">
        <v>2.7244000000000001E-2</v>
      </c>
      <c r="G5349">
        <v>149.30000000000001</v>
      </c>
      <c r="H5349">
        <v>0.30532999999999999</v>
      </c>
    </row>
    <row r="5350" spans="2:8" x14ac:dyDescent="0.25">
      <c r="B5350">
        <v>0.31580000000000003</v>
      </c>
      <c r="C5350">
        <v>100</v>
      </c>
      <c r="D5350">
        <v>270</v>
      </c>
      <c r="E5350">
        <v>36.423999999999999</v>
      </c>
      <c r="F5350">
        <v>2.7453999999999999E-2</v>
      </c>
      <c r="G5350">
        <v>155.13999999999999</v>
      </c>
      <c r="H5350">
        <v>0.31580000000000003</v>
      </c>
    </row>
    <row r="5351" spans="2:8" x14ac:dyDescent="0.25">
      <c r="B5351">
        <v>0.32624999999999998</v>
      </c>
      <c r="C5351">
        <v>105</v>
      </c>
      <c r="D5351">
        <v>270</v>
      </c>
      <c r="E5351">
        <v>36.137999999999998</v>
      </c>
      <c r="F5351">
        <v>2.7671999999999999E-2</v>
      </c>
      <c r="G5351">
        <v>161.01</v>
      </c>
      <c r="H5351">
        <v>0.32624999999999998</v>
      </c>
    </row>
    <row r="5352" spans="2:8" x14ac:dyDescent="0.25">
      <c r="B5352">
        <v>0.33667999999999998</v>
      </c>
      <c r="C5352">
        <v>110</v>
      </c>
      <c r="D5352">
        <v>270</v>
      </c>
      <c r="E5352">
        <v>35.847000000000001</v>
      </c>
      <c r="F5352">
        <v>2.7896000000000001E-2</v>
      </c>
      <c r="G5352">
        <v>166.93</v>
      </c>
      <c r="H5352">
        <v>0.33667999999999998</v>
      </c>
    </row>
    <row r="5353" spans="2:8" x14ac:dyDescent="0.25">
      <c r="B5353">
        <v>0.34710000000000002</v>
      </c>
      <c r="C5353">
        <v>115</v>
      </c>
      <c r="D5353">
        <v>270</v>
      </c>
      <c r="E5353">
        <v>35.549999999999997</v>
      </c>
      <c r="F5353">
        <v>2.8129999999999999E-2</v>
      </c>
      <c r="G5353">
        <v>172.89</v>
      </c>
      <c r="H5353">
        <v>0.34710000000000002</v>
      </c>
    </row>
    <row r="5354" spans="2:8" x14ac:dyDescent="0.25">
      <c r="B5354">
        <v>1.153</v>
      </c>
      <c r="C5354">
        <v>120</v>
      </c>
      <c r="D5354">
        <v>270</v>
      </c>
      <c r="E5354">
        <v>0.88753000000000004</v>
      </c>
      <c r="F5354">
        <v>1.1267</v>
      </c>
      <c r="G5354">
        <v>636.76</v>
      </c>
      <c r="H5354">
        <v>1.153</v>
      </c>
    </row>
    <row r="5355" spans="2:8" x14ac:dyDescent="0.25">
      <c r="B5355">
        <v>1.1603000000000001</v>
      </c>
      <c r="C5355">
        <v>125</v>
      </c>
      <c r="D5355">
        <v>270</v>
      </c>
      <c r="E5355">
        <v>0.87268999999999997</v>
      </c>
      <c r="F5355">
        <v>1.1458999999999999</v>
      </c>
      <c r="G5355">
        <v>641.01</v>
      </c>
      <c r="H5355">
        <v>1.1603000000000001</v>
      </c>
    </row>
    <row r="5356" spans="2:8" x14ac:dyDescent="0.25">
      <c r="B5356">
        <v>1.1673</v>
      </c>
      <c r="C5356">
        <v>130</v>
      </c>
      <c r="D5356">
        <v>270</v>
      </c>
      <c r="E5356">
        <v>0.85868999999999995</v>
      </c>
      <c r="F5356">
        <v>1.1646000000000001</v>
      </c>
      <c r="G5356">
        <v>645.15</v>
      </c>
      <c r="H5356">
        <v>1.1673</v>
      </c>
    </row>
    <row r="5357" spans="2:8" x14ac:dyDescent="0.25">
      <c r="B5357">
        <v>1.1740999999999999</v>
      </c>
      <c r="C5357">
        <v>135</v>
      </c>
      <c r="D5357">
        <v>270</v>
      </c>
      <c r="E5357">
        <v>0.84545000000000003</v>
      </c>
      <c r="F5357">
        <v>1.1828000000000001</v>
      </c>
      <c r="G5357">
        <v>649.17999999999995</v>
      </c>
      <c r="H5357">
        <v>1.1740999999999999</v>
      </c>
    </row>
    <row r="5358" spans="2:8" x14ac:dyDescent="0.25">
      <c r="B5358">
        <v>1.1807000000000001</v>
      </c>
      <c r="C5358">
        <v>140</v>
      </c>
      <c r="D5358">
        <v>270</v>
      </c>
      <c r="E5358">
        <v>0.83287</v>
      </c>
      <c r="F5358">
        <v>1.2007000000000001</v>
      </c>
      <c r="G5358">
        <v>653.12</v>
      </c>
      <c r="H5358">
        <v>1.1807000000000001</v>
      </c>
    </row>
    <row r="5359" spans="2:8" x14ac:dyDescent="0.25">
      <c r="B5359">
        <v>1.1871</v>
      </c>
      <c r="C5359">
        <v>145</v>
      </c>
      <c r="D5359">
        <v>270</v>
      </c>
      <c r="E5359">
        <v>0.82089999999999996</v>
      </c>
      <c r="F5359">
        <v>1.2181999999999999</v>
      </c>
      <c r="G5359">
        <v>656.98</v>
      </c>
      <c r="H5359">
        <v>1.1871</v>
      </c>
    </row>
    <row r="5360" spans="2:8" x14ac:dyDescent="0.25">
      <c r="B5360">
        <v>1.1934</v>
      </c>
      <c r="C5360">
        <v>150</v>
      </c>
      <c r="D5360">
        <v>270</v>
      </c>
      <c r="E5360">
        <v>0.80947999999999998</v>
      </c>
      <c r="F5360">
        <v>1.2354000000000001</v>
      </c>
      <c r="G5360">
        <v>660.76</v>
      </c>
      <c r="H5360">
        <v>1.1934</v>
      </c>
    </row>
    <row r="5361" spans="2:8" x14ac:dyDescent="0.25">
      <c r="B5361">
        <v>1.1994</v>
      </c>
      <c r="C5361">
        <v>155</v>
      </c>
      <c r="D5361">
        <v>270</v>
      </c>
      <c r="E5361">
        <v>0.79854999999999998</v>
      </c>
      <c r="F5361">
        <v>1.2523</v>
      </c>
      <c r="G5361">
        <v>664.47</v>
      </c>
      <c r="H5361">
        <v>1.1994</v>
      </c>
    </row>
    <row r="5362" spans="2:8" x14ac:dyDescent="0.25">
      <c r="B5362">
        <v>1.2054</v>
      </c>
      <c r="C5362">
        <v>160</v>
      </c>
      <c r="D5362">
        <v>270</v>
      </c>
      <c r="E5362">
        <v>0.78808</v>
      </c>
      <c r="F5362">
        <v>1.2688999999999999</v>
      </c>
      <c r="G5362">
        <v>668.13</v>
      </c>
      <c r="H5362">
        <v>1.2054</v>
      </c>
    </row>
    <row r="5363" spans="2:8" x14ac:dyDescent="0.25">
      <c r="B5363">
        <v>1.2112000000000001</v>
      </c>
      <c r="C5363">
        <v>165</v>
      </c>
      <c r="D5363">
        <v>270</v>
      </c>
      <c r="E5363">
        <v>0.77803</v>
      </c>
      <c r="F5363">
        <v>1.2853000000000001</v>
      </c>
      <c r="G5363">
        <v>671.73</v>
      </c>
      <c r="H5363">
        <v>1.2112000000000001</v>
      </c>
    </row>
    <row r="5364" spans="2:8" x14ac:dyDescent="0.25">
      <c r="B5364">
        <v>1.2168000000000001</v>
      </c>
      <c r="C5364">
        <v>170</v>
      </c>
      <c r="D5364">
        <v>270</v>
      </c>
      <c r="E5364">
        <v>0.76836000000000004</v>
      </c>
      <c r="F5364">
        <v>1.3015000000000001</v>
      </c>
      <c r="G5364">
        <v>675.28</v>
      </c>
      <c r="H5364">
        <v>1.2168000000000001</v>
      </c>
    </row>
    <row r="5365" spans="2:8" x14ac:dyDescent="0.25">
      <c r="B5365">
        <v>1.2223999999999999</v>
      </c>
      <c r="C5365">
        <v>175</v>
      </c>
      <c r="D5365">
        <v>270</v>
      </c>
      <c r="E5365">
        <v>0.75905</v>
      </c>
      <c r="F5365">
        <v>1.3173999999999999</v>
      </c>
      <c r="G5365">
        <v>678.79</v>
      </c>
      <c r="H5365">
        <v>1.2223999999999999</v>
      </c>
    </row>
    <row r="5366" spans="2:8" x14ac:dyDescent="0.25">
      <c r="B5366">
        <v>1.2278</v>
      </c>
      <c r="C5366">
        <v>180</v>
      </c>
      <c r="D5366">
        <v>270</v>
      </c>
      <c r="E5366">
        <v>0.75007000000000001</v>
      </c>
      <c r="F5366">
        <v>1.3331999999999999</v>
      </c>
      <c r="G5366">
        <v>682.26</v>
      </c>
      <c r="H5366">
        <v>1.2278</v>
      </c>
    </row>
    <row r="5367" spans="2:8" x14ac:dyDescent="0.25">
      <c r="B5367">
        <v>1.2332000000000001</v>
      </c>
      <c r="C5367">
        <v>185</v>
      </c>
      <c r="D5367">
        <v>270</v>
      </c>
      <c r="E5367">
        <v>0.74139999999999995</v>
      </c>
      <c r="F5367">
        <v>1.3488</v>
      </c>
      <c r="G5367">
        <v>685.69</v>
      </c>
      <c r="H5367">
        <v>1.2332000000000001</v>
      </c>
    </row>
    <row r="5368" spans="2:8" x14ac:dyDescent="0.25">
      <c r="B5368">
        <v>1.2383999999999999</v>
      </c>
      <c r="C5368">
        <v>190</v>
      </c>
      <c r="D5368">
        <v>270</v>
      </c>
      <c r="E5368">
        <v>0.73301000000000005</v>
      </c>
      <c r="F5368">
        <v>1.3642000000000001</v>
      </c>
      <c r="G5368">
        <v>689.09</v>
      </c>
      <c r="H5368">
        <v>1.2383999999999999</v>
      </c>
    </row>
    <row r="5369" spans="2:8" x14ac:dyDescent="0.25">
      <c r="B5369">
        <v>1.2436</v>
      </c>
      <c r="C5369">
        <v>195</v>
      </c>
      <c r="D5369">
        <v>270</v>
      </c>
      <c r="E5369">
        <v>0.72489000000000003</v>
      </c>
      <c r="F5369">
        <v>1.3794999999999999</v>
      </c>
      <c r="G5369">
        <v>692.45</v>
      </c>
      <c r="H5369">
        <v>1.2436</v>
      </c>
    </row>
    <row r="5370" spans="2:8" x14ac:dyDescent="0.25">
      <c r="B5370">
        <v>1.2485999999999999</v>
      </c>
      <c r="C5370">
        <v>200</v>
      </c>
      <c r="D5370">
        <v>270</v>
      </c>
      <c r="E5370">
        <v>0.71701999999999999</v>
      </c>
      <c r="F5370">
        <v>1.3947000000000001</v>
      </c>
      <c r="G5370">
        <v>695.79</v>
      </c>
      <c r="H5370">
        <v>1.2485999999999999</v>
      </c>
    </row>
    <row r="5371" spans="2:8" x14ac:dyDescent="0.25">
      <c r="B5371">
        <v>1.2536</v>
      </c>
      <c r="C5371">
        <v>205</v>
      </c>
      <c r="D5371">
        <v>270</v>
      </c>
      <c r="E5371">
        <v>0.70940000000000003</v>
      </c>
      <c r="F5371">
        <v>1.4097</v>
      </c>
      <c r="G5371">
        <v>699.1</v>
      </c>
      <c r="H5371">
        <v>1.2536</v>
      </c>
    </row>
    <row r="5372" spans="2:8" x14ac:dyDescent="0.25">
      <c r="B5372">
        <v>1.2585999999999999</v>
      </c>
      <c r="C5372">
        <v>210</v>
      </c>
      <c r="D5372">
        <v>270</v>
      </c>
      <c r="E5372">
        <v>0.70199</v>
      </c>
      <c r="F5372">
        <v>1.4245000000000001</v>
      </c>
      <c r="G5372">
        <v>702.39</v>
      </c>
      <c r="H5372">
        <v>1.2585999999999999</v>
      </c>
    </row>
    <row r="5373" spans="2:8" x14ac:dyDescent="0.25">
      <c r="B5373">
        <v>1.2634000000000001</v>
      </c>
      <c r="C5373">
        <v>215</v>
      </c>
      <c r="D5373">
        <v>270</v>
      </c>
      <c r="E5373">
        <v>0.69479000000000002</v>
      </c>
      <c r="F5373">
        <v>1.4393</v>
      </c>
      <c r="G5373">
        <v>705.66</v>
      </c>
      <c r="H5373">
        <v>1.2634000000000001</v>
      </c>
    </row>
    <row r="5374" spans="2:8" x14ac:dyDescent="0.25">
      <c r="B5374">
        <v>1.2682</v>
      </c>
      <c r="C5374">
        <v>220</v>
      </c>
      <c r="D5374">
        <v>270</v>
      </c>
      <c r="E5374">
        <v>0.68779000000000001</v>
      </c>
      <c r="F5374">
        <v>1.4539</v>
      </c>
      <c r="G5374">
        <v>708.91</v>
      </c>
      <c r="H5374">
        <v>1.2682</v>
      </c>
    </row>
    <row r="5375" spans="2:8" x14ac:dyDescent="0.25">
      <c r="B5375">
        <v>1.2729999999999999</v>
      </c>
      <c r="C5375">
        <v>225</v>
      </c>
      <c r="D5375">
        <v>270</v>
      </c>
      <c r="E5375">
        <v>0.68098000000000003</v>
      </c>
      <c r="F5375">
        <v>1.4684999999999999</v>
      </c>
      <c r="G5375">
        <v>712.13</v>
      </c>
      <c r="H5375">
        <v>1.2729999999999999</v>
      </c>
    </row>
    <row r="5376" spans="2:8" x14ac:dyDescent="0.25">
      <c r="B5376">
        <v>1.2776000000000001</v>
      </c>
      <c r="C5376">
        <v>230</v>
      </c>
      <c r="D5376">
        <v>270</v>
      </c>
      <c r="E5376">
        <v>0.67435</v>
      </c>
      <c r="F5376">
        <v>1.4829000000000001</v>
      </c>
      <c r="G5376">
        <v>715.35</v>
      </c>
      <c r="H5376">
        <v>1.2776000000000001</v>
      </c>
    </row>
    <row r="5377" spans="2:8" x14ac:dyDescent="0.25">
      <c r="B5377">
        <v>1.2823</v>
      </c>
      <c r="C5377">
        <v>235</v>
      </c>
      <c r="D5377">
        <v>270</v>
      </c>
      <c r="E5377">
        <v>0.66788999999999998</v>
      </c>
      <c r="F5377">
        <v>1.4972000000000001</v>
      </c>
      <c r="G5377">
        <v>718.54</v>
      </c>
      <c r="H5377">
        <v>1.2823</v>
      </c>
    </row>
    <row r="5378" spans="2:8" x14ac:dyDescent="0.25">
      <c r="B5378">
        <v>1.2867999999999999</v>
      </c>
      <c r="C5378">
        <v>240</v>
      </c>
      <c r="D5378">
        <v>270</v>
      </c>
      <c r="E5378">
        <v>0.66159000000000001</v>
      </c>
      <c r="F5378">
        <v>1.5115000000000001</v>
      </c>
      <c r="G5378">
        <v>721.73</v>
      </c>
      <c r="H5378">
        <v>1.2867999999999999</v>
      </c>
    </row>
    <row r="5379" spans="2:8" x14ac:dyDescent="0.25">
      <c r="B5379">
        <v>1.2912999999999999</v>
      </c>
      <c r="C5379">
        <v>245</v>
      </c>
      <c r="D5379">
        <v>270</v>
      </c>
      <c r="E5379">
        <v>0.65544999999999998</v>
      </c>
      <c r="F5379">
        <v>1.5257000000000001</v>
      </c>
      <c r="G5379">
        <v>724.9</v>
      </c>
      <c r="H5379">
        <v>1.2912999999999999</v>
      </c>
    </row>
    <row r="5380" spans="2:8" x14ac:dyDescent="0.25">
      <c r="B5380">
        <v>1.2958000000000001</v>
      </c>
      <c r="C5380">
        <v>250</v>
      </c>
      <c r="D5380">
        <v>270</v>
      </c>
      <c r="E5380">
        <v>0.64944999999999997</v>
      </c>
      <c r="F5380">
        <v>1.5398000000000001</v>
      </c>
      <c r="G5380">
        <v>728.06</v>
      </c>
      <c r="H5380">
        <v>1.2958000000000001</v>
      </c>
    </row>
    <row r="5381" spans="2:8" x14ac:dyDescent="0.25">
      <c r="B5381">
        <v>1.3002</v>
      </c>
      <c r="C5381">
        <v>255</v>
      </c>
      <c r="D5381">
        <v>270</v>
      </c>
      <c r="E5381">
        <v>0.64359</v>
      </c>
      <c r="F5381">
        <v>1.5538000000000001</v>
      </c>
      <c r="G5381">
        <v>731.21</v>
      </c>
      <c r="H5381">
        <v>1.3002</v>
      </c>
    </row>
    <row r="5382" spans="2:8" x14ac:dyDescent="0.25">
      <c r="B5382">
        <v>1.3046</v>
      </c>
      <c r="C5382">
        <v>260</v>
      </c>
      <c r="D5382">
        <v>270</v>
      </c>
      <c r="E5382">
        <v>0.63787000000000005</v>
      </c>
      <c r="F5382">
        <v>1.5677000000000001</v>
      </c>
      <c r="G5382">
        <v>734.34</v>
      </c>
      <c r="H5382">
        <v>1.3046</v>
      </c>
    </row>
    <row r="5383" spans="2:8" x14ac:dyDescent="0.25">
      <c r="B5383">
        <v>1.3089</v>
      </c>
      <c r="C5383">
        <v>265</v>
      </c>
      <c r="D5383">
        <v>270</v>
      </c>
      <c r="E5383">
        <v>0.63227999999999995</v>
      </c>
      <c r="F5383">
        <v>1.5815999999999999</v>
      </c>
      <c r="G5383">
        <v>737.47</v>
      </c>
      <c r="H5383">
        <v>1.3089</v>
      </c>
    </row>
    <row r="5384" spans="2:8" x14ac:dyDescent="0.25">
      <c r="B5384">
        <v>1.3131999999999999</v>
      </c>
      <c r="C5384">
        <v>270</v>
      </c>
      <c r="D5384">
        <v>270</v>
      </c>
      <c r="E5384">
        <v>0.62680000000000002</v>
      </c>
      <c r="F5384">
        <v>1.5953999999999999</v>
      </c>
      <c r="G5384">
        <v>740.6</v>
      </c>
      <c r="H5384">
        <v>1.3131999999999999</v>
      </c>
    </row>
    <row r="5385" spans="2:8" x14ac:dyDescent="0.25">
      <c r="B5385">
        <v>1.3174999999999999</v>
      </c>
      <c r="C5385">
        <v>275</v>
      </c>
      <c r="D5385">
        <v>270</v>
      </c>
      <c r="E5385">
        <v>0.62144999999999995</v>
      </c>
      <c r="F5385">
        <v>1.6091</v>
      </c>
      <c r="G5385">
        <v>743.71</v>
      </c>
      <c r="H5385">
        <v>1.3174999999999999</v>
      </c>
    </row>
    <row r="5386" spans="2:8" x14ac:dyDescent="0.25">
      <c r="B5386">
        <v>1.3217000000000001</v>
      </c>
      <c r="C5386">
        <v>280</v>
      </c>
      <c r="D5386">
        <v>270</v>
      </c>
      <c r="E5386">
        <v>0.61621000000000004</v>
      </c>
      <c r="F5386">
        <v>1.6228</v>
      </c>
      <c r="G5386">
        <v>746.82</v>
      </c>
      <c r="H5386">
        <v>1.3217000000000001</v>
      </c>
    </row>
    <row r="5387" spans="2:8" x14ac:dyDescent="0.25">
      <c r="B5387">
        <v>1.3259000000000001</v>
      </c>
      <c r="C5387">
        <v>285</v>
      </c>
      <c r="D5387">
        <v>270</v>
      </c>
      <c r="E5387">
        <v>0.61107999999999996</v>
      </c>
      <c r="F5387">
        <v>1.6365000000000001</v>
      </c>
      <c r="G5387">
        <v>749.92</v>
      </c>
      <c r="H5387">
        <v>1.3259000000000001</v>
      </c>
    </row>
    <row r="5388" spans="2:8" x14ac:dyDescent="0.25">
      <c r="B5388">
        <v>1.33</v>
      </c>
      <c r="C5388">
        <v>290</v>
      </c>
      <c r="D5388">
        <v>270</v>
      </c>
      <c r="E5388">
        <v>0.60604999999999998</v>
      </c>
      <c r="F5388">
        <v>1.65</v>
      </c>
      <c r="G5388">
        <v>753.02</v>
      </c>
      <c r="H5388">
        <v>1.33</v>
      </c>
    </row>
    <row r="5389" spans="2:8" x14ac:dyDescent="0.25">
      <c r="B5389">
        <v>1.3341000000000001</v>
      </c>
      <c r="C5389">
        <v>295</v>
      </c>
      <c r="D5389">
        <v>270</v>
      </c>
      <c r="E5389">
        <v>0.60113000000000005</v>
      </c>
      <c r="F5389">
        <v>1.6635</v>
      </c>
      <c r="G5389">
        <v>756.11</v>
      </c>
      <c r="H5389">
        <v>1.3341000000000001</v>
      </c>
    </row>
    <row r="5390" spans="2:8" x14ac:dyDescent="0.25">
      <c r="B5390">
        <v>1.3382000000000001</v>
      </c>
      <c r="C5390">
        <v>300</v>
      </c>
      <c r="D5390">
        <v>270</v>
      </c>
      <c r="E5390">
        <v>0.59630000000000005</v>
      </c>
      <c r="F5390">
        <v>1.677</v>
      </c>
      <c r="G5390">
        <v>759.2</v>
      </c>
      <c r="H5390">
        <v>1.3382000000000001</v>
      </c>
    </row>
    <row r="5391" spans="2:8" x14ac:dyDescent="0.25">
      <c r="B5391">
        <v>1.3423</v>
      </c>
      <c r="C5391">
        <v>305</v>
      </c>
      <c r="D5391">
        <v>270</v>
      </c>
      <c r="E5391">
        <v>0.59155999999999997</v>
      </c>
      <c r="F5391">
        <v>1.6903999999999999</v>
      </c>
      <c r="G5391">
        <v>762.29</v>
      </c>
      <c r="H5391">
        <v>1.3423</v>
      </c>
    </row>
    <row r="5392" spans="2:8" x14ac:dyDescent="0.25">
      <c r="B5392">
        <v>1.3463000000000001</v>
      </c>
      <c r="C5392">
        <v>310</v>
      </c>
      <c r="D5392">
        <v>270</v>
      </c>
      <c r="E5392">
        <v>0.58692</v>
      </c>
      <c r="F5392">
        <v>1.7038</v>
      </c>
      <c r="G5392">
        <v>765.37</v>
      </c>
      <c r="H5392">
        <v>1.3463000000000001</v>
      </c>
    </row>
    <row r="5393" spans="1:8" x14ac:dyDescent="0.25">
      <c r="B5393">
        <v>1.3503000000000001</v>
      </c>
      <c r="C5393">
        <v>315</v>
      </c>
      <c r="D5393">
        <v>270</v>
      </c>
      <c r="E5393">
        <v>0.58235999999999999</v>
      </c>
      <c r="F5393">
        <v>1.7171000000000001</v>
      </c>
      <c r="G5393">
        <v>768.45</v>
      </c>
      <c r="H5393">
        <v>1.3503000000000001</v>
      </c>
    </row>
    <row r="5394" spans="1:8" x14ac:dyDescent="0.25">
      <c r="B5394">
        <v>1.3542000000000001</v>
      </c>
      <c r="C5394">
        <v>320</v>
      </c>
      <c r="D5394">
        <v>270</v>
      </c>
      <c r="E5394">
        <v>0.57789000000000001</v>
      </c>
      <c r="F5394">
        <v>1.7303999999999999</v>
      </c>
      <c r="G5394">
        <v>771.53</v>
      </c>
      <c r="H5394">
        <v>1.3542000000000001</v>
      </c>
    </row>
    <row r="5395" spans="1:8" x14ac:dyDescent="0.25">
      <c r="B5395">
        <v>1.3582000000000001</v>
      </c>
      <c r="C5395">
        <v>325</v>
      </c>
      <c r="D5395">
        <v>270</v>
      </c>
      <c r="E5395">
        <v>0.57350000000000001</v>
      </c>
      <c r="F5395">
        <v>1.7437</v>
      </c>
      <c r="G5395">
        <v>774.61</v>
      </c>
      <c r="H5395">
        <v>1.3582000000000001</v>
      </c>
    </row>
    <row r="5396" spans="1:8" x14ac:dyDescent="0.25">
      <c r="B5396">
        <v>1.3621000000000001</v>
      </c>
      <c r="C5396">
        <v>330</v>
      </c>
      <c r="D5396">
        <v>270</v>
      </c>
      <c r="E5396">
        <v>0.56918999999999997</v>
      </c>
      <c r="F5396">
        <v>1.7568999999999999</v>
      </c>
      <c r="G5396">
        <v>777.68</v>
      </c>
      <c r="H5396">
        <v>1.3621000000000001</v>
      </c>
    </row>
    <row r="5397" spans="1:8" x14ac:dyDescent="0.25">
      <c r="B5397">
        <v>1.3660000000000001</v>
      </c>
      <c r="C5397">
        <v>335</v>
      </c>
      <c r="D5397">
        <v>270</v>
      </c>
      <c r="E5397">
        <v>0.56496000000000002</v>
      </c>
      <c r="F5397">
        <v>1.77</v>
      </c>
      <c r="G5397">
        <v>780.76</v>
      </c>
      <c r="H5397">
        <v>1.3660000000000001</v>
      </c>
    </row>
    <row r="5398" spans="1:8" x14ac:dyDescent="0.25">
      <c r="B5398">
        <v>1.3697999999999999</v>
      </c>
      <c r="C5398">
        <v>340</v>
      </c>
      <c r="D5398">
        <v>270</v>
      </c>
      <c r="E5398">
        <v>0.56079999999999997</v>
      </c>
      <c r="F5398">
        <v>1.7831999999999999</v>
      </c>
      <c r="G5398">
        <v>783.83</v>
      </c>
      <c r="H5398">
        <v>1.3697999999999999</v>
      </c>
    </row>
    <row r="5399" spans="1:8" x14ac:dyDescent="0.25">
      <c r="B5399">
        <v>1.3735999999999999</v>
      </c>
      <c r="C5399">
        <v>345</v>
      </c>
      <c r="D5399">
        <v>270</v>
      </c>
      <c r="E5399">
        <v>0.55671000000000004</v>
      </c>
      <c r="F5399">
        <v>1.7963</v>
      </c>
      <c r="G5399">
        <v>786.9</v>
      </c>
      <c r="H5399">
        <v>1.3735999999999999</v>
      </c>
    </row>
    <row r="5400" spans="1:8" x14ac:dyDescent="0.25">
      <c r="B5400">
        <v>1.3774999999999999</v>
      </c>
      <c r="C5400">
        <v>350</v>
      </c>
      <c r="D5400">
        <v>270</v>
      </c>
      <c r="E5400">
        <v>0.55269000000000001</v>
      </c>
      <c r="F5400">
        <v>1.8092999999999999</v>
      </c>
      <c r="G5400">
        <v>789.98</v>
      </c>
      <c r="H5400">
        <v>1.3774999999999999</v>
      </c>
    </row>
    <row r="5402" spans="1:8" x14ac:dyDescent="0.25">
      <c r="A5402">
        <v>275</v>
      </c>
      <c r="B5402">
        <v>9.5958000000000002E-2</v>
      </c>
      <c r="C5402">
        <v>0</v>
      </c>
      <c r="D5402">
        <v>275</v>
      </c>
      <c r="E5402">
        <v>41.405000000000001</v>
      </c>
      <c r="F5402">
        <v>2.4152E-2</v>
      </c>
      <c r="G5402">
        <v>43.326999999999998</v>
      </c>
      <c r="H5402">
        <v>9.5958000000000002E-2</v>
      </c>
    </row>
    <row r="5403" spans="1:8" x14ac:dyDescent="0.25">
      <c r="B5403">
        <v>0.10765</v>
      </c>
      <c r="C5403">
        <v>5</v>
      </c>
      <c r="D5403">
        <v>275</v>
      </c>
      <c r="E5403">
        <v>41.18</v>
      </c>
      <c r="F5403">
        <v>2.4284E-2</v>
      </c>
      <c r="G5403">
        <v>48.731000000000002</v>
      </c>
      <c r="H5403">
        <v>0.10765</v>
      </c>
    </row>
    <row r="5404" spans="1:8" x14ac:dyDescent="0.25">
      <c r="B5404">
        <v>0.11924999999999999</v>
      </c>
      <c r="C5404">
        <v>10</v>
      </c>
      <c r="D5404">
        <v>275</v>
      </c>
      <c r="E5404">
        <v>40.953000000000003</v>
      </c>
      <c r="F5404">
        <v>2.4417999999999999E-2</v>
      </c>
      <c r="G5404">
        <v>54.152000000000001</v>
      </c>
      <c r="H5404">
        <v>0.11924999999999999</v>
      </c>
    </row>
    <row r="5405" spans="1:8" x14ac:dyDescent="0.25">
      <c r="B5405">
        <v>0.13077</v>
      </c>
      <c r="C5405">
        <v>15</v>
      </c>
      <c r="D5405">
        <v>275</v>
      </c>
      <c r="E5405">
        <v>40.723999999999997</v>
      </c>
      <c r="F5405">
        <v>2.4556000000000001E-2</v>
      </c>
      <c r="G5405">
        <v>59.588999999999999</v>
      </c>
      <c r="H5405">
        <v>0.13077</v>
      </c>
    </row>
    <row r="5406" spans="1:8" x14ac:dyDescent="0.25">
      <c r="B5406">
        <v>0.14219999999999999</v>
      </c>
      <c r="C5406">
        <v>20</v>
      </c>
      <c r="D5406">
        <v>275</v>
      </c>
      <c r="E5406">
        <v>40.491999999999997</v>
      </c>
      <c r="F5406">
        <v>2.4695999999999999E-2</v>
      </c>
      <c r="G5406">
        <v>65.043000000000006</v>
      </c>
      <c r="H5406">
        <v>0.14219999999999999</v>
      </c>
    </row>
    <row r="5407" spans="1:8" x14ac:dyDescent="0.25">
      <c r="B5407">
        <v>0.15354999999999999</v>
      </c>
      <c r="C5407">
        <v>25</v>
      </c>
      <c r="D5407">
        <v>275</v>
      </c>
      <c r="E5407">
        <v>40.259</v>
      </c>
      <c r="F5407">
        <v>2.4839E-2</v>
      </c>
      <c r="G5407">
        <v>70.513000000000005</v>
      </c>
      <c r="H5407">
        <v>0.15354999999999999</v>
      </c>
    </row>
    <row r="5408" spans="1:8" x14ac:dyDescent="0.25">
      <c r="B5408">
        <v>0.16481000000000001</v>
      </c>
      <c r="C5408">
        <v>30</v>
      </c>
      <c r="D5408">
        <v>275</v>
      </c>
      <c r="E5408">
        <v>40.024000000000001</v>
      </c>
      <c r="F5408">
        <v>2.4985E-2</v>
      </c>
      <c r="G5408">
        <v>76.001999999999995</v>
      </c>
      <c r="H5408">
        <v>0.16481000000000001</v>
      </c>
    </row>
    <row r="5409" spans="2:8" x14ac:dyDescent="0.25">
      <c r="B5409">
        <v>0.17599999999999999</v>
      </c>
      <c r="C5409">
        <v>35</v>
      </c>
      <c r="D5409">
        <v>275</v>
      </c>
      <c r="E5409">
        <v>39.786000000000001</v>
      </c>
      <c r="F5409">
        <v>2.5135000000000001E-2</v>
      </c>
      <c r="G5409">
        <v>81.507999999999996</v>
      </c>
      <c r="H5409">
        <v>0.17599999999999999</v>
      </c>
    </row>
    <row r="5410" spans="2:8" x14ac:dyDescent="0.25">
      <c r="B5410">
        <v>0.18711</v>
      </c>
      <c r="C5410">
        <v>40</v>
      </c>
      <c r="D5410">
        <v>275</v>
      </c>
      <c r="E5410">
        <v>39.545999999999999</v>
      </c>
      <c r="F5410">
        <v>2.5287E-2</v>
      </c>
      <c r="G5410">
        <v>87.031999999999996</v>
      </c>
      <c r="H5410">
        <v>0.18711</v>
      </c>
    </row>
    <row r="5411" spans="2:8" x14ac:dyDescent="0.25">
      <c r="B5411">
        <v>0.19814999999999999</v>
      </c>
      <c r="C5411">
        <v>45</v>
      </c>
      <c r="D5411">
        <v>275</v>
      </c>
      <c r="E5411">
        <v>39.302999999999997</v>
      </c>
      <c r="F5411">
        <v>2.5443E-2</v>
      </c>
      <c r="G5411">
        <v>92.575999999999993</v>
      </c>
      <c r="H5411">
        <v>0.19814999999999999</v>
      </c>
    </row>
    <row r="5412" spans="2:8" x14ac:dyDescent="0.25">
      <c r="B5412">
        <v>0.20912</v>
      </c>
      <c r="C5412">
        <v>50</v>
      </c>
      <c r="D5412">
        <v>275</v>
      </c>
      <c r="E5412">
        <v>39.058</v>
      </c>
      <c r="F5412">
        <v>2.5603000000000001E-2</v>
      </c>
      <c r="G5412">
        <v>98.138999999999996</v>
      </c>
      <c r="H5412">
        <v>0.20912</v>
      </c>
    </row>
    <row r="5413" spans="2:8" x14ac:dyDescent="0.25">
      <c r="B5413">
        <v>0.22001999999999999</v>
      </c>
      <c r="C5413">
        <v>55</v>
      </c>
      <c r="D5413">
        <v>275</v>
      </c>
      <c r="E5413">
        <v>38.81</v>
      </c>
      <c r="F5413">
        <v>2.5767000000000002E-2</v>
      </c>
      <c r="G5413">
        <v>103.72</v>
      </c>
      <c r="H5413">
        <v>0.22001999999999999</v>
      </c>
    </row>
    <row r="5414" spans="2:8" x14ac:dyDescent="0.25">
      <c r="B5414">
        <v>0.23086000000000001</v>
      </c>
      <c r="C5414">
        <v>60</v>
      </c>
      <c r="D5414">
        <v>275</v>
      </c>
      <c r="E5414">
        <v>38.558999999999997</v>
      </c>
      <c r="F5414">
        <v>2.5933999999999999E-2</v>
      </c>
      <c r="G5414">
        <v>109.33</v>
      </c>
      <c r="H5414">
        <v>0.23086000000000001</v>
      </c>
    </row>
    <row r="5415" spans="2:8" x14ac:dyDescent="0.25">
      <c r="B5415">
        <v>0.24165</v>
      </c>
      <c r="C5415">
        <v>65</v>
      </c>
      <c r="D5415">
        <v>275</v>
      </c>
      <c r="E5415">
        <v>38.305</v>
      </c>
      <c r="F5415">
        <v>2.6106000000000001E-2</v>
      </c>
      <c r="G5415">
        <v>114.96</v>
      </c>
      <c r="H5415">
        <v>0.24165</v>
      </c>
    </row>
    <row r="5416" spans="2:8" x14ac:dyDescent="0.25">
      <c r="B5416">
        <v>0.25236999999999998</v>
      </c>
      <c r="C5416">
        <v>70</v>
      </c>
      <c r="D5416">
        <v>275</v>
      </c>
      <c r="E5416">
        <v>38.048000000000002</v>
      </c>
      <c r="F5416">
        <v>2.6283000000000001E-2</v>
      </c>
      <c r="G5416">
        <v>120.61</v>
      </c>
      <c r="H5416">
        <v>0.25236999999999998</v>
      </c>
    </row>
    <row r="5417" spans="2:8" x14ac:dyDescent="0.25">
      <c r="B5417">
        <v>0.26304</v>
      </c>
      <c r="C5417">
        <v>75</v>
      </c>
      <c r="D5417">
        <v>275</v>
      </c>
      <c r="E5417">
        <v>37.786999999999999</v>
      </c>
      <c r="F5417">
        <v>2.6464000000000001E-2</v>
      </c>
      <c r="G5417">
        <v>126.29</v>
      </c>
      <c r="H5417">
        <v>0.26304</v>
      </c>
    </row>
    <row r="5418" spans="2:8" x14ac:dyDescent="0.25">
      <c r="B5418">
        <v>0.27367000000000002</v>
      </c>
      <c r="C5418">
        <v>80</v>
      </c>
      <c r="D5418">
        <v>275</v>
      </c>
      <c r="E5418">
        <v>37.523000000000003</v>
      </c>
      <c r="F5418">
        <v>2.665E-2</v>
      </c>
      <c r="G5418">
        <v>132</v>
      </c>
      <c r="H5418">
        <v>0.27367000000000002</v>
      </c>
    </row>
    <row r="5419" spans="2:8" x14ac:dyDescent="0.25">
      <c r="B5419">
        <v>0.28425</v>
      </c>
      <c r="C5419">
        <v>85</v>
      </c>
      <c r="D5419">
        <v>275</v>
      </c>
      <c r="E5419">
        <v>37.255000000000003</v>
      </c>
      <c r="F5419">
        <v>2.6842000000000001E-2</v>
      </c>
      <c r="G5419">
        <v>137.74</v>
      </c>
      <c r="H5419">
        <v>0.28425</v>
      </c>
    </row>
    <row r="5420" spans="2:8" x14ac:dyDescent="0.25">
      <c r="B5420">
        <v>0.29479</v>
      </c>
      <c r="C5420">
        <v>90</v>
      </c>
      <c r="D5420">
        <v>275</v>
      </c>
      <c r="E5420">
        <v>36.984000000000002</v>
      </c>
      <c r="F5420">
        <v>2.7039000000000001E-2</v>
      </c>
      <c r="G5420">
        <v>143.5</v>
      </c>
      <c r="H5420">
        <v>0.29479</v>
      </c>
    </row>
    <row r="5421" spans="2:8" x14ac:dyDescent="0.25">
      <c r="B5421">
        <v>0.30529000000000001</v>
      </c>
      <c r="C5421">
        <v>95</v>
      </c>
      <c r="D5421">
        <v>275</v>
      </c>
      <c r="E5421">
        <v>36.707000000000001</v>
      </c>
      <c r="F5421">
        <v>2.7243E-2</v>
      </c>
      <c r="G5421">
        <v>149.30000000000001</v>
      </c>
      <c r="H5421">
        <v>0.30529000000000001</v>
      </c>
    </row>
    <row r="5422" spans="2:8" x14ac:dyDescent="0.25">
      <c r="B5422">
        <v>0.31575999999999999</v>
      </c>
      <c r="C5422">
        <v>100</v>
      </c>
      <c r="D5422">
        <v>275</v>
      </c>
      <c r="E5422">
        <v>36.426000000000002</v>
      </c>
      <c r="F5422">
        <v>2.7453000000000002E-2</v>
      </c>
      <c r="G5422">
        <v>155.13999999999999</v>
      </c>
      <c r="H5422">
        <v>0.31575999999999999</v>
      </c>
    </row>
    <row r="5423" spans="2:8" x14ac:dyDescent="0.25">
      <c r="B5423">
        <v>0.32621</v>
      </c>
      <c r="C5423">
        <v>105</v>
      </c>
      <c r="D5423">
        <v>275</v>
      </c>
      <c r="E5423">
        <v>36.140999999999998</v>
      </c>
      <c r="F5423">
        <v>2.767E-2</v>
      </c>
      <c r="G5423">
        <v>161.01</v>
      </c>
      <c r="H5423">
        <v>0.32621</v>
      </c>
    </row>
    <row r="5424" spans="2:8" x14ac:dyDescent="0.25">
      <c r="B5424">
        <v>0.33663999999999999</v>
      </c>
      <c r="C5424">
        <v>110</v>
      </c>
      <c r="D5424">
        <v>275</v>
      </c>
      <c r="E5424">
        <v>35.85</v>
      </c>
      <c r="F5424">
        <v>2.7893999999999999E-2</v>
      </c>
      <c r="G5424">
        <v>166.93</v>
      </c>
      <c r="H5424">
        <v>0.33663999999999999</v>
      </c>
    </row>
    <row r="5425" spans="2:8" x14ac:dyDescent="0.25">
      <c r="B5425">
        <v>0.34705999999999998</v>
      </c>
      <c r="C5425">
        <v>115</v>
      </c>
      <c r="D5425">
        <v>275</v>
      </c>
      <c r="E5425">
        <v>35.552999999999997</v>
      </c>
      <c r="F5425">
        <v>2.8126999999999999E-2</v>
      </c>
      <c r="G5425">
        <v>172.89</v>
      </c>
      <c r="H5425">
        <v>0.34705999999999998</v>
      </c>
    </row>
    <row r="5426" spans="2:8" x14ac:dyDescent="0.25">
      <c r="B5426">
        <v>1.1494</v>
      </c>
      <c r="C5426">
        <v>120</v>
      </c>
      <c r="D5426">
        <v>275</v>
      </c>
      <c r="E5426">
        <v>0.90810000000000002</v>
      </c>
      <c r="F5426">
        <v>1.1012</v>
      </c>
      <c r="G5426">
        <v>635.71</v>
      </c>
      <c r="H5426">
        <v>1.1494</v>
      </c>
    </row>
    <row r="5427" spans="2:8" x14ac:dyDescent="0.25">
      <c r="B5427">
        <v>1.1568000000000001</v>
      </c>
      <c r="C5427">
        <v>125</v>
      </c>
      <c r="D5427">
        <v>275</v>
      </c>
      <c r="E5427">
        <v>0.89266000000000001</v>
      </c>
      <c r="F5427">
        <v>1.1202000000000001</v>
      </c>
      <c r="G5427">
        <v>640.02</v>
      </c>
      <c r="H5427">
        <v>1.1568000000000001</v>
      </c>
    </row>
    <row r="5428" spans="2:8" x14ac:dyDescent="0.25">
      <c r="B5428">
        <v>1.1638999999999999</v>
      </c>
      <c r="C5428">
        <v>130</v>
      </c>
      <c r="D5428">
        <v>275</v>
      </c>
      <c r="E5428">
        <v>0.87812000000000001</v>
      </c>
      <c r="F5428">
        <v>1.1388</v>
      </c>
      <c r="G5428">
        <v>644.21</v>
      </c>
      <c r="H5428">
        <v>1.1638999999999999</v>
      </c>
    </row>
    <row r="5429" spans="2:8" x14ac:dyDescent="0.25">
      <c r="B5429">
        <v>1.1708000000000001</v>
      </c>
      <c r="C5429">
        <v>135</v>
      </c>
      <c r="D5429">
        <v>275</v>
      </c>
      <c r="E5429">
        <v>0.86436999999999997</v>
      </c>
      <c r="F5429">
        <v>1.1569</v>
      </c>
      <c r="G5429">
        <v>648.28</v>
      </c>
      <c r="H5429">
        <v>1.1708000000000001</v>
      </c>
    </row>
    <row r="5430" spans="2:8" x14ac:dyDescent="0.25">
      <c r="B5430">
        <v>1.1775</v>
      </c>
      <c r="C5430">
        <v>140</v>
      </c>
      <c r="D5430">
        <v>275</v>
      </c>
      <c r="E5430">
        <v>0.85133999999999999</v>
      </c>
      <c r="F5430">
        <v>1.1746000000000001</v>
      </c>
      <c r="G5430">
        <v>652.26</v>
      </c>
      <c r="H5430">
        <v>1.1775</v>
      </c>
    </row>
    <row r="5431" spans="2:8" x14ac:dyDescent="0.25">
      <c r="B5431">
        <v>1.1839</v>
      </c>
      <c r="C5431">
        <v>145</v>
      </c>
      <c r="D5431">
        <v>275</v>
      </c>
      <c r="E5431">
        <v>0.83894999999999997</v>
      </c>
      <c r="F5431">
        <v>1.1919999999999999</v>
      </c>
      <c r="G5431">
        <v>656.16</v>
      </c>
      <c r="H5431">
        <v>1.1839</v>
      </c>
    </row>
    <row r="5432" spans="2:8" x14ac:dyDescent="0.25">
      <c r="B5432">
        <v>1.1901999999999999</v>
      </c>
      <c r="C5432">
        <v>150</v>
      </c>
      <c r="D5432">
        <v>275</v>
      </c>
      <c r="E5432">
        <v>0.82713000000000003</v>
      </c>
      <c r="F5432">
        <v>1.2090000000000001</v>
      </c>
      <c r="G5432">
        <v>659.97</v>
      </c>
      <c r="H5432">
        <v>1.1901999999999999</v>
      </c>
    </row>
    <row r="5433" spans="2:8" x14ac:dyDescent="0.25">
      <c r="B5433">
        <v>1.1963999999999999</v>
      </c>
      <c r="C5433">
        <v>155</v>
      </c>
      <c r="D5433">
        <v>275</v>
      </c>
      <c r="E5433">
        <v>0.81584000000000001</v>
      </c>
      <c r="F5433">
        <v>1.2257</v>
      </c>
      <c r="G5433">
        <v>663.72</v>
      </c>
      <c r="H5433">
        <v>1.1963999999999999</v>
      </c>
    </row>
    <row r="5434" spans="2:8" x14ac:dyDescent="0.25">
      <c r="B5434">
        <v>1.2022999999999999</v>
      </c>
      <c r="C5434">
        <v>160</v>
      </c>
      <c r="D5434">
        <v>275</v>
      </c>
      <c r="E5434">
        <v>0.80503000000000002</v>
      </c>
      <c r="F5434">
        <v>1.2422</v>
      </c>
      <c r="G5434">
        <v>667.41</v>
      </c>
      <c r="H5434">
        <v>1.2022999999999999</v>
      </c>
    </row>
    <row r="5435" spans="2:8" x14ac:dyDescent="0.25">
      <c r="B5435">
        <v>1.2081999999999999</v>
      </c>
      <c r="C5435">
        <v>165</v>
      </c>
      <c r="D5435">
        <v>275</v>
      </c>
      <c r="E5435">
        <v>0.79464999999999997</v>
      </c>
      <c r="F5435">
        <v>1.2584</v>
      </c>
      <c r="G5435">
        <v>671.04</v>
      </c>
      <c r="H5435">
        <v>1.2081999999999999</v>
      </c>
    </row>
    <row r="5436" spans="2:8" x14ac:dyDescent="0.25">
      <c r="B5436">
        <v>1.2139</v>
      </c>
      <c r="C5436">
        <v>170</v>
      </c>
      <c r="D5436">
        <v>275</v>
      </c>
      <c r="E5436">
        <v>0.78468000000000004</v>
      </c>
      <c r="F5436">
        <v>1.2744</v>
      </c>
      <c r="G5436">
        <v>674.61</v>
      </c>
      <c r="H5436">
        <v>1.2139</v>
      </c>
    </row>
    <row r="5437" spans="2:8" x14ac:dyDescent="0.25">
      <c r="B5437">
        <v>1.2194</v>
      </c>
      <c r="C5437">
        <v>175</v>
      </c>
      <c r="D5437">
        <v>275</v>
      </c>
      <c r="E5437">
        <v>0.77508999999999995</v>
      </c>
      <c r="F5437">
        <v>1.2902</v>
      </c>
      <c r="G5437">
        <v>678.14</v>
      </c>
      <c r="H5437">
        <v>1.2194</v>
      </c>
    </row>
    <row r="5438" spans="2:8" x14ac:dyDescent="0.25">
      <c r="B5438">
        <v>1.2249000000000001</v>
      </c>
      <c r="C5438">
        <v>180</v>
      </c>
      <c r="D5438">
        <v>275</v>
      </c>
      <c r="E5438">
        <v>0.76583000000000001</v>
      </c>
      <c r="F5438">
        <v>1.3058000000000001</v>
      </c>
      <c r="G5438">
        <v>681.63</v>
      </c>
      <c r="H5438">
        <v>1.2249000000000001</v>
      </c>
    </row>
    <row r="5439" spans="2:8" x14ac:dyDescent="0.25">
      <c r="B5439">
        <v>1.2302999999999999</v>
      </c>
      <c r="C5439">
        <v>185</v>
      </c>
      <c r="D5439">
        <v>275</v>
      </c>
      <c r="E5439">
        <v>0.75690000000000002</v>
      </c>
      <c r="F5439">
        <v>1.3211999999999999</v>
      </c>
      <c r="G5439">
        <v>685.08</v>
      </c>
      <c r="H5439">
        <v>1.2302999999999999</v>
      </c>
    </row>
    <row r="5440" spans="2:8" x14ac:dyDescent="0.25">
      <c r="B5440">
        <v>1.2356</v>
      </c>
      <c r="C5440">
        <v>190</v>
      </c>
      <c r="D5440">
        <v>275</v>
      </c>
      <c r="E5440">
        <v>0.74826999999999999</v>
      </c>
      <c r="F5440">
        <v>1.3364</v>
      </c>
      <c r="G5440">
        <v>688.5</v>
      </c>
      <c r="H5440">
        <v>1.2356</v>
      </c>
    </row>
    <row r="5441" spans="2:8" x14ac:dyDescent="0.25">
      <c r="B5441">
        <v>1.2407999999999999</v>
      </c>
      <c r="C5441">
        <v>195</v>
      </c>
      <c r="D5441">
        <v>275</v>
      </c>
      <c r="E5441">
        <v>0.73992000000000002</v>
      </c>
      <c r="F5441">
        <v>1.3514999999999999</v>
      </c>
      <c r="G5441">
        <v>691.89</v>
      </c>
      <c r="H5441">
        <v>1.2407999999999999</v>
      </c>
    </row>
    <row r="5442" spans="2:8" x14ac:dyDescent="0.25">
      <c r="B5442">
        <v>1.2459</v>
      </c>
      <c r="C5442">
        <v>200</v>
      </c>
      <c r="D5442">
        <v>275</v>
      </c>
      <c r="E5442">
        <v>0.73182999999999998</v>
      </c>
      <c r="F5442">
        <v>1.3664000000000001</v>
      </c>
      <c r="G5442">
        <v>695.24</v>
      </c>
      <c r="H5442">
        <v>1.2459</v>
      </c>
    </row>
    <row r="5443" spans="2:8" x14ac:dyDescent="0.25">
      <c r="B5443">
        <v>1.2508999999999999</v>
      </c>
      <c r="C5443">
        <v>205</v>
      </c>
      <c r="D5443">
        <v>275</v>
      </c>
      <c r="E5443">
        <v>0.72399000000000002</v>
      </c>
      <c r="F5443">
        <v>1.3812</v>
      </c>
      <c r="G5443">
        <v>698.57</v>
      </c>
      <c r="H5443">
        <v>1.2508999999999999</v>
      </c>
    </row>
    <row r="5444" spans="2:8" x14ac:dyDescent="0.25">
      <c r="B5444">
        <v>1.2558</v>
      </c>
      <c r="C5444">
        <v>210</v>
      </c>
      <c r="D5444">
        <v>275</v>
      </c>
      <c r="E5444">
        <v>0.71638000000000002</v>
      </c>
      <c r="F5444">
        <v>1.3958999999999999</v>
      </c>
      <c r="G5444">
        <v>701.87</v>
      </c>
      <c r="H5444">
        <v>1.2558</v>
      </c>
    </row>
    <row r="5445" spans="2:8" x14ac:dyDescent="0.25">
      <c r="B5445">
        <v>1.2606999999999999</v>
      </c>
      <c r="C5445">
        <v>215</v>
      </c>
      <c r="D5445">
        <v>275</v>
      </c>
      <c r="E5445">
        <v>0.70898000000000005</v>
      </c>
      <c r="F5445">
        <v>1.4105000000000001</v>
      </c>
      <c r="G5445">
        <v>705.15</v>
      </c>
      <c r="H5445">
        <v>1.2606999999999999</v>
      </c>
    </row>
    <row r="5446" spans="2:8" x14ac:dyDescent="0.25">
      <c r="B5446">
        <v>1.2655000000000001</v>
      </c>
      <c r="C5446">
        <v>220</v>
      </c>
      <c r="D5446">
        <v>275</v>
      </c>
      <c r="E5446">
        <v>0.70179999999999998</v>
      </c>
      <c r="F5446">
        <v>1.4249000000000001</v>
      </c>
      <c r="G5446">
        <v>708.41</v>
      </c>
      <c r="H5446">
        <v>1.2655000000000001</v>
      </c>
    </row>
    <row r="5447" spans="2:8" x14ac:dyDescent="0.25">
      <c r="B5447">
        <v>1.2703</v>
      </c>
      <c r="C5447">
        <v>225</v>
      </c>
      <c r="D5447">
        <v>275</v>
      </c>
      <c r="E5447">
        <v>0.69481000000000004</v>
      </c>
      <c r="F5447">
        <v>1.4393</v>
      </c>
      <c r="G5447">
        <v>711.66</v>
      </c>
      <c r="H5447">
        <v>1.2703</v>
      </c>
    </row>
    <row r="5448" spans="2:8" x14ac:dyDescent="0.25">
      <c r="B5448">
        <v>1.2749999999999999</v>
      </c>
      <c r="C5448">
        <v>230</v>
      </c>
      <c r="D5448">
        <v>275</v>
      </c>
      <c r="E5448">
        <v>0.68799999999999994</v>
      </c>
      <c r="F5448">
        <v>1.4535</v>
      </c>
      <c r="G5448">
        <v>714.88</v>
      </c>
      <c r="H5448">
        <v>1.2749999999999999</v>
      </c>
    </row>
    <row r="5449" spans="2:8" x14ac:dyDescent="0.25">
      <c r="B5449">
        <v>1.2796000000000001</v>
      </c>
      <c r="C5449">
        <v>235</v>
      </c>
      <c r="D5449">
        <v>275</v>
      </c>
      <c r="E5449">
        <v>0.68137000000000003</v>
      </c>
      <c r="F5449">
        <v>1.4676</v>
      </c>
      <c r="G5449">
        <v>718.09</v>
      </c>
      <c r="H5449">
        <v>1.2796000000000001</v>
      </c>
    </row>
    <row r="5450" spans="2:8" x14ac:dyDescent="0.25">
      <c r="B5450">
        <v>1.2842</v>
      </c>
      <c r="C5450">
        <v>240</v>
      </c>
      <c r="D5450">
        <v>275</v>
      </c>
      <c r="E5450">
        <v>0.67491000000000001</v>
      </c>
      <c r="F5450">
        <v>1.4817</v>
      </c>
      <c r="G5450">
        <v>721.29</v>
      </c>
      <c r="H5450">
        <v>1.2842</v>
      </c>
    </row>
    <row r="5451" spans="2:8" x14ac:dyDescent="0.25">
      <c r="B5451">
        <v>1.2887</v>
      </c>
      <c r="C5451">
        <v>245</v>
      </c>
      <c r="D5451">
        <v>275</v>
      </c>
      <c r="E5451">
        <v>0.66861000000000004</v>
      </c>
      <c r="F5451">
        <v>1.4956</v>
      </c>
      <c r="G5451">
        <v>724.47</v>
      </c>
      <c r="H5451">
        <v>1.2887</v>
      </c>
    </row>
    <row r="5452" spans="2:8" x14ac:dyDescent="0.25">
      <c r="B5452">
        <v>1.2931999999999999</v>
      </c>
      <c r="C5452">
        <v>250</v>
      </c>
      <c r="D5452">
        <v>275</v>
      </c>
      <c r="E5452">
        <v>0.66246000000000005</v>
      </c>
      <c r="F5452">
        <v>1.5095000000000001</v>
      </c>
      <c r="G5452">
        <v>727.64</v>
      </c>
      <c r="H5452">
        <v>1.2931999999999999</v>
      </c>
    </row>
    <row r="5453" spans="2:8" x14ac:dyDescent="0.25">
      <c r="B5453">
        <v>1.2977000000000001</v>
      </c>
      <c r="C5453">
        <v>255</v>
      </c>
      <c r="D5453">
        <v>275</v>
      </c>
      <c r="E5453">
        <v>0.65644999999999998</v>
      </c>
      <c r="F5453">
        <v>1.5233000000000001</v>
      </c>
      <c r="G5453">
        <v>730.79</v>
      </c>
      <c r="H5453">
        <v>1.2977000000000001</v>
      </c>
    </row>
    <row r="5454" spans="2:8" x14ac:dyDescent="0.25">
      <c r="B5454">
        <v>1.302</v>
      </c>
      <c r="C5454">
        <v>260</v>
      </c>
      <c r="D5454">
        <v>275</v>
      </c>
      <c r="E5454">
        <v>0.65059</v>
      </c>
      <c r="F5454">
        <v>1.5370999999999999</v>
      </c>
      <c r="G5454">
        <v>733.94</v>
      </c>
      <c r="H5454">
        <v>1.302</v>
      </c>
    </row>
    <row r="5455" spans="2:8" x14ac:dyDescent="0.25">
      <c r="B5455">
        <v>1.3064</v>
      </c>
      <c r="C5455">
        <v>265</v>
      </c>
      <c r="D5455">
        <v>275</v>
      </c>
      <c r="E5455">
        <v>0.64485000000000003</v>
      </c>
      <c r="F5455">
        <v>1.5507</v>
      </c>
      <c r="G5455">
        <v>737.08</v>
      </c>
      <c r="H5455">
        <v>1.3064</v>
      </c>
    </row>
    <row r="5456" spans="2:8" x14ac:dyDescent="0.25">
      <c r="B5456">
        <v>1.3107</v>
      </c>
      <c r="C5456">
        <v>270</v>
      </c>
      <c r="D5456">
        <v>275</v>
      </c>
      <c r="E5456">
        <v>0.63924999999999998</v>
      </c>
      <c r="F5456">
        <v>1.5643</v>
      </c>
      <c r="G5456">
        <v>740.21</v>
      </c>
      <c r="H5456">
        <v>1.3107</v>
      </c>
    </row>
    <row r="5457" spans="2:8" x14ac:dyDescent="0.25">
      <c r="B5457">
        <v>1.3149999999999999</v>
      </c>
      <c r="C5457">
        <v>275</v>
      </c>
      <c r="D5457">
        <v>275</v>
      </c>
      <c r="E5457">
        <v>0.63375999999999999</v>
      </c>
      <c r="F5457">
        <v>1.5779000000000001</v>
      </c>
      <c r="G5457">
        <v>743.34</v>
      </c>
      <c r="H5457">
        <v>1.3149999999999999</v>
      </c>
    </row>
    <row r="5458" spans="2:8" x14ac:dyDescent="0.25">
      <c r="B5458">
        <v>1.3191999999999999</v>
      </c>
      <c r="C5458">
        <v>280</v>
      </c>
      <c r="D5458">
        <v>275</v>
      </c>
      <c r="E5458">
        <v>0.62839</v>
      </c>
      <c r="F5458">
        <v>1.5913999999999999</v>
      </c>
      <c r="G5458">
        <v>746.45</v>
      </c>
      <c r="H5458">
        <v>1.3191999999999999</v>
      </c>
    </row>
    <row r="5459" spans="2:8" x14ac:dyDescent="0.25">
      <c r="B5459">
        <v>1.3233999999999999</v>
      </c>
      <c r="C5459">
        <v>285</v>
      </c>
      <c r="D5459">
        <v>275</v>
      </c>
      <c r="E5459">
        <v>0.62314000000000003</v>
      </c>
      <c r="F5459">
        <v>1.6048</v>
      </c>
      <c r="G5459">
        <v>749.56</v>
      </c>
      <c r="H5459">
        <v>1.3233999999999999</v>
      </c>
    </row>
    <row r="5460" spans="2:8" x14ac:dyDescent="0.25">
      <c r="B5460">
        <v>1.3274999999999999</v>
      </c>
      <c r="C5460">
        <v>290</v>
      </c>
      <c r="D5460">
        <v>275</v>
      </c>
      <c r="E5460">
        <v>0.61799000000000004</v>
      </c>
      <c r="F5460">
        <v>1.6181000000000001</v>
      </c>
      <c r="G5460">
        <v>752.67</v>
      </c>
      <c r="H5460">
        <v>1.3274999999999999</v>
      </c>
    </row>
    <row r="5461" spans="2:8" x14ac:dyDescent="0.25">
      <c r="B5461">
        <v>1.3317000000000001</v>
      </c>
      <c r="C5461">
        <v>295</v>
      </c>
      <c r="D5461">
        <v>275</v>
      </c>
      <c r="E5461">
        <v>0.61294999999999999</v>
      </c>
      <c r="F5461">
        <v>1.6315</v>
      </c>
      <c r="G5461">
        <v>755.77</v>
      </c>
      <c r="H5461">
        <v>1.3317000000000001</v>
      </c>
    </row>
    <row r="5462" spans="2:8" x14ac:dyDescent="0.25">
      <c r="B5462">
        <v>1.3358000000000001</v>
      </c>
      <c r="C5462">
        <v>300</v>
      </c>
      <c r="D5462">
        <v>275</v>
      </c>
      <c r="E5462">
        <v>0.60801000000000005</v>
      </c>
      <c r="F5462">
        <v>1.6447000000000001</v>
      </c>
      <c r="G5462">
        <v>758.86</v>
      </c>
      <c r="H5462">
        <v>1.3358000000000001</v>
      </c>
    </row>
    <row r="5463" spans="2:8" x14ac:dyDescent="0.25">
      <c r="B5463">
        <v>1.3398000000000001</v>
      </c>
      <c r="C5463">
        <v>305</v>
      </c>
      <c r="D5463">
        <v>275</v>
      </c>
      <c r="E5463">
        <v>0.60316000000000003</v>
      </c>
      <c r="F5463">
        <v>1.6578999999999999</v>
      </c>
      <c r="G5463">
        <v>761.96</v>
      </c>
      <c r="H5463">
        <v>1.3398000000000001</v>
      </c>
    </row>
    <row r="5464" spans="2:8" x14ac:dyDescent="0.25">
      <c r="B5464">
        <v>1.3438000000000001</v>
      </c>
      <c r="C5464">
        <v>310</v>
      </c>
      <c r="D5464">
        <v>275</v>
      </c>
      <c r="E5464">
        <v>0.59841</v>
      </c>
      <c r="F5464">
        <v>1.6711</v>
      </c>
      <c r="G5464">
        <v>765.05</v>
      </c>
      <c r="H5464">
        <v>1.3438000000000001</v>
      </c>
    </row>
    <row r="5465" spans="2:8" x14ac:dyDescent="0.25">
      <c r="B5465">
        <v>1.3478000000000001</v>
      </c>
      <c r="C5465">
        <v>315</v>
      </c>
      <c r="D5465">
        <v>275</v>
      </c>
      <c r="E5465">
        <v>0.59375</v>
      </c>
      <c r="F5465">
        <v>1.6841999999999999</v>
      </c>
      <c r="G5465">
        <v>768.13</v>
      </c>
      <c r="H5465">
        <v>1.3478000000000001</v>
      </c>
    </row>
    <row r="5466" spans="2:8" x14ac:dyDescent="0.25">
      <c r="B5466">
        <v>1.3517999999999999</v>
      </c>
      <c r="C5466">
        <v>320</v>
      </c>
      <c r="D5466">
        <v>275</v>
      </c>
      <c r="E5466">
        <v>0.58916999999999997</v>
      </c>
      <c r="F5466">
        <v>1.6973</v>
      </c>
      <c r="G5466">
        <v>771.22</v>
      </c>
      <c r="H5466">
        <v>1.3517999999999999</v>
      </c>
    </row>
    <row r="5467" spans="2:8" x14ac:dyDescent="0.25">
      <c r="B5467">
        <v>1.3556999999999999</v>
      </c>
      <c r="C5467">
        <v>325</v>
      </c>
      <c r="D5467">
        <v>275</v>
      </c>
      <c r="E5467">
        <v>0.58467999999999998</v>
      </c>
      <c r="F5467">
        <v>1.7102999999999999</v>
      </c>
      <c r="G5467">
        <v>774.3</v>
      </c>
      <c r="H5467">
        <v>1.3556999999999999</v>
      </c>
    </row>
    <row r="5468" spans="2:8" x14ac:dyDescent="0.25">
      <c r="B5468">
        <v>1.3596999999999999</v>
      </c>
      <c r="C5468">
        <v>330</v>
      </c>
      <c r="D5468">
        <v>275</v>
      </c>
      <c r="E5468">
        <v>0.58026999999999995</v>
      </c>
      <c r="F5468">
        <v>1.7233000000000001</v>
      </c>
      <c r="G5468">
        <v>777.38</v>
      </c>
      <c r="H5468">
        <v>1.3596999999999999</v>
      </c>
    </row>
    <row r="5469" spans="2:8" x14ac:dyDescent="0.25">
      <c r="B5469">
        <v>1.3634999999999999</v>
      </c>
      <c r="C5469">
        <v>335</v>
      </c>
      <c r="D5469">
        <v>275</v>
      </c>
      <c r="E5469">
        <v>0.57594000000000001</v>
      </c>
      <c r="F5469">
        <v>1.7363</v>
      </c>
      <c r="G5469">
        <v>780.46</v>
      </c>
      <c r="H5469">
        <v>1.3634999999999999</v>
      </c>
    </row>
    <row r="5470" spans="2:8" x14ac:dyDescent="0.25">
      <c r="B5470">
        <v>1.3673999999999999</v>
      </c>
      <c r="C5470">
        <v>340</v>
      </c>
      <c r="D5470">
        <v>275</v>
      </c>
      <c r="E5470">
        <v>0.57169000000000003</v>
      </c>
      <c r="F5470">
        <v>1.7492000000000001</v>
      </c>
      <c r="G5470">
        <v>783.54</v>
      </c>
      <c r="H5470">
        <v>1.3673999999999999</v>
      </c>
    </row>
    <row r="5471" spans="2:8" x14ac:dyDescent="0.25">
      <c r="B5471">
        <v>1.3712</v>
      </c>
      <c r="C5471">
        <v>345</v>
      </c>
      <c r="D5471">
        <v>275</v>
      </c>
      <c r="E5471">
        <v>0.56750999999999996</v>
      </c>
      <c r="F5471">
        <v>1.7621</v>
      </c>
      <c r="G5471">
        <v>786.62</v>
      </c>
      <c r="H5471">
        <v>1.3712</v>
      </c>
    </row>
    <row r="5472" spans="2:8" x14ac:dyDescent="0.25">
      <c r="B5472">
        <v>1.3751</v>
      </c>
      <c r="C5472">
        <v>350</v>
      </c>
      <c r="D5472">
        <v>275</v>
      </c>
      <c r="E5472">
        <v>0.56340000000000001</v>
      </c>
      <c r="F5472">
        <v>1.7748999999999999</v>
      </c>
      <c r="G5472">
        <v>789.69</v>
      </c>
      <c r="H5472">
        <v>1.3751</v>
      </c>
    </row>
    <row r="5474" spans="1:8" x14ac:dyDescent="0.25">
      <c r="A5474">
        <v>280</v>
      </c>
      <c r="B5474">
        <v>9.5933000000000004E-2</v>
      </c>
      <c r="C5474">
        <v>0</v>
      </c>
      <c r="D5474">
        <v>280</v>
      </c>
      <c r="E5474">
        <v>41.405999999999999</v>
      </c>
      <c r="F5474">
        <v>2.4150999999999999E-2</v>
      </c>
      <c r="G5474">
        <v>43.338000000000001</v>
      </c>
      <c r="H5474">
        <v>9.5933000000000004E-2</v>
      </c>
    </row>
    <row r="5475" spans="1:8" x14ac:dyDescent="0.25">
      <c r="B5475">
        <v>0.10763</v>
      </c>
      <c r="C5475">
        <v>5</v>
      </c>
      <c r="D5475">
        <v>280</v>
      </c>
      <c r="E5475">
        <v>41.180999999999997</v>
      </c>
      <c r="F5475">
        <v>2.4282999999999999E-2</v>
      </c>
      <c r="G5475">
        <v>48.741999999999997</v>
      </c>
      <c r="H5475">
        <v>0.10763</v>
      </c>
    </row>
    <row r="5476" spans="1:8" x14ac:dyDescent="0.25">
      <c r="B5476">
        <v>0.11923</v>
      </c>
      <c r="C5476">
        <v>10</v>
      </c>
      <c r="D5476">
        <v>280</v>
      </c>
      <c r="E5476">
        <v>40.954000000000001</v>
      </c>
      <c r="F5476">
        <v>2.4417999999999999E-2</v>
      </c>
      <c r="G5476">
        <v>54.162999999999997</v>
      </c>
      <c r="H5476">
        <v>0.11923</v>
      </c>
    </row>
    <row r="5477" spans="1:8" x14ac:dyDescent="0.25">
      <c r="B5477">
        <v>0.13074</v>
      </c>
      <c r="C5477">
        <v>15</v>
      </c>
      <c r="D5477">
        <v>280</v>
      </c>
      <c r="E5477">
        <v>40.725000000000001</v>
      </c>
      <c r="F5477">
        <v>2.4555E-2</v>
      </c>
      <c r="G5477">
        <v>59.6</v>
      </c>
      <c r="H5477">
        <v>0.13074</v>
      </c>
    </row>
    <row r="5478" spans="1:8" x14ac:dyDescent="0.25">
      <c r="B5478">
        <v>0.14216999999999999</v>
      </c>
      <c r="C5478">
        <v>20</v>
      </c>
      <c r="D5478">
        <v>280</v>
      </c>
      <c r="E5478">
        <v>40.494</v>
      </c>
      <c r="F5478">
        <v>2.4695000000000002E-2</v>
      </c>
      <c r="G5478">
        <v>65.052999999999997</v>
      </c>
      <c r="H5478">
        <v>0.14216999999999999</v>
      </c>
    </row>
    <row r="5479" spans="1:8" x14ac:dyDescent="0.25">
      <c r="B5479">
        <v>0.15351999999999999</v>
      </c>
      <c r="C5479">
        <v>25</v>
      </c>
      <c r="D5479">
        <v>280</v>
      </c>
      <c r="E5479">
        <v>40.261000000000003</v>
      </c>
      <c r="F5479">
        <v>2.4837999999999999E-2</v>
      </c>
      <c r="G5479">
        <v>70.522999999999996</v>
      </c>
      <c r="H5479">
        <v>0.15351999999999999</v>
      </c>
    </row>
    <row r="5480" spans="1:8" x14ac:dyDescent="0.25">
      <c r="B5480">
        <v>0.16478000000000001</v>
      </c>
      <c r="C5480">
        <v>30</v>
      </c>
      <c r="D5480">
        <v>280</v>
      </c>
      <c r="E5480">
        <v>40.024999999999999</v>
      </c>
      <c r="F5480">
        <v>2.4983999999999999E-2</v>
      </c>
      <c r="G5480">
        <v>76.010999999999996</v>
      </c>
      <c r="H5480">
        <v>0.16478000000000001</v>
      </c>
    </row>
    <row r="5481" spans="1:8" x14ac:dyDescent="0.25">
      <c r="B5481">
        <v>0.17596999999999999</v>
      </c>
      <c r="C5481">
        <v>35</v>
      </c>
      <c r="D5481">
        <v>280</v>
      </c>
      <c r="E5481">
        <v>39.786999999999999</v>
      </c>
      <c r="F5481">
        <v>2.5134E-2</v>
      </c>
      <c r="G5481">
        <v>81.516999999999996</v>
      </c>
      <c r="H5481">
        <v>0.17596999999999999</v>
      </c>
    </row>
    <row r="5482" spans="1:8" x14ac:dyDescent="0.25">
      <c r="B5482">
        <v>0.18708</v>
      </c>
      <c r="C5482">
        <v>40</v>
      </c>
      <c r="D5482">
        <v>280</v>
      </c>
      <c r="E5482">
        <v>39.546999999999997</v>
      </c>
      <c r="F5482">
        <v>2.5285999999999999E-2</v>
      </c>
      <c r="G5482">
        <v>87.040999999999997</v>
      </c>
      <c r="H5482">
        <v>0.18708</v>
      </c>
    </row>
    <row r="5483" spans="1:8" x14ac:dyDescent="0.25">
      <c r="B5483">
        <v>0.19811999999999999</v>
      </c>
      <c r="C5483">
        <v>45</v>
      </c>
      <c r="D5483">
        <v>280</v>
      </c>
      <c r="E5483">
        <v>39.305</v>
      </c>
      <c r="F5483">
        <v>2.5441999999999999E-2</v>
      </c>
      <c r="G5483">
        <v>92.584999999999994</v>
      </c>
      <c r="H5483">
        <v>0.19811999999999999</v>
      </c>
    </row>
    <row r="5484" spans="1:8" x14ac:dyDescent="0.25">
      <c r="B5484">
        <v>0.20909</v>
      </c>
      <c r="C5484">
        <v>50</v>
      </c>
      <c r="D5484">
        <v>280</v>
      </c>
      <c r="E5484">
        <v>39.058999999999997</v>
      </c>
      <c r="F5484">
        <v>2.5602E-2</v>
      </c>
      <c r="G5484">
        <v>98.147999999999996</v>
      </c>
      <c r="H5484">
        <v>0.20909</v>
      </c>
    </row>
    <row r="5485" spans="1:8" x14ac:dyDescent="0.25">
      <c r="B5485">
        <v>0.21998999999999999</v>
      </c>
      <c r="C5485">
        <v>55</v>
      </c>
      <c r="D5485">
        <v>280</v>
      </c>
      <c r="E5485">
        <v>38.811</v>
      </c>
      <c r="F5485">
        <v>2.5766000000000001E-2</v>
      </c>
      <c r="G5485">
        <v>103.73</v>
      </c>
      <c r="H5485">
        <v>0.21998999999999999</v>
      </c>
    </row>
    <row r="5486" spans="1:8" x14ac:dyDescent="0.25">
      <c r="B5486">
        <v>0.23083000000000001</v>
      </c>
      <c r="C5486">
        <v>60</v>
      </c>
      <c r="D5486">
        <v>280</v>
      </c>
      <c r="E5486">
        <v>38.561</v>
      </c>
      <c r="F5486">
        <v>2.5933000000000001E-2</v>
      </c>
      <c r="G5486">
        <v>109.34</v>
      </c>
      <c r="H5486">
        <v>0.23083000000000001</v>
      </c>
    </row>
    <row r="5487" spans="1:8" x14ac:dyDescent="0.25">
      <c r="B5487">
        <v>0.24160999999999999</v>
      </c>
      <c r="C5487">
        <v>65</v>
      </c>
      <c r="D5487">
        <v>280</v>
      </c>
      <c r="E5487">
        <v>38.307000000000002</v>
      </c>
      <c r="F5487">
        <v>2.6105E-2</v>
      </c>
      <c r="G5487">
        <v>114.97</v>
      </c>
      <c r="H5487">
        <v>0.24160999999999999</v>
      </c>
    </row>
    <row r="5488" spans="1:8" x14ac:dyDescent="0.25">
      <c r="B5488">
        <v>0.25234000000000001</v>
      </c>
      <c r="C5488">
        <v>70</v>
      </c>
      <c r="D5488">
        <v>280</v>
      </c>
      <c r="E5488">
        <v>38.049999999999997</v>
      </c>
      <c r="F5488">
        <v>2.6280999999999999E-2</v>
      </c>
      <c r="G5488">
        <v>120.62</v>
      </c>
      <c r="H5488">
        <v>0.25234000000000001</v>
      </c>
    </row>
    <row r="5489" spans="2:8" x14ac:dyDescent="0.25">
      <c r="B5489">
        <v>0.26301000000000002</v>
      </c>
      <c r="C5489">
        <v>75</v>
      </c>
      <c r="D5489">
        <v>280</v>
      </c>
      <c r="E5489">
        <v>37.789000000000001</v>
      </c>
      <c r="F5489">
        <v>2.6463E-2</v>
      </c>
      <c r="G5489">
        <v>126.3</v>
      </c>
      <c r="H5489">
        <v>0.26301000000000002</v>
      </c>
    </row>
    <row r="5490" spans="2:8" x14ac:dyDescent="0.25">
      <c r="B5490">
        <v>0.27362999999999998</v>
      </c>
      <c r="C5490">
        <v>80</v>
      </c>
      <c r="D5490">
        <v>280</v>
      </c>
      <c r="E5490">
        <v>37.524999999999999</v>
      </c>
      <c r="F5490">
        <v>2.6648999999999999E-2</v>
      </c>
      <c r="G5490">
        <v>132.01</v>
      </c>
      <c r="H5490">
        <v>0.27362999999999998</v>
      </c>
    </row>
    <row r="5491" spans="2:8" x14ac:dyDescent="0.25">
      <c r="B5491">
        <v>0.28421000000000002</v>
      </c>
      <c r="C5491">
        <v>85</v>
      </c>
      <c r="D5491">
        <v>280</v>
      </c>
      <c r="E5491">
        <v>37.258000000000003</v>
      </c>
      <c r="F5491">
        <v>2.6839999999999999E-2</v>
      </c>
      <c r="G5491">
        <v>137.74</v>
      </c>
      <c r="H5491">
        <v>0.28421000000000002</v>
      </c>
    </row>
    <row r="5492" spans="2:8" x14ac:dyDescent="0.25">
      <c r="B5492">
        <v>0.29475000000000001</v>
      </c>
      <c r="C5492">
        <v>90</v>
      </c>
      <c r="D5492">
        <v>280</v>
      </c>
      <c r="E5492">
        <v>36.985999999999997</v>
      </c>
      <c r="F5492">
        <v>2.7036999999999999E-2</v>
      </c>
      <c r="G5492">
        <v>143.51</v>
      </c>
      <c r="H5492">
        <v>0.29475000000000001</v>
      </c>
    </row>
    <row r="5493" spans="2:8" x14ac:dyDescent="0.25">
      <c r="B5493">
        <v>0.30525000000000002</v>
      </c>
      <c r="C5493">
        <v>95</v>
      </c>
      <c r="D5493">
        <v>280</v>
      </c>
      <c r="E5493">
        <v>36.71</v>
      </c>
      <c r="F5493">
        <v>2.7241000000000001E-2</v>
      </c>
      <c r="G5493">
        <v>149.31</v>
      </c>
      <c r="H5493">
        <v>0.30525000000000002</v>
      </c>
    </row>
    <row r="5494" spans="2:8" x14ac:dyDescent="0.25">
      <c r="B5494">
        <v>0.31572</v>
      </c>
      <c r="C5494">
        <v>100</v>
      </c>
      <c r="D5494">
        <v>280</v>
      </c>
      <c r="E5494">
        <v>36.429000000000002</v>
      </c>
      <c r="F5494">
        <v>2.7451E-2</v>
      </c>
      <c r="G5494">
        <v>155.13999999999999</v>
      </c>
      <c r="H5494">
        <v>0.31572</v>
      </c>
    </row>
    <row r="5495" spans="2:8" x14ac:dyDescent="0.25">
      <c r="B5495">
        <v>0.32617000000000002</v>
      </c>
      <c r="C5495">
        <v>105</v>
      </c>
      <c r="D5495">
        <v>280</v>
      </c>
      <c r="E5495">
        <v>36.143000000000001</v>
      </c>
      <c r="F5495">
        <v>2.7668000000000002E-2</v>
      </c>
      <c r="G5495">
        <v>161.02000000000001</v>
      </c>
      <c r="H5495">
        <v>0.32617000000000002</v>
      </c>
    </row>
    <row r="5496" spans="2:8" x14ac:dyDescent="0.25">
      <c r="B5496">
        <v>0.33660000000000001</v>
      </c>
      <c r="C5496">
        <v>110</v>
      </c>
      <c r="D5496">
        <v>280</v>
      </c>
      <c r="E5496">
        <v>35.851999999999997</v>
      </c>
      <c r="F5496">
        <v>2.7892E-2</v>
      </c>
      <c r="G5496">
        <v>166.93</v>
      </c>
      <c r="H5496">
        <v>0.33660000000000001</v>
      </c>
    </row>
    <row r="5497" spans="2:8" x14ac:dyDescent="0.25">
      <c r="B5497">
        <v>0.34700999999999999</v>
      </c>
      <c r="C5497">
        <v>115</v>
      </c>
      <c r="D5497">
        <v>280</v>
      </c>
      <c r="E5497">
        <v>35.555</v>
      </c>
      <c r="F5497">
        <v>2.8125000000000001E-2</v>
      </c>
      <c r="G5497">
        <v>172.89</v>
      </c>
      <c r="H5497">
        <v>0.34700999999999999</v>
      </c>
    </row>
    <row r="5498" spans="2:8" x14ac:dyDescent="0.25">
      <c r="B5498">
        <v>1.1457999999999999</v>
      </c>
      <c r="C5498">
        <v>120</v>
      </c>
      <c r="D5498">
        <v>280</v>
      </c>
      <c r="E5498">
        <v>0.92889999999999995</v>
      </c>
      <c r="F5498">
        <v>1.0765</v>
      </c>
      <c r="G5498">
        <v>634.65</v>
      </c>
      <c r="H5498">
        <v>1.1457999999999999</v>
      </c>
    </row>
    <row r="5499" spans="2:8" x14ac:dyDescent="0.25">
      <c r="B5499">
        <v>1.1533</v>
      </c>
      <c r="C5499">
        <v>125</v>
      </c>
      <c r="D5499">
        <v>280</v>
      </c>
      <c r="E5499">
        <v>0.91283999999999998</v>
      </c>
      <c r="F5499">
        <v>1.0954999999999999</v>
      </c>
      <c r="G5499">
        <v>639.02</v>
      </c>
      <c r="H5499">
        <v>1.1533</v>
      </c>
    </row>
    <row r="5500" spans="2:8" x14ac:dyDescent="0.25">
      <c r="B5500">
        <v>1.1606000000000001</v>
      </c>
      <c r="C5500">
        <v>130</v>
      </c>
      <c r="D5500">
        <v>280</v>
      </c>
      <c r="E5500">
        <v>0.89773000000000003</v>
      </c>
      <c r="F5500">
        <v>1.1138999999999999</v>
      </c>
      <c r="G5500">
        <v>643.26</v>
      </c>
      <c r="H5500">
        <v>1.1606000000000001</v>
      </c>
    </row>
    <row r="5501" spans="2:8" x14ac:dyDescent="0.25">
      <c r="B5501">
        <v>1.1675</v>
      </c>
      <c r="C5501">
        <v>135</v>
      </c>
      <c r="D5501">
        <v>280</v>
      </c>
      <c r="E5501">
        <v>0.88346999999999998</v>
      </c>
      <c r="F5501">
        <v>1.1318999999999999</v>
      </c>
      <c r="G5501">
        <v>647.38</v>
      </c>
      <c r="H5501">
        <v>1.1675</v>
      </c>
    </row>
    <row r="5502" spans="2:8" x14ac:dyDescent="0.25">
      <c r="B5502">
        <v>1.1741999999999999</v>
      </c>
      <c r="C5502">
        <v>140</v>
      </c>
      <c r="D5502">
        <v>280</v>
      </c>
      <c r="E5502">
        <v>0.86997000000000002</v>
      </c>
      <c r="F5502">
        <v>1.1495</v>
      </c>
      <c r="G5502">
        <v>651.4</v>
      </c>
      <c r="H5502">
        <v>1.1741999999999999</v>
      </c>
    </row>
    <row r="5503" spans="2:8" x14ac:dyDescent="0.25">
      <c r="B5503">
        <v>1.1808000000000001</v>
      </c>
      <c r="C5503">
        <v>145</v>
      </c>
      <c r="D5503">
        <v>280</v>
      </c>
      <c r="E5503">
        <v>0.85714000000000001</v>
      </c>
      <c r="F5503">
        <v>1.1667000000000001</v>
      </c>
      <c r="G5503">
        <v>655.33000000000004</v>
      </c>
      <c r="H5503">
        <v>1.1808000000000001</v>
      </c>
    </row>
    <row r="5504" spans="2:8" x14ac:dyDescent="0.25">
      <c r="B5504">
        <v>1.1871</v>
      </c>
      <c r="C5504">
        <v>150</v>
      </c>
      <c r="D5504">
        <v>280</v>
      </c>
      <c r="E5504">
        <v>0.84492</v>
      </c>
      <c r="F5504">
        <v>1.1835</v>
      </c>
      <c r="G5504">
        <v>659.19</v>
      </c>
      <c r="H5504">
        <v>1.1871</v>
      </c>
    </row>
    <row r="5505" spans="2:8" x14ac:dyDescent="0.25">
      <c r="B5505">
        <v>1.1933</v>
      </c>
      <c r="C5505">
        <v>155</v>
      </c>
      <c r="D5505">
        <v>280</v>
      </c>
      <c r="E5505">
        <v>0.83325000000000005</v>
      </c>
      <c r="F5505">
        <v>1.2000999999999999</v>
      </c>
      <c r="G5505">
        <v>662.97</v>
      </c>
      <c r="H5505">
        <v>1.1933</v>
      </c>
    </row>
    <row r="5506" spans="2:8" x14ac:dyDescent="0.25">
      <c r="B5506">
        <v>1.1993</v>
      </c>
      <c r="C5506">
        <v>160</v>
      </c>
      <c r="D5506">
        <v>280</v>
      </c>
      <c r="E5506">
        <v>0.82208999999999999</v>
      </c>
      <c r="F5506">
        <v>1.2163999999999999</v>
      </c>
      <c r="G5506">
        <v>666.68</v>
      </c>
      <c r="H5506">
        <v>1.1993</v>
      </c>
    </row>
    <row r="5507" spans="2:8" x14ac:dyDescent="0.25">
      <c r="B5507">
        <v>1.2052</v>
      </c>
      <c r="C5507">
        <v>165</v>
      </c>
      <c r="D5507">
        <v>280</v>
      </c>
      <c r="E5507">
        <v>0.81137999999999999</v>
      </c>
      <c r="F5507">
        <v>1.2324999999999999</v>
      </c>
      <c r="G5507">
        <v>670.34</v>
      </c>
      <c r="H5507">
        <v>1.2052</v>
      </c>
    </row>
    <row r="5508" spans="2:8" x14ac:dyDescent="0.25">
      <c r="B5508">
        <v>1.2109000000000001</v>
      </c>
      <c r="C5508">
        <v>170</v>
      </c>
      <c r="D5508">
        <v>280</v>
      </c>
      <c r="E5508">
        <v>0.80110000000000003</v>
      </c>
      <c r="F5508">
        <v>1.2483</v>
      </c>
      <c r="G5508">
        <v>673.94</v>
      </c>
      <c r="H5508">
        <v>1.2109000000000001</v>
      </c>
    </row>
    <row r="5509" spans="2:8" x14ac:dyDescent="0.25">
      <c r="B5509">
        <v>1.2165999999999999</v>
      </c>
      <c r="C5509">
        <v>175</v>
      </c>
      <c r="D5509">
        <v>280</v>
      </c>
      <c r="E5509">
        <v>0.79120999999999997</v>
      </c>
      <c r="F5509">
        <v>1.2639</v>
      </c>
      <c r="G5509">
        <v>677.49</v>
      </c>
      <c r="H5509">
        <v>1.2165999999999999</v>
      </c>
    </row>
    <row r="5510" spans="2:8" x14ac:dyDescent="0.25">
      <c r="B5510">
        <v>1.2221</v>
      </c>
      <c r="C5510">
        <v>180</v>
      </c>
      <c r="D5510">
        <v>280</v>
      </c>
      <c r="E5510">
        <v>0.78168000000000004</v>
      </c>
      <c r="F5510">
        <v>1.2793000000000001</v>
      </c>
      <c r="G5510">
        <v>681.01</v>
      </c>
      <c r="H5510">
        <v>1.2221</v>
      </c>
    </row>
    <row r="5511" spans="2:8" x14ac:dyDescent="0.25">
      <c r="B5511">
        <v>1.2275</v>
      </c>
      <c r="C5511">
        <v>185</v>
      </c>
      <c r="D5511">
        <v>280</v>
      </c>
      <c r="E5511">
        <v>0.77249000000000001</v>
      </c>
      <c r="F5511">
        <v>1.2945</v>
      </c>
      <c r="G5511">
        <v>684.48</v>
      </c>
      <c r="H5511">
        <v>1.2275</v>
      </c>
    </row>
    <row r="5512" spans="2:8" x14ac:dyDescent="0.25">
      <c r="B5512">
        <v>1.2327999999999999</v>
      </c>
      <c r="C5512">
        <v>190</v>
      </c>
      <c r="D5512">
        <v>280</v>
      </c>
      <c r="E5512">
        <v>0.76361000000000001</v>
      </c>
      <c r="F5512">
        <v>1.3096000000000001</v>
      </c>
      <c r="G5512">
        <v>687.91</v>
      </c>
      <c r="H5512">
        <v>1.2327999999999999</v>
      </c>
    </row>
    <row r="5513" spans="2:8" x14ac:dyDescent="0.25">
      <c r="B5513">
        <v>1.238</v>
      </c>
      <c r="C5513">
        <v>195</v>
      </c>
      <c r="D5513">
        <v>280</v>
      </c>
      <c r="E5513">
        <v>0.75502000000000002</v>
      </c>
      <c r="F5513">
        <v>1.3245</v>
      </c>
      <c r="G5513">
        <v>691.32</v>
      </c>
      <c r="H5513">
        <v>1.238</v>
      </c>
    </row>
    <row r="5514" spans="2:8" x14ac:dyDescent="0.25">
      <c r="B5514">
        <v>1.2431000000000001</v>
      </c>
      <c r="C5514">
        <v>200</v>
      </c>
      <c r="D5514">
        <v>280</v>
      </c>
      <c r="E5514">
        <v>0.74670000000000003</v>
      </c>
      <c r="F5514">
        <v>1.3391999999999999</v>
      </c>
      <c r="G5514">
        <v>694.69</v>
      </c>
      <c r="H5514">
        <v>1.2431000000000001</v>
      </c>
    </row>
    <row r="5515" spans="2:8" x14ac:dyDescent="0.25">
      <c r="B5515">
        <v>1.2482</v>
      </c>
      <c r="C5515">
        <v>205</v>
      </c>
      <c r="D5515">
        <v>280</v>
      </c>
      <c r="E5515">
        <v>0.73863999999999996</v>
      </c>
      <c r="F5515">
        <v>1.3537999999999999</v>
      </c>
      <c r="G5515">
        <v>698.03</v>
      </c>
      <c r="H5515">
        <v>1.2482</v>
      </c>
    </row>
    <row r="5516" spans="2:8" x14ac:dyDescent="0.25">
      <c r="B5516">
        <v>1.2532000000000001</v>
      </c>
      <c r="C5516">
        <v>210</v>
      </c>
      <c r="D5516">
        <v>280</v>
      </c>
      <c r="E5516">
        <v>0.73082000000000003</v>
      </c>
      <c r="F5516">
        <v>1.3683000000000001</v>
      </c>
      <c r="G5516">
        <v>701.35</v>
      </c>
      <c r="H5516">
        <v>1.2532000000000001</v>
      </c>
    </row>
    <row r="5517" spans="2:8" x14ac:dyDescent="0.25">
      <c r="B5517">
        <v>1.2581</v>
      </c>
      <c r="C5517">
        <v>215</v>
      </c>
      <c r="D5517">
        <v>280</v>
      </c>
      <c r="E5517">
        <v>0.72323000000000004</v>
      </c>
      <c r="F5517">
        <v>1.3827</v>
      </c>
      <c r="G5517">
        <v>704.65</v>
      </c>
      <c r="H5517">
        <v>1.2581</v>
      </c>
    </row>
    <row r="5518" spans="2:8" x14ac:dyDescent="0.25">
      <c r="B5518">
        <v>1.2628999999999999</v>
      </c>
      <c r="C5518">
        <v>220</v>
      </c>
      <c r="D5518">
        <v>280</v>
      </c>
      <c r="E5518">
        <v>0.71584999999999999</v>
      </c>
      <c r="F5518">
        <v>1.3969</v>
      </c>
      <c r="G5518">
        <v>707.92</v>
      </c>
      <c r="H5518">
        <v>1.2628999999999999</v>
      </c>
    </row>
    <row r="5519" spans="2:8" x14ac:dyDescent="0.25">
      <c r="B5519">
        <v>1.2677</v>
      </c>
      <c r="C5519">
        <v>225</v>
      </c>
      <c r="D5519">
        <v>280</v>
      </c>
      <c r="E5519">
        <v>0.70867999999999998</v>
      </c>
      <c r="F5519">
        <v>1.4111</v>
      </c>
      <c r="G5519">
        <v>711.18</v>
      </c>
      <c r="H5519">
        <v>1.2677</v>
      </c>
    </row>
    <row r="5520" spans="2:8" x14ac:dyDescent="0.25">
      <c r="B5520">
        <v>1.2724</v>
      </c>
      <c r="C5520">
        <v>230</v>
      </c>
      <c r="D5520">
        <v>280</v>
      </c>
      <c r="E5520">
        <v>0.70169999999999999</v>
      </c>
      <c r="F5520">
        <v>1.4251</v>
      </c>
      <c r="G5520">
        <v>714.41</v>
      </c>
      <c r="H5520">
        <v>1.2724</v>
      </c>
    </row>
    <row r="5521" spans="2:8" x14ac:dyDescent="0.25">
      <c r="B5521">
        <v>1.2769999999999999</v>
      </c>
      <c r="C5521">
        <v>235</v>
      </c>
      <c r="D5521">
        <v>280</v>
      </c>
      <c r="E5521">
        <v>0.69489999999999996</v>
      </c>
      <c r="F5521">
        <v>1.4391</v>
      </c>
      <c r="G5521">
        <v>717.64</v>
      </c>
      <c r="H5521">
        <v>1.2769999999999999</v>
      </c>
    </row>
    <row r="5522" spans="2:8" x14ac:dyDescent="0.25">
      <c r="B5522">
        <v>1.2816000000000001</v>
      </c>
      <c r="C5522">
        <v>240</v>
      </c>
      <c r="D5522">
        <v>280</v>
      </c>
      <c r="E5522">
        <v>0.68827000000000005</v>
      </c>
      <c r="F5522">
        <v>1.4529000000000001</v>
      </c>
      <c r="G5522">
        <v>720.84</v>
      </c>
      <c r="H5522">
        <v>1.2816000000000001</v>
      </c>
    </row>
    <row r="5523" spans="2:8" x14ac:dyDescent="0.25">
      <c r="B5523">
        <v>1.2862</v>
      </c>
      <c r="C5523">
        <v>245</v>
      </c>
      <c r="D5523">
        <v>280</v>
      </c>
      <c r="E5523">
        <v>0.68181000000000003</v>
      </c>
      <c r="F5523">
        <v>1.4666999999999999</v>
      </c>
      <c r="G5523">
        <v>724.03</v>
      </c>
      <c r="H5523">
        <v>1.2862</v>
      </c>
    </row>
    <row r="5524" spans="2:8" x14ac:dyDescent="0.25">
      <c r="B5524">
        <v>1.2907</v>
      </c>
      <c r="C5524">
        <v>250</v>
      </c>
      <c r="D5524">
        <v>280</v>
      </c>
      <c r="E5524">
        <v>0.67549999999999999</v>
      </c>
      <c r="F5524">
        <v>1.4803999999999999</v>
      </c>
      <c r="G5524">
        <v>727.21</v>
      </c>
      <c r="H5524">
        <v>1.2907</v>
      </c>
    </row>
    <row r="5525" spans="2:8" x14ac:dyDescent="0.25">
      <c r="B5525">
        <v>1.2950999999999999</v>
      </c>
      <c r="C5525">
        <v>255</v>
      </c>
      <c r="D5525">
        <v>280</v>
      </c>
      <c r="E5525">
        <v>0.66935</v>
      </c>
      <c r="F5525">
        <v>1.494</v>
      </c>
      <c r="G5525">
        <v>730.38</v>
      </c>
      <c r="H5525">
        <v>1.2950999999999999</v>
      </c>
    </row>
    <row r="5526" spans="2:8" x14ac:dyDescent="0.25">
      <c r="B5526">
        <v>1.2995000000000001</v>
      </c>
      <c r="C5526">
        <v>260</v>
      </c>
      <c r="D5526">
        <v>280</v>
      </c>
      <c r="E5526">
        <v>0.66334000000000004</v>
      </c>
      <c r="F5526">
        <v>1.5075000000000001</v>
      </c>
      <c r="G5526">
        <v>733.54</v>
      </c>
      <c r="H5526">
        <v>1.2995000000000001</v>
      </c>
    </row>
    <row r="5527" spans="2:8" x14ac:dyDescent="0.25">
      <c r="B5527">
        <v>1.3039000000000001</v>
      </c>
      <c r="C5527">
        <v>265</v>
      </c>
      <c r="D5527">
        <v>280</v>
      </c>
      <c r="E5527">
        <v>0.65746000000000004</v>
      </c>
      <c r="F5527">
        <v>1.5209999999999999</v>
      </c>
      <c r="G5527">
        <v>736.69</v>
      </c>
      <c r="H5527">
        <v>1.3039000000000001</v>
      </c>
    </row>
    <row r="5528" spans="2:8" x14ac:dyDescent="0.25">
      <c r="B5528">
        <v>1.3082</v>
      </c>
      <c r="C5528">
        <v>270</v>
      </c>
      <c r="D5528">
        <v>280</v>
      </c>
      <c r="E5528">
        <v>0.65171999999999997</v>
      </c>
      <c r="F5528">
        <v>1.5344</v>
      </c>
      <c r="G5528">
        <v>739.83</v>
      </c>
      <c r="H5528">
        <v>1.3082</v>
      </c>
    </row>
    <row r="5529" spans="2:8" x14ac:dyDescent="0.25">
      <c r="B5529">
        <v>1.3125</v>
      </c>
      <c r="C5529">
        <v>275</v>
      </c>
      <c r="D5529">
        <v>280</v>
      </c>
      <c r="E5529">
        <v>0.64610999999999996</v>
      </c>
      <c r="F5529">
        <v>1.5477000000000001</v>
      </c>
      <c r="G5529">
        <v>742.96</v>
      </c>
      <c r="H5529">
        <v>1.3125</v>
      </c>
    </row>
    <row r="5530" spans="2:8" x14ac:dyDescent="0.25">
      <c r="B5530">
        <v>1.3167</v>
      </c>
      <c r="C5530">
        <v>280</v>
      </c>
      <c r="D5530">
        <v>280</v>
      </c>
      <c r="E5530">
        <v>0.64061000000000001</v>
      </c>
      <c r="F5530">
        <v>1.5609999999999999</v>
      </c>
      <c r="G5530">
        <v>746.08</v>
      </c>
      <c r="H5530">
        <v>1.3167</v>
      </c>
    </row>
    <row r="5531" spans="2:8" x14ac:dyDescent="0.25">
      <c r="B5531">
        <v>1.3209</v>
      </c>
      <c r="C5531">
        <v>285</v>
      </c>
      <c r="D5531">
        <v>280</v>
      </c>
      <c r="E5531">
        <v>0.63522999999999996</v>
      </c>
      <c r="F5531">
        <v>1.5742</v>
      </c>
      <c r="G5531">
        <v>749.2</v>
      </c>
      <c r="H5531">
        <v>1.3209</v>
      </c>
    </row>
    <row r="5532" spans="2:8" x14ac:dyDescent="0.25">
      <c r="B5532">
        <v>1.3250999999999999</v>
      </c>
      <c r="C5532">
        <v>290</v>
      </c>
      <c r="D5532">
        <v>280</v>
      </c>
      <c r="E5532">
        <v>0.62995999999999996</v>
      </c>
      <c r="F5532">
        <v>1.5873999999999999</v>
      </c>
      <c r="G5532">
        <v>752.31</v>
      </c>
      <c r="H5532">
        <v>1.3250999999999999</v>
      </c>
    </row>
    <row r="5533" spans="2:8" x14ac:dyDescent="0.25">
      <c r="B5533">
        <v>1.3291999999999999</v>
      </c>
      <c r="C5533">
        <v>295</v>
      </c>
      <c r="D5533">
        <v>280</v>
      </c>
      <c r="E5533">
        <v>0.62480000000000002</v>
      </c>
      <c r="F5533">
        <v>1.6005</v>
      </c>
      <c r="G5533">
        <v>755.42</v>
      </c>
      <c r="H5533">
        <v>1.3291999999999999</v>
      </c>
    </row>
    <row r="5534" spans="2:8" x14ac:dyDescent="0.25">
      <c r="B5534">
        <v>1.3332999999999999</v>
      </c>
      <c r="C5534">
        <v>300</v>
      </c>
      <c r="D5534">
        <v>280</v>
      </c>
      <c r="E5534">
        <v>0.61975000000000002</v>
      </c>
      <c r="F5534">
        <v>1.6135999999999999</v>
      </c>
      <c r="G5534">
        <v>758.53</v>
      </c>
      <c r="H5534">
        <v>1.3332999999999999</v>
      </c>
    </row>
    <row r="5535" spans="2:8" x14ac:dyDescent="0.25">
      <c r="B5535">
        <v>1.3373999999999999</v>
      </c>
      <c r="C5535">
        <v>305</v>
      </c>
      <c r="D5535">
        <v>280</v>
      </c>
      <c r="E5535">
        <v>0.61478999999999995</v>
      </c>
      <c r="F5535">
        <v>1.6266</v>
      </c>
      <c r="G5535">
        <v>761.62</v>
      </c>
      <c r="H5535">
        <v>1.3373999999999999</v>
      </c>
    </row>
    <row r="5536" spans="2:8" x14ac:dyDescent="0.25">
      <c r="B5536">
        <v>1.3413999999999999</v>
      </c>
      <c r="C5536">
        <v>310</v>
      </c>
      <c r="D5536">
        <v>280</v>
      </c>
      <c r="E5536">
        <v>0.60992999999999997</v>
      </c>
      <c r="F5536">
        <v>1.6395</v>
      </c>
      <c r="G5536">
        <v>764.72</v>
      </c>
      <c r="H5536">
        <v>1.3413999999999999</v>
      </c>
    </row>
    <row r="5537" spans="1:8" x14ac:dyDescent="0.25">
      <c r="B5537">
        <v>1.3453999999999999</v>
      </c>
      <c r="C5537">
        <v>315</v>
      </c>
      <c r="D5537">
        <v>280</v>
      </c>
      <c r="E5537">
        <v>0.60516000000000003</v>
      </c>
      <c r="F5537">
        <v>1.6525000000000001</v>
      </c>
      <c r="G5537">
        <v>767.81</v>
      </c>
      <c r="H5537">
        <v>1.3453999999999999</v>
      </c>
    </row>
    <row r="5538" spans="1:8" x14ac:dyDescent="0.25">
      <c r="B5538">
        <v>1.3493999999999999</v>
      </c>
      <c r="C5538">
        <v>320</v>
      </c>
      <c r="D5538">
        <v>280</v>
      </c>
      <c r="E5538">
        <v>0.60048000000000001</v>
      </c>
      <c r="F5538">
        <v>1.6653</v>
      </c>
      <c r="G5538">
        <v>770.9</v>
      </c>
      <c r="H5538">
        <v>1.3493999999999999</v>
      </c>
    </row>
    <row r="5539" spans="1:8" x14ac:dyDescent="0.25">
      <c r="B5539">
        <v>1.3533999999999999</v>
      </c>
      <c r="C5539">
        <v>325</v>
      </c>
      <c r="D5539">
        <v>280</v>
      </c>
      <c r="E5539">
        <v>0.59589000000000003</v>
      </c>
      <c r="F5539">
        <v>1.6781999999999999</v>
      </c>
      <c r="G5539">
        <v>773.99</v>
      </c>
      <c r="H5539">
        <v>1.3533999999999999</v>
      </c>
    </row>
    <row r="5540" spans="1:8" x14ac:dyDescent="0.25">
      <c r="B5540">
        <v>1.3573</v>
      </c>
      <c r="C5540">
        <v>330</v>
      </c>
      <c r="D5540">
        <v>280</v>
      </c>
      <c r="E5540">
        <v>0.59138000000000002</v>
      </c>
      <c r="F5540">
        <v>1.6910000000000001</v>
      </c>
      <c r="G5540">
        <v>777.08</v>
      </c>
      <c r="H5540">
        <v>1.3573</v>
      </c>
    </row>
    <row r="5541" spans="1:8" x14ac:dyDescent="0.25">
      <c r="B5541">
        <v>1.3612</v>
      </c>
      <c r="C5541">
        <v>335</v>
      </c>
      <c r="D5541">
        <v>280</v>
      </c>
      <c r="E5541">
        <v>0.58694999999999997</v>
      </c>
      <c r="F5541">
        <v>1.7037</v>
      </c>
      <c r="G5541">
        <v>780.16</v>
      </c>
      <c r="H5541">
        <v>1.3612</v>
      </c>
    </row>
    <row r="5542" spans="1:8" x14ac:dyDescent="0.25">
      <c r="B5542">
        <v>1.365</v>
      </c>
      <c r="C5542">
        <v>340</v>
      </c>
      <c r="D5542">
        <v>280</v>
      </c>
      <c r="E5542">
        <v>0.58260000000000001</v>
      </c>
      <c r="F5542">
        <v>1.7163999999999999</v>
      </c>
      <c r="G5542">
        <v>783.25</v>
      </c>
      <c r="H5542">
        <v>1.365</v>
      </c>
    </row>
    <row r="5543" spans="1:8" x14ac:dyDescent="0.25">
      <c r="B5543">
        <v>1.3689</v>
      </c>
      <c r="C5543">
        <v>345</v>
      </c>
      <c r="D5543">
        <v>280</v>
      </c>
      <c r="E5543">
        <v>0.57833000000000001</v>
      </c>
      <c r="F5543">
        <v>1.7291000000000001</v>
      </c>
      <c r="G5543">
        <v>786.33</v>
      </c>
      <c r="H5543">
        <v>1.3689</v>
      </c>
    </row>
    <row r="5544" spans="1:8" x14ac:dyDescent="0.25">
      <c r="B5544">
        <v>1.3727</v>
      </c>
      <c r="C5544">
        <v>350</v>
      </c>
      <c r="D5544">
        <v>280</v>
      </c>
      <c r="E5544">
        <v>0.57413000000000003</v>
      </c>
      <c r="F5544">
        <v>1.7418</v>
      </c>
      <c r="G5544">
        <v>789.41</v>
      </c>
      <c r="H5544">
        <v>1.3727</v>
      </c>
    </row>
    <row r="5546" spans="1:8" x14ac:dyDescent="0.25">
      <c r="A5546">
        <v>285</v>
      </c>
      <c r="B5546">
        <v>9.5908999999999994E-2</v>
      </c>
      <c r="C5546">
        <v>0</v>
      </c>
      <c r="D5546">
        <v>285</v>
      </c>
      <c r="E5546">
        <v>41.406999999999996</v>
      </c>
      <c r="F5546">
        <v>2.4150000000000001E-2</v>
      </c>
      <c r="G5546">
        <v>43.348999999999997</v>
      </c>
      <c r="H5546">
        <v>9.5908999999999994E-2</v>
      </c>
    </row>
    <row r="5547" spans="1:8" x14ac:dyDescent="0.25">
      <c r="B5547">
        <v>0.1076</v>
      </c>
      <c r="C5547">
        <v>5</v>
      </c>
      <c r="D5547">
        <v>285</v>
      </c>
      <c r="E5547">
        <v>41.182000000000002</v>
      </c>
      <c r="F5547">
        <v>2.4282000000000001E-2</v>
      </c>
      <c r="G5547">
        <v>48.753</v>
      </c>
      <c r="H5547">
        <v>0.1076</v>
      </c>
    </row>
    <row r="5548" spans="1:8" x14ac:dyDescent="0.25">
      <c r="B5548">
        <v>0.1192</v>
      </c>
      <c r="C5548">
        <v>10</v>
      </c>
      <c r="D5548">
        <v>285</v>
      </c>
      <c r="E5548">
        <v>40.954999999999998</v>
      </c>
      <c r="F5548">
        <v>2.4417000000000001E-2</v>
      </c>
      <c r="G5548">
        <v>54.173999999999999</v>
      </c>
      <c r="H5548">
        <v>0.1192</v>
      </c>
    </row>
    <row r="5549" spans="1:8" x14ac:dyDescent="0.25">
      <c r="B5549">
        <v>0.13072</v>
      </c>
      <c r="C5549">
        <v>15</v>
      </c>
      <c r="D5549">
        <v>285</v>
      </c>
      <c r="E5549">
        <v>40.725999999999999</v>
      </c>
      <c r="F5549">
        <v>2.4553999999999999E-2</v>
      </c>
      <c r="G5549">
        <v>59.61</v>
      </c>
      <c r="H5549">
        <v>0.13072</v>
      </c>
    </row>
    <row r="5550" spans="1:8" x14ac:dyDescent="0.25">
      <c r="B5550">
        <v>0.14215</v>
      </c>
      <c r="C5550">
        <v>20</v>
      </c>
      <c r="D5550">
        <v>285</v>
      </c>
      <c r="E5550">
        <v>40.494999999999997</v>
      </c>
      <c r="F5550">
        <v>2.4694000000000001E-2</v>
      </c>
      <c r="G5550">
        <v>65.063000000000002</v>
      </c>
      <c r="H5550">
        <v>0.14215</v>
      </c>
    </row>
    <row r="5551" spans="1:8" x14ac:dyDescent="0.25">
      <c r="B5551">
        <v>0.15348999999999999</v>
      </c>
      <c r="C5551">
        <v>25</v>
      </c>
      <c r="D5551">
        <v>285</v>
      </c>
      <c r="E5551">
        <v>40.262</v>
      </c>
      <c r="F5551">
        <v>2.4837000000000001E-2</v>
      </c>
      <c r="G5551">
        <v>70.533000000000001</v>
      </c>
      <c r="H5551">
        <v>0.15348999999999999</v>
      </c>
    </row>
    <row r="5552" spans="1:8" x14ac:dyDescent="0.25">
      <c r="B5552">
        <v>0.16475999999999999</v>
      </c>
      <c r="C5552">
        <v>30</v>
      </c>
      <c r="D5552">
        <v>285</v>
      </c>
      <c r="E5552">
        <v>40.027000000000001</v>
      </c>
      <c r="F5552">
        <v>2.4983000000000002E-2</v>
      </c>
      <c r="G5552">
        <v>76.021000000000001</v>
      </c>
      <c r="H5552">
        <v>0.16475999999999999</v>
      </c>
    </row>
    <row r="5553" spans="2:8" x14ac:dyDescent="0.25">
      <c r="B5553">
        <v>0.17594000000000001</v>
      </c>
      <c r="C5553">
        <v>35</v>
      </c>
      <c r="D5553">
        <v>285</v>
      </c>
      <c r="E5553">
        <v>39.789000000000001</v>
      </c>
      <c r="F5553">
        <v>2.5132999999999999E-2</v>
      </c>
      <c r="G5553">
        <v>81.525999999999996</v>
      </c>
      <c r="H5553">
        <v>0.17594000000000001</v>
      </c>
    </row>
    <row r="5554" spans="2:8" x14ac:dyDescent="0.25">
      <c r="B5554">
        <v>0.18704999999999999</v>
      </c>
      <c r="C5554">
        <v>40</v>
      </c>
      <c r="D5554">
        <v>285</v>
      </c>
      <c r="E5554">
        <v>39.548999999999999</v>
      </c>
      <c r="F5554">
        <v>2.5284999999999998E-2</v>
      </c>
      <c r="G5554">
        <v>87.05</v>
      </c>
      <c r="H5554">
        <v>0.18704999999999999</v>
      </c>
    </row>
    <row r="5555" spans="2:8" x14ac:dyDescent="0.25">
      <c r="B5555">
        <v>0.19808999999999999</v>
      </c>
      <c r="C5555">
        <v>45</v>
      </c>
      <c r="D5555">
        <v>285</v>
      </c>
      <c r="E5555">
        <v>39.305999999999997</v>
      </c>
      <c r="F5555">
        <v>2.5440999999999998E-2</v>
      </c>
      <c r="G5555">
        <v>92.593000000000004</v>
      </c>
      <c r="H5555">
        <v>0.19808999999999999</v>
      </c>
    </row>
    <row r="5556" spans="2:8" x14ac:dyDescent="0.25">
      <c r="B5556">
        <v>0.20906</v>
      </c>
      <c r="C5556">
        <v>50</v>
      </c>
      <c r="D5556">
        <v>285</v>
      </c>
      <c r="E5556">
        <v>39.061</v>
      </c>
      <c r="F5556">
        <v>2.5600999999999999E-2</v>
      </c>
      <c r="G5556">
        <v>98.156000000000006</v>
      </c>
      <c r="H5556">
        <v>0.20906</v>
      </c>
    </row>
    <row r="5557" spans="2:8" x14ac:dyDescent="0.25">
      <c r="B5557">
        <v>0.21995999999999999</v>
      </c>
      <c r="C5557">
        <v>55</v>
      </c>
      <c r="D5557">
        <v>285</v>
      </c>
      <c r="E5557">
        <v>38.813000000000002</v>
      </c>
      <c r="F5557">
        <v>2.5763999999999999E-2</v>
      </c>
      <c r="G5557">
        <v>103.74</v>
      </c>
      <c r="H5557">
        <v>0.21995999999999999</v>
      </c>
    </row>
    <row r="5558" spans="2:8" x14ac:dyDescent="0.25">
      <c r="B5558">
        <v>0.23080000000000001</v>
      </c>
      <c r="C5558">
        <v>60</v>
      </c>
      <c r="D5558">
        <v>285</v>
      </c>
      <c r="E5558">
        <v>38.561999999999998</v>
      </c>
      <c r="F5558">
        <v>2.5932E-2</v>
      </c>
      <c r="G5558">
        <v>109.35</v>
      </c>
      <c r="H5558">
        <v>0.23080000000000001</v>
      </c>
    </row>
    <row r="5559" spans="2:8" x14ac:dyDescent="0.25">
      <c r="B5559">
        <v>0.24157999999999999</v>
      </c>
      <c r="C5559">
        <v>65</v>
      </c>
      <c r="D5559">
        <v>285</v>
      </c>
      <c r="E5559">
        <v>38.308999999999997</v>
      </c>
      <c r="F5559">
        <v>2.6103999999999999E-2</v>
      </c>
      <c r="G5559">
        <v>114.97</v>
      </c>
      <c r="H5559">
        <v>0.24157999999999999</v>
      </c>
    </row>
    <row r="5560" spans="2:8" x14ac:dyDescent="0.25">
      <c r="B5560">
        <v>0.25230000000000002</v>
      </c>
      <c r="C5560">
        <v>70</v>
      </c>
      <c r="D5560">
        <v>285</v>
      </c>
      <c r="E5560">
        <v>38.052</v>
      </c>
      <c r="F5560">
        <v>2.6280000000000001E-2</v>
      </c>
      <c r="G5560">
        <v>120.63</v>
      </c>
      <c r="H5560">
        <v>0.25230000000000002</v>
      </c>
    </row>
    <row r="5561" spans="2:8" x14ac:dyDescent="0.25">
      <c r="B5561">
        <v>0.26296999999999998</v>
      </c>
      <c r="C5561">
        <v>75</v>
      </c>
      <c r="D5561">
        <v>285</v>
      </c>
      <c r="E5561">
        <v>37.790999999999997</v>
      </c>
      <c r="F5561">
        <v>2.6460999999999998E-2</v>
      </c>
      <c r="G5561">
        <v>126.31</v>
      </c>
      <c r="H5561">
        <v>0.26296999999999998</v>
      </c>
    </row>
    <row r="5562" spans="2:8" x14ac:dyDescent="0.25">
      <c r="B5562">
        <v>0.27360000000000001</v>
      </c>
      <c r="C5562">
        <v>80</v>
      </c>
      <c r="D5562">
        <v>285</v>
      </c>
      <c r="E5562">
        <v>37.527000000000001</v>
      </c>
      <c r="F5562">
        <v>2.6647000000000001E-2</v>
      </c>
      <c r="G5562">
        <v>132.01</v>
      </c>
      <c r="H5562">
        <v>0.27360000000000001</v>
      </c>
    </row>
    <row r="5563" spans="2:8" x14ac:dyDescent="0.25">
      <c r="B5563">
        <v>0.28416999999999998</v>
      </c>
      <c r="C5563">
        <v>85</v>
      </c>
      <c r="D5563">
        <v>285</v>
      </c>
      <c r="E5563">
        <v>37.26</v>
      </c>
      <c r="F5563">
        <v>2.6838999999999998E-2</v>
      </c>
      <c r="G5563">
        <v>137.75</v>
      </c>
      <c r="H5563">
        <v>0.28416999999999998</v>
      </c>
    </row>
    <row r="5564" spans="2:8" x14ac:dyDescent="0.25">
      <c r="B5564">
        <v>0.29471000000000003</v>
      </c>
      <c r="C5564">
        <v>90</v>
      </c>
      <c r="D5564">
        <v>285</v>
      </c>
      <c r="E5564">
        <v>36.988</v>
      </c>
      <c r="F5564">
        <v>2.7036000000000001E-2</v>
      </c>
      <c r="G5564">
        <v>143.51</v>
      </c>
      <c r="H5564">
        <v>0.29471000000000003</v>
      </c>
    </row>
    <row r="5565" spans="2:8" x14ac:dyDescent="0.25">
      <c r="B5565">
        <v>0.30520999999999998</v>
      </c>
      <c r="C5565">
        <v>95</v>
      </c>
      <c r="D5565">
        <v>285</v>
      </c>
      <c r="E5565">
        <v>36.712000000000003</v>
      </c>
      <c r="F5565">
        <v>2.7238999999999999E-2</v>
      </c>
      <c r="G5565">
        <v>149.31</v>
      </c>
      <c r="H5565">
        <v>0.30520999999999998</v>
      </c>
    </row>
    <row r="5566" spans="2:8" x14ac:dyDescent="0.25">
      <c r="B5566">
        <v>0.31568000000000002</v>
      </c>
      <c r="C5566">
        <v>100</v>
      </c>
      <c r="D5566">
        <v>285</v>
      </c>
      <c r="E5566">
        <v>36.430999999999997</v>
      </c>
      <c r="F5566">
        <v>2.7449000000000001E-2</v>
      </c>
      <c r="G5566">
        <v>155.15</v>
      </c>
      <c r="H5566">
        <v>0.31568000000000002</v>
      </c>
    </row>
    <row r="5567" spans="2:8" x14ac:dyDescent="0.25">
      <c r="B5567">
        <v>0.32612999999999998</v>
      </c>
      <c r="C5567">
        <v>105</v>
      </c>
      <c r="D5567">
        <v>285</v>
      </c>
      <c r="E5567">
        <v>36.146000000000001</v>
      </c>
      <c r="F5567">
        <v>2.7666E-2</v>
      </c>
      <c r="G5567">
        <v>161.02000000000001</v>
      </c>
      <c r="H5567">
        <v>0.32612999999999998</v>
      </c>
    </row>
    <row r="5568" spans="2:8" x14ac:dyDescent="0.25">
      <c r="B5568">
        <v>0.33656000000000003</v>
      </c>
      <c r="C5568">
        <v>110</v>
      </c>
      <c r="D5568">
        <v>285</v>
      </c>
      <c r="E5568">
        <v>35.854999999999997</v>
      </c>
      <c r="F5568">
        <v>2.7890000000000002E-2</v>
      </c>
      <c r="G5568">
        <v>166.93</v>
      </c>
      <c r="H5568">
        <v>0.33656000000000003</v>
      </c>
    </row>
    <row r="5569" spans="2:8" x14ac:dyDescent="0.25">
      <c r="B5569">
        <v>0.34697</v>
      </c>
      <c r="C5569">
        <v>115</v>
      </c>
      <c r="D5569">
        <v>285</v>
      </c>
      <c r="E5569">
        <v>35.558</v>
      </c>
      <c r="F5569">
        <v>2.8122999999999999E-2</v>
      </c>
      <c r="G5569">
        <v>172.89</v>
      </c>
      <c r="H5569">
        <v>0.34697</v>
      </c>
    </row>
    <row r="5570" spans="2:8" x14ac:dyDescent="0.25">
      <c r="B5570">
        <v>1.1423000000000001</v>
      </c>
      <c r="C5570">
        <v>120</v>
      </c>
      <c r="D5570">
        <v>285</v>
      </c>
      <c r="E5570">
        <v>0.94994999999999996</v>
      </c>
      <c r="F5570">
        <v>1.0527</v>
      </c>
      <c r="G5570">
        <v>633.58000000000004</v>
      </c>
      <c r="H5570">
        <v>1.1423000000000001</v>
      </c>
    </row>
    <row r="5571" spans="2:8" x14ac:dyDescent="0.25">
      <c r="B5571">
        <v>1.1498999999999999</v>
      </c>
      <c r="C5571">
        <v>125</v>
      </c>
      <c r="D5571">
        <v>285</v>
      </c>
      <c r="E5571">
        <v>0.93323</v>
      </c>
      <c r="F5571">
        <v>1.0714999999999999</v>
      </c>
      <c r="G5571">
        <v>638.01</v>
      </c>
      <c r="H5571">
        <v>1.1498999999999999</v>
      </c>
    </row>
    <row r="5572" spans="2:8" x14ac:dyDescent="0.25">
      <c r="B5572">
        <v>1.1572</v>
      </c>
      <c r="C5572">
        <v>130</v>
      </c>
      <c r="D5572">
        <v>285</v>
      </c>
      <c r="E5572">
        <v>0.91754000000000002</v>
      </c>
      <c r="F5572">
        <v>1.0899000000000001</v>
      </c>
      <c r="G5572">
        <v>642.29999999999995</v>
      </c>
      <c r="H5572">
        <v>1.1572</v>
      </c>
    </row>
    <row r="5573" spans="2:8" x14ac:dyDescent="0.25">
      <c r="B5573">
        <v>1.1641999999999999</v>
      </c>
      <c r="C5573">
        <v>135</v>
      </c>
      <c r="D5573">
        <v>285</v>
      </c>
      <c r="E5573">
        <v>0.90275000000000005</v>
      </c>
      <c r="F5573">
        <v>1.1076999999999999</v>
      </c>
      <c r="G5573">
        <v>646.47</v>
      </c>
      <c r="H5573">
        <v>1.1641999999999999</v>
      </c>
    </row>
    <row r="5574" spans="2:8" x14ac:dyDescent="0.25">
      <c r="B5574">
        <v>1.171</v>
      </c>
      <c r="C5574">
        <v>140</v>
      </c>
      <c r="D5574">
        <v>285</v>
      </c>
      <c r="E5574">
        <v>0.88875000000000004</v>
      </c>
      <c r="F5574">
        <v>1.1252</v>
      </c>
      <c r="G5574">
        <v>650.53</v>
      </c>
      <c r="H5574">
        <v>1.171</v>
      </c>
    </row>
    <row r="5575" spans="2:8" x14ac:dyDescent="0.25">
      <c r="B5575">
        <v>1.1776</v>
      </c>
      <c r="C5575">
        <v>145</v>
      </c>
      <c r="D5575">
        <v>285</v>
      </c>
      <c r="E5575">
        <v>0.87548000000000004</v>
      </c>
      <c r="F5575">
        <v>1.1422000000000001</v>
      </c>
      <c r="G5575">
        <v>654.5</v>
      </c>
      <c r="H5575">
        <v>1.1776</v>
      </c>
    </row>
    <row r="5576" spans="2:8" x14ac:dyDescent="0.25">
      <c r="B5576">
        <v>1.1839999999999999</v>
      </c>
      <c r="C5576">
        <v>150</v>
      </c>
      <c r="D5576">
        <v>285</v>
      </c>
      <c r="E5576">
        <v>0.86284000000000005</v>
      </c>
      <c r="F5576">
        <v>1.159</v>
      </c>
      <c r="G5576">
        <v>658.39</v>
      </c>
      <c r="H5576">
        <v>1.1839999999999999</v>
      </c>
    </row>
    <row r="5577" spans="2:8" x14ac:dyDescent="0.25">
      <c r="B5577">
        <v>1.1902999999999999</v>
      </c>
      <c r="C5577">
        <v>155</v>
      </c>
      <c r="D5577">
        <v>285</v>
      </c>
      <c r="E5577">
        <v>0.85079000000000005</v>
      </c>
      <c r="F5577">
        <v>1.1754</v>
      </c>
      <c r="G5577">
        <v>662.2</v>
      </c>
      <c r="H5577">
        <v>1.1902999999999999</v>
      </c>
    </row>
    <row r="5578" spans="2:8" x14ac:dyDescent="0.25">
      <c r="B5578">
        <v>1.1962999999999999</v>
      </c>
      <c r="C5578">
        <v>160</v>
      </c>
      <c r="D5578">
        <v>285</v>
      </c>
      <c r="E5578">
        <v>0.83926000000000001</v>
      </c>
      <c r="F5578">
        <v>1.1915</v>
      </c>
      <c r="G5578">
        <v>665.95</v>
      </c>
      <c r="H5578">
        <v>1.1962999999999999</v>
      </c>
    </row>
    <row r="5579" spans="2:8" x14ac:dyDescent="0.25">
      <c r="B5579">
        <v>1.2022999999999999</v>
      </c>
      <c r="C5579">
        <v>165</v>
      </c>
      <c r="D5579">
        <v>285</v>
      </c>
      <c r="E5579">
        <v>0.82821999999999996</v>
      </c>
      <c r="F5579">
        <v>1.2074</v>
      </c>
      <c r="G5579">
        <v>669.63</v>
      </c>
      <c r="H5579">
        <v>1.2022999999999999</v>
      </c>
    </row>
    <row r="5580" spans="2:8" x14ac:dyDescent="0.25">
      <c r="B5580">
        <v>1.208</v>
      </c>
      <c r="C5580">
        <v>170</v>
      </c>
      <c r="D5580">
        <v>285</v>
      </c>
      <c r="E5580">
        <v>0.81762000000000001</v>
      </c>
      <c r="F5580">
        <v>1.2231000000000001</v>
      </c>
      <c r="G5580">
        <v>673.26</v>
      </c>
      <c r="H5580">
        <v>1.208</v>
      </c>
    </row>
    <row r="5581" spans="2:8" x14ac:dyDescent="0.25">
      <c r="B5581">
        <v>1.2137</v>
      </c>
      <c r="C5581">
        <v>175</v>
      </c>
      <c r="D5581">
        <v>285</v>
      </c>
      <c r="E5581">
        <v>0.80742999999999998</v>
      </c>
      <c r="F5581">
        <v>1.2384999999999999</v>
      </c>
      <c r="G5581">
        <v>676.84</v>
      </c>
      <c r="H5581">
        <v>1.2137</v>
      </c>
    </row>
    <row r="5582" spans="2:8" x14ac:dyDescent="0.25">
      <c r="B5582">
        <v>1.2193000000000001</v>
      </c>
      <c r="C5582">
        <v>180</v>
      </c>
      <c r="D5582">
        <v>285</v>
      </c>
      <c r="E5582">
        <v>0.79762</v>
      </c>
      <c r="F5582">
        <v>1.2537</v>
      </c>
      <c r="G5582">
        <v>680.37</v>
      </c>
      <c r="H5582">
        <v>1.2193000000000001</v>
      </c>
    </row>
    <row r="5583" spans="2:8" x14ac:dyDescent="0.25">
      <c r="B5583">
        <v>1.2246999999999999</v>
      </c>
      <c r="C5583">
        <v>185</v>
      </c>
      <c r="D5583">
        <v>285</v>
      </c>
      <c r="E5583">
        <v>0.78815999999999997</v>
      </c>
      <c r="F5583">
        <v>1.2687999999999999</v>
      </c>
      <c r="G5583">
        <v>683.87</v>
      </c>
      <c r="H5583">
        <v>1.2246999999999999</v>
      </c>
    </row>
    <row r="5584" spans="2:8" x14ac:dyDescent="0.25">
      <c r="B5584">
        <v>1.23</v>
      </c>
      <c r="C5584">
        <v>190</v>
      </c>
      <c r="D5584">
        <v>285</v>
      </c>
      <c r="E5584">
        <v>0.77902000000000005</v>
      </c>
      <c r="F5584">
        <v>1.2837000000000001</v>
      </c>
      <c r="G5584">
        <v>687.32</v>
      </c>
      <c r="H5584">
        <v>1.23</v>
      </c>
    </row>
    <row r="5585" spans="2:8" x14ac:dyDescent="0.25">
      <c r="B5585">
        <v>1.2353000000000001</v>
      </c>
      <c r="C5585">
        <v>195</v>
      </c>
      <c r="D5585">
        <v>285</v>
      </c>
      <c r="E5585">
        <v>0.77019000000000004</v>
      </c>
      <c r="F5585">
        <v>1.2984</v>
      </c>
      <c r="G5585">
        <v>690.74</v>
      </c>
      <c r="H5585">
        <v>1.2353000000000001</v>
      </c>
    </row>
    <row r="5586" spans="2:8" x14ac:dyDescent="0.25">
      <c r="B5586">
        <v>1.2403999999999999</v>
      </c>
      <c r="C5586">
        <v>200</v>
      </c>
      <c r="D5586">
        <v>285</v>
      </c>
      <c r="E5586">
        <v>0.76163999999999998</v>
      </c>
      <c r="F5586">
        <v>1.3129999999999999</v>
      </c>
      <c r="G5586">
        <v>694.13</v>
      </c>
      <c r="H5586">
        <v>1.2403999999999999</v>
      </c>
    </row>
    <row r="5587" spans="2:8" x14ac:dyDescent="0.25">
      <c r="B5587">
        <v>1.2455000000000001</v>
      </c>
      <c r="C5587">
        <v>205</v>
      </c>
      <c r="D5587">
        <v>285</v>
      </c>
      <c r="E5587">
        <v>0.75336000000000003</v>
      </c>
      <c r="F5587">
        <v>1.3273999999999999</v>
      </c>
      <c r="G5587">
        <v>697.49</v>
      </c>
      <c r="H5587">
        <v>1.2455000000000001</v>
      </c>
    </row>
    <row r="5588" spans="2:8" x14ac:dyDescent="0.25">
      <c r="B5588">
        <v>1.2504999999999999</v>
      </c>
      <c r="C5588">
        <v>210</v>
      </c>
      <c r="D5588">
        <v>285</v>
      </c>
      <c r="E5588">
        <v>0.74533000000000005</v>
      </c>
      <c r="F5588">
        <v>1.3416999999999999</v>
      </c>
      <c r="G5588">
        <v>700.83</v>
      </c>
      <c r="H5588">
        <v>1.2504999999999999</v>
      </c>
    </row>
    <row r="5589" spans="2:8" x14ac:dyDescent="0.25">
      <c r="B5589">
        <v>1.2554000000000001</v>
      </c>
      <c r="C5589">
        <v>215</v>
      </c>
      <c r="D5589">
        <v>285</v>
      </c>
      <c r="E5589">
        <v>0.73753999999999997</v>
      </c>
      <c r="F5589">
        <v>1.3559000000000001</v>
      </c>
      <c r="G5589">
        <v>704.14</v>
      </c>
      <c r="H5589">
        <v>1.2554000000000001</v>
      </c>
    </row>
    <row r="5590" spans="2:8" x14ac:dyDescent="0.25">
      <c r="B5590">
        <v>1.2603</v>
      </c>
      <c r="C5590">
        <v>220</v>
      </c>
      <c r="D5590">
        <v>285</v>
      </c>
      <c r="E5590">
        <v>0.72996000000000005</v>
      </c>
      <c r="F5590">
        <v>1.3698999999999999</v>
      </c>
      <c r="G5590">
        <v>707.43</v>
      </c>
      <c r="H5590">
        <v>1.2603</v>
      </c>
    </row>
    <row r="5591" spans="2:8" x14ac:dyDescent="0.25">
      <c r="B5591">
        <v>1.2650999999999999</v>
      </c>
      <c r="C5591">
        <v>225</v>
      </c>
      <c r="D5591">
        <v>285</v>
      </c>
      <c r="E5591">
        <v>0.72260000000000002</v>
      </c>
      <c r="F5591">
        <v>1.3838999999999999</v>
      </c>
      <c r="G5591">
        <v>710.7</v>
      </c>
      <c r="H5591">
        <v>1.2650999999999999</v>
      </c>
    </row>
    <row r="5592" spans="2:8" x14ac:dyDescent="0.25">
      <c r="B5592">
        <v>1.2698</v>
      </c>
      <c r="C5592">
        <v>230</v>
      </c>
      <c r="D5592">
        <v>285</v>
      </c>
      <c r="E5592">
        <v>0.71543999999999996</v>
      </c>
      <c r="F5592">
        <v>1.3976999999999999</v>
      </c>
      <c r="G5592">
        <v>713.95</v>
      </c>
      <c r="H5592">
        <v>1.2698</v>
      </c>
    </row>
    <row r="5593" spans="2:8" x14ac:dyDescent="0.25">
      <c r="B5593">
        <v>1.2745</v>
      </c>
      <c r="C5593">
        <v>235</v>
      </c>
      <c r="D5593">
        <v>285</v>
      </c>
      <c r="E5593">
        <v>0.70847000000000004</v>
      </c>
      <c r="F5593">
        <v>1.4115</v>
      </c>
      <c r="G5593">
        <v>717.18</v>
      </c>
      <c r="H5593">
        <v>1.2745</v>
      </c>
    </row>
    <row r="5594" spans="2:8" x14ac:dyDescent="0.25">
      <c r="B5594">
        <v>1.2790999999999999</v>
      </c>
      <c r="C5594">
        <v>240</v>
      </c>
      <c r="D5594">
        <v>285</v>
      </c>
      <c r="E5594">
        <v>0.70167000000000002</v>
      </c>
      <c r="F5594">
        <v>1.4252</v>
      </c>
      <c r="G5594">
        <v>720.4</v>
      </c>
      <c r="H5594">
        <v>1.2790999999999999</v>
      </c>
    </row>
    <row r="5595" spans="2:8" x14ac:dyDescent="0.25">
      <c r="B5595">
        <v>1.2837000000000001</v>
      </c>
      <c r="C5595">
        <v>245</v>
      </c>
      <c r="D5595">
        <v>285</v>
      </c>
      <c r="E5595">
        <v>0.69504999999999995</v>
      </c>
      <c r="F5595">
        <v>1.4387000000000001</v>
      </c>
      <c r="G5595">
        <v>723.6</v>
      </c>
      <c r="H5595">
        <v>1.2837000000000001</v>
      </c>
    </row>
    <row r="5596" spans="2:8" x14ac:dyDescent="0.25">
      <c r="B5596">
        <v>1.2882</v>
      </c>
      <c r="C5596">
        <v>250</v>
      </c>
      <c r="D5596">
        <v>285</v>
      </c>
      <c r="E5596">
        <v>0.68859000000000004</v>
      </c>
      <c r="F5596">
        <v>1.4521999999999999</v>
      </c>
      <c r="G5596">
        <v>726.79</v>
      </c>
      <c r="H5596">
        <v>1.2882</v>
      </c>
    </row>
    <row r="5597" spans="2:8" x14ac:dyDescent="0.25">
      <c r="B5597">
        <v>1.2926</v>
      </c>
      <c r="C5597">
        <v>255</v>
      </c>
      <c r="D5597">
        <v>285</v>
      </c>
      <c r="E5597">
        <v>0.68228</v>
      </c>
      <c r="F5597">
        <v>1.4657</v>
      </c>
      <c r="G5597">
        <v>729.97</v>
      </c>
      <c r="H5597">
        <v>1.2926</v>
      </c>
    </row>
    <row r="5598" spans="2:8" x14ac:dyDescent="0.25">
      <c r="B5598">
        <v>1.2969999999999999</v>
      </c>
      <c r="C5598">
        <v>260</v>
      </c>
      <c r="D5598">
        <v>285</v>
      </c>
      <c r="E5598">
        <v>0.67613000000000001</v>
      </c>
      <c r="F5598">
        <v>1.4790000000000001</v>
      </c>
      <c r="G5598">
        <v>733.14</v>
      </c>
      <c r="H5598">
        <v>1.2969999999999999</v>
      </c>
    </row>
    <row r="5599" spans="2:8" x14ac:dyDescent="0.25">
      <c r="B5599">
        <v>1.3013999999999999</v>
      </c>
      <c r="C5599">
        <v>265</v>
      </c>
      <c r="D5599">
        <v>285</v>
      </c>
      <c r="E5599">
        <v>0.67010999999999998</v>
      </c>
      <c r="F5599">
        <v>1.4923</v>
      </c>
      <c r="G5599">
        <v>736.29</v>
      </c>
      <c r="H5599">
        <v>1.3013999999999999</v>
      </c>
    </row>
    <row r="5600" spans="2:8" x14ac:dyDescent="0.25">
      <c r="B5600">
        <v>1.3057000000000001</v>
      </c>
      <c r="C5600">
        <v>270</v>
      </c>
      <c r="D5600">
        <v>285</v>
      </c>
      <c r="E5600">
        <v>0.66422999999999999</v>
      </c>
      <c r="F5600">
        <v>1.5055000000000001</v>
      </c>
      <c r="G5600">
        <v>739.44</v>
      </c>
      <c r="H5600">
        <v>1.3057000000000001</v>
      </c>
    </row>
    <row r="5601" spans="2:8" x14ac:dyDescent="0.25">
      <c r="B5601">
        <v>1.31</v>
      </c>
      <c r="C5601">
        <v>275</v>
      </c>
      <c r="D5601">
        <v>285</v>
      </c>
      <c r="E5601">
        <v>0.65847999999999995</v>
      </c>
      <c r="F5601">
        <v>1.5185999999999999</v>
      </c>
      <c r="G5601">
        <v>742.58</v>
      </c>
      <c r="H5601">
        <v>1.31</v>
      </c>
    </row>
    <row r="5602" spans="2:8" x14ac:dyDescent="0.25">
      <c r="B5602">
        <v>1.3143</v>
      </c>
      <c r="C5602">
        <v>280</v>
      </c>
      <c r="D5602">
        <v>285</v>
      </c>
      <c r="E5602">
        <v>0.65286</v>
      </c>
      <c r="F5602">
        <v>1.5317000000000001</v>
      </c>
      <c r="G5602">
        <v>745.71</v>
      </c>
      <c r="H5602">
        <v>1.3143</v>
      </c>
    </row>
    <row r="5603" spans="2:8" x14ac:dyDescent="0.25">
      <c r="B5603">
        <v>1.3185</v>
      </c>
      <c r="C5603">
        <v>285</v>
      </c>
      <c r="D5603">
        <v>285</v>
      </c>
      <c r="E5603">
        <v>0.64734999999999998</v>
      </c>
      <c r="F5603">
        <v>1.5448</v>
      </c>
      <c r="G5603">
        <v>748.84</v>
      </c>
      <c r="H5603">
        <v>1.3185</v>
      </c>
    </row>
    <row r="5604" spans="2:8" x14ac:dyDescent="0.25">
      <c r="B5604">
        <v>1.3227</v>
      </c>
      <c r="C5604">
        <v>290</v>
      </c>
      <c r="D5604">
        <v>285</v>
      </c>
      <c r="E5604">
        <v>0.64195999999999998</v>
      </c>
      <c r="F5604">
        <v>1.5577000000000001</v>
      </c>
      <c r="G5604">
        <v>751.96</v>
      </c>
      <c r="H5604">
        <v>1.3227</v>
      </c>
    </row>
    <row r="5605" spans="2:8" x14ac:dyDescent="0.25">
      <c r="B5605">
        <v>1.3268</v>
      </c>
      <c r="C5605">
        <v>295</v>
      </c>
      <c r="D5605">
        <v>285</v>
      </c>
      <c r="E5605">
        <v>0.63668000000000002</v>
      </c>
      <c r="F5605">
        <v>1.5706</v>
      </c>
      <c r="G5605">
        <v>755.08</v>
      </c>
      <c r="H5605">
        <v>1.3268</v>
      </c>
    </row>
    <row r="5606" spans="2:8" x14ac:dyDescent="0.25">
      <c r="B5606">
        <v>1.3309</v>
      </c>
      <c r="C5606">
        <v>300</v>
      </c>
      <c r="D5606">
        <v>285</v>
      </c>
      <c r="E5606">
        <v>0.63151000000000002</v>
      </c>
      <c r="F5606">
        <v>1.5834999999999999</v>
      </c>
      <c r="G5606">
        <v>758.19</v>
      </c>
      <c r="H5606">
        <v>1.3309</v>
      </c>
    </row>
    <row r="5607" spans="2:8" x14ac:dyDescent="0.25">
      <c r="B5607">
        <v>1.335</v>
      </c>
      <c r="C5607">
        <v>305</v>
      </c>
      <c r="D5607">
        <v>285</v>
      </c>
      <c r="E5607">
        <v>0.62644</v>
      </c>
      <c r="F5607">
        <v>1.5963000000000001</v>
      </c>
      <c r="G5607">
        <v>761.29</v>
      </c>
      <c r="H5607">
        <v>1.335</v>
      </c>
    </row>
    <row r="5608" spans="2:8" x14ac:dyDescent="0.25">
      <c r="B5608">
        <v>1.339</v>
      </c>
      <c r="C5608">
        <v>310</v>
      </c>
      <c r="D5608">
        <v>285</v>
      </c>
      <c r="E5608">
        <v>0.62146999999999997</v>
      </c>
      <c r="F5608">
        <v>1.6091</v>
      </c>
      <c r="G5608">
        <v>764.39</v>
      </c>
      <c r="H5608">
        <v>1.339</v>
      </c>
    </row>
    <row r="5609" spans="2:8" x14ac:dyDescent="0.25">
      <c r="B5609">
        <v>1.3431</v>
      </c>
      <c r="C5609">
        <v>315</v>
      </c>
      <c r="D5609">
        <v>285</v>
      </c>
      <c r="E5609">
        <v>0.61658999999999997</v>
      </c>
      <c r="F5609">
        <v>1.6217999999999999</v>
      </c>
      <c r="G5609">
        <v>767.49</v>
      </c>
      <c r="H5609">
        <v>1.3431</v>
      </c>
    </row>
    <row r="5610" spans="2:8" x14ac:dyDescent="0.25">
      <c r="B5610">
        <v>1.347</v>
      </c>
      <c r="C5610">
        <v>320</v>
      </c>
      <c r="D5610">
        <v>285</v>
      </c>
      <c r="E5610">
        <v>0.61180999999999996</v>
      </c>
      <c r="F5610">
        <v>1.6345000000000001</v>
      </c>
      <c r="G5610">
        <v>770.59</v>
      </c>
      <c r="H5610">
        <v>1.347</v>
      </c>
    </row>
    <row r="5611" spans="2:8" x14ac:dyDescent="0.25">
      <c r="B5611">
        <v>1.351</v>
      </c>
      <c r="C5611">
        <v>325</v>
      </c>
      <c r="D5611">
        <v>285</v>
      </c>
      <c r="E5611">
        <v>0.60711000000000004</v>
      </c>
      <c r="F5611">
        <v>1.6471</v>
      </c>
      <c r="G5611">
        <v>773.68</v>
      </c>
      <c r="H5611">
        <v>1.351</v>
      </c>
    </row>
    <row r="5612" spans="2:8" x14ac:dyDescent="0.25">
      <c r="B5612">
        <v>1.3549</v>
      </c>
      <c r="C5612">
        <v>330</v>
      </c>
      <c r="D5612">
        <v>285</v>
      </c>
      <c r="E5612">
        <v>0.60250000000000004</v>
      </c>
      <c r="F5612">
        <v>1.6597</v>
      </c>
      <c r="G5612">
        <v>776.77</v>
      </c>
      <c r="H5612">
        <v>1.3549</v>
      </c>
    </row>
    <row r="5613" spans="2:8" x14ac:dyDescent="0.25">
      <c r="B5613">
        <v>1.3588</v>
      </c>
      <c r="C5613">
        <v>335</v>
      </c>
      <c r="D5613">
        <v>285</v>
      </c>
      <c r="E5613">
        <v>0.59797999999999996</v>
      </c>
      <c r="F5613">
        <v>1.6722999999999999</v>
      </c>
      <c r="G5613">
        <v>779.87</v>
      </c>
      <c r="H5613">
        <v>1.3588</v>
      </c>
    </row>
    <row r="5614" spans="2:8" x14ac:dyDescent="0.25">
      <c r="B5614">
        <v>1.3627</v>
      </c>
      <c r="C5614">
        <v>340</v>
      </c>
      <c r="D5614">
        <v>285</v>
      </c>
      <c r="E5614">
        <v>0.59353</v>
      </c>
      <c r="F5614">
        <v>1.6848000000000001</v>
      </c>
      <c r="G5614">
        <v>782.95</v>
      </c>
      <c r="H5614">
        <v>1.3627</v>
      </c>
    </row>
    <row r="5615" spans="2:8" x14ac:dyDescent="0.25">
      <c r="B5615">
        <v>1.3666</v>
      </c>
      <c r="C5615">
        <v>345</v>
      </c>
      <c r="D5615">
        <v>285</v>
      </c>
      <c r="E5615">
        <v>0.58916000000000002</v>
      </c>
      <c r="F5615">
        <v>1.6973</v>
      </c>
      <c r="G5615">
        <v>786.04</v>
      </c>
      <c r="H5615">
        <v>1.3666</v>
      </c>
    </row>
    <row r="5616" spans="2:8" x14ac:dyDescent="0.25">
      <c r="B5616">
        <v>1.3704000000000001</v>
      </c>
      <c r="C5616">
        <v>350</v>
      </c>
      <c r="D5616">
        <v>285</v>
      </c>
      <c r="E5616">
        <v>0.58487</v>
      </c>
      <c r="F5616">
        <v>1.7098</v>
      </c>
      <c r="G5616">
        <v>789.13</v>
      </c>
      <c r="H5616">
        <v>1.3704000000000001</v>
      </c>
    </row>
    <row r="5618" spans="1:8" x14ac:dyDescent="0.25">
      <c r="A5618">
        <v>290</v>
      </c>
      <c r="B5618">
        <v>9.5884999999999998E-2</v>
      </c>
      <c r="C5618">
        <v>0</v>
      </c>
      <c r="D5618">
        <v>290</v>
      </c>
      <c r="E5618">
        <v>41.408000000000001</v>
      </c>
      <c r="F5618">
        <v>2.4150000000000001E-2</v>
      </c>
      <c r="G5618">
        <v>43.360999999999997</v>
      </c>
      <c r="H5618">
        <v>9.5884999999999998E-2</v>
      </c>
    </row>
    <row r="5619" spans="1:8" x14ac:dyDescent="0.25">
      <c r="B5619">
        <v>0.10758</v>
      </c>
      <c r="C5619">
        <v>5</v>
      </c>
      <c r="D5619">
        <v>290</v>
      </c>
      <c r="E5619">
        <v>41.183</v>
      </c>
      <c r="F5619">
        <v>2.4282000000000001E-2</v>
      </c>
      <c r="G5619">
        <v>48.764000000000003</v>
      </c>
      <c r="H5619">
        <v>0.10758</v>
      </c>
    </row>
    <row r="5620" spans="1:8" x14ac:dyDescent="0.25">
      <c r="B5620">
        <v>0.11917999999999999</v>
      </c>
      <c r="C5620">
        <v>10</v>
      </c>
      <c r="D5620">
        <v>290</v>
      </c>
      <c r="E5620">
        <v>40.957000000000001</v>
      </c>
      <c r="F5620">
        <v>2.4416E-2</v>
      </c>
      <c r="G5620">
        <v>54.183999999999997</v>
      </c>
      <c r="H5620">
        <v>0.11917999999999999</v>
      </c>
    </row>
    <row r="5621" spans="1:8" x14ac:dyDescent="0.25">
      <c r="B5621">
        <v>0.13069</v>
      </c>
      <c r="C5621">
        <v>15</v>
      </c>
      <c r="D5621">
        <v>290</v>
      </c>
      <c r="E5621">
        <v>40.728000000000002</v>
      </c>
      <c r="F5621">
        <v>2.4552999999999998E-2</v>
      </c>
      <c r="G5621">
        <v>59.621000000000002</v>
      </c>
      <c r="H5621">
        <v>0.13069</v>
      </c>
    </row>
    <row r="5622" spans="1:8" x14ac:dyDescent="0.25">
      <c r="B5622">
        <v>0.14212</v>
      </c>
      <c r="C5622">
        <v>20</v>
      </c>
      <c r="D5622">
        <v>290</v>
      </c>
      <c r="E5622">
        <v>40.497</v>
      </c>
      <c r="F5622">
        <v>2.4693E-2</v>
      </c>
      <c r="G5622">
        <v>65.073999999999998</v>
      </c>
      <c r="H5622">
        <v>0.14212</v>
      </c>
    </row>
    <row r="5623" spans="1:8" x14ac:dyDescent="0.25">
      <c r="B5623">
        <v>0.15346000000000001</v>
      </c>
      <c r="C5623">
        <v>25</v>
      </c>
      <c r="D5623">
        <v>290</v>
      </c>
      <c r="E5623">
        <v>40.262999999999998</v>
      </c>
      <c r="F5623">
        <v>2.4836E-2</v>
      </c>
      <c r="G5623">
        <v>70.543999999999997</v>
      </c>
      <c r="H5623">
        <v>0.15346000000000001</v>
      </c>
    </row>
    <row r="5624" spans="1:8" x14ac:dyDescent="0.25">
      <c r="B5624">
        <v>0.16472999999999999</v>
      </c>
      <c r="C5624">
        <v>30</v>
      </c>
      <c r="D5624">
        <v>290</v>
      </c>
      <c r="E5624">
        <v>40.027999999999999</v>
      </c>
      <c r="F5624">
        <v>2.4982000000000001E-2</v>
      </c>
      <c r="G5624">
        <v>76.031000000000006</v>
      </c>
      <c r="H5624">
        <v>0.16472999999999999</v>
      </c>
    </row>
    <row r="5625" spans="1:8" x14ac:dyDescent="0.25">
      <c r="B5625">
        <v>0.17591000000000001</v>
      </c>
      <c r="C5625">
        <v>35</v>
      </c>
      <c r="D5625">
        <v>290</v>
      </c>
      <c r="E5625">
        <v>39.79</v>
      </c>
      <c r="F5625">
        <v>2.5132000000000002E-2</v>
      </c>
      <c r="G5625">
        <v>81.536000000000001</v>
      </c>
      <c r="H5625">
        <v>0.17591000000000001</v>
      </c>
    </row>
    <row r="5626" spans="1:8" x14ac:dyDescent="0.25">
      <c r="B5626">
        <v>0.18701999999999999</v>
      </c>
      <c r="C5626">
        <v>40</v>
      </c>
      <c r="D5626">
        <v>290</v>
      </c>
      <c r="E5626">
        <v>39.549999999999997</v>
      </c>
      <c r="F5626">
        <v>2.5284000000000001E-2</v>
      </c>
      <c r="G5626">
        <v>87.058999999999997</v>
      </c>
      <c r="H5626">
        <v>0.18701999999999999</v>
      </c>
    </row>
    <row r="5627" spans="1:8" x14ac:dyDescent="0.25">
      <c r="B5627">
        <v>0.19806000000000001</v>
      </c>
      <c r="C5627">
        <v>45</v>
      </c>
      <c r="D5627">
        <v>290</v>
      </c>
      <c r="E5627">
        <v>39.308</v>
      </c>
      <c r="F5627">
        <v>2.5440000000000001E-2</v>
      </c>
      <c r="G5627">
        <v>92.602000000000004</v>
      </c>
      <c r="H5627">
        <v>0.19806000000000001</v>
      </c>
    </row>
    <row r="5628" spans="1:8" x14ac:dyDescent="0.25">
      <c r="B5628">
        <v>0.20902999999999999</v>
      </c>
      <c r="C5628">
        <v>50</v>
      </c>
      <c r="D5628">
        <v>290</v>
      </c>
      <c r="E5628">
        <v>39.063000000000002</v>
      </c>
      <c r="F5628">
        <v>2.5600000000000001E-2</v>
      </c>
      <c r="G5628">
        <v>98.165000000000006</v>
      </c>
      <c r="H5628">
        <v>0.20902999999999999</v>
      </c>
    </row>
    <row r="5629" spans="1:8" x14ac:dyDescent="0.25">
      <c r="B5629">
        <v>0.21992999999999999</v>
      </c>
      <c r="C5629">
        <v>55</v>
      </c>
      <c r="D5629">
        <v>290</v>
      </c>
      <c r="E5629">
        <v>38.814999999999998</v>
      </c>
      <c r="F5629">
        <v>2.5763000000000001E-2</v>
      </c>
      <c r="G5629">
        <v>103.75</v>
      </c>
      <c r="H5629">
        <v>0.21992999999999999</v>
      </c>
    </row>
    <row r="5630" spans="1:8" x14ac:dyDescent="0.25">
      <c r="B5630">
        <v>0.23077</v>
      </c>
      <c r="C5630">
        <v>60</v>
      </c>
      <c r="D5630">
        <v>290</v>
      </c>
      <c r="E5630">
        <v>38.564</v>
      </c>
      <c r="F5630">
        <v>2.5930999999999999E-2</v>
      </c>
      <c r="G5630">
        <v>109.35</v>
      </c>
      <c r="H5630">
        <v>0.23077</v>
      </c>
    </row>
    <row r="5631" spans="1:8" x14ac:dyDescent="0.25">
      <c r="B5631">
        <v>0.24154999999999999</v>
      </c>
      <c r="C5631">
        <v>65</v>
      </c>
      <c r="D5631">
        <v>290</v>
      </c>
      <c r="E5631">
        <v>38.31</v>
      </c>
      <c r="F5631">
        <v>2.6103000000000001E-2</v>
      </c>
      <c r="G5631">
        <v>114.98</v>
      </c>
      <c r="H5631">
        <v>0.24154999999999999</v>
      </c>
    </row>
    <row r="5632" spans="1:8" x14ac:dyDescent="0.25">
      <c r="B5632">
        <v>0.25226999999999999</v>
      </c>
      <c r="C5632">
        <v>70</v>
      </c>
      <c r="D5632">
        <v>290</v>
      </c>
      <c r="E5632">
        <v>38.054000000000002</v>
      </c>
      <c r="F5632">
        <v>2.6279E-2</v>
      </c>
      <c r="G5632">
        <v>120.63</v>
      </c>
      <c r="H5632">
        <v>0.25226999999999999</v>
      </c>
    </row>
    <row r="5633" spans="2:8" x14ac:dyDescent="0.25">
      <c r="B5633">
        <v>0.26294000000000001</v>
      </c>
      <c r="C5633">
        <v>75</v>
      </c>
      <c r="D5633">
        <v>290</v>
      </c>
      <c r="E5633">
        <v>37.792999999999999</v>
      </c>
      <c r="F5633">
        <v>2.6460000000000001E-2</v>
      </c>
      <c r="G5633">
        <v>126.31</v>
      </c>
      <c r="H5633">
        <v>0.26294000000000001</v>
      </c>
    </row>
    <row r="5634" spans="2:8" x14ac:dyDescent="0.25">
      <c r="B5634">
        <v>0.27356000000000003</v>
      </c>
      <c r="C5634">
        <v>80</v>
      </c>
      <c r="D5634">
        <v>290</v>
      </c>
      <c r="E5634">
        <v>37.529000000000003</v>
      </c>
      <c r="F5634">
        <v>2.6646E-2</v>
      </c>
      <c r="G5634">
        <v>132.02000000000001</v>
      </c>
      <c r="H5634">
        <v>0.27356000000000003</v>
      </c>
    </row>
    <row r="5635" spans="2:8" x14ac:dyDescent="0.25">
      <c r="B5635">
        <v>0.28414</v>
      </c>
      <c r="C5635">
        <v>85</v>
      </c>
      <c r="D5635">
        <v>290</v>
      </c>
      <c r="E5635">
        <v>37.262</v>
      </c>
      <c r="F5635">
        <v>2.6837E-2</v>
      </c>
      <c r="G5635">
        <v>137.75</v>
      </c>
      <c r="H5635">
        <v>0.28414</v>
      </c>
    </row>
    <row r="5636" spans="2:8" x14ac:dyDescent="0.25">
      <c r="B5636">
        <v>0.29466999999999999</v>
      </c>
      <c r="C5636">
        <v>90</v>
      </c>
      <c r="D5636">
        <v>290</v>
      </c>
      <c r="E5636">
        <v>36.99</v>
      </c>
      <c r="F5636">
        <v>2.7033999999999999E-2</v>
      </c>
      <c r="G5636">
        <v>143.52000000000001</v>
      </c>
      <c r="H5636">
        <v>0.29466999999999999</v>
      </c>
    </row>
    <row r="5637" spans="2:8" x14ac:dyDescent="0.25">
      <c r="B5637">
        <v>0.30518000000000001</v>
      </c>
      <c r="C5637">
        <v>95</v>
      </c>
      <c r="D5637">
        <v>290</v>
      </c>
      <c r="E5637">
        <v>36.713999999999999</v>
      </c>
      <c r="F5637">
        <v>2.7237000000000001E-2</v>
      </c>
      <c r="G5637">
        <v>149.32</v>
      </c>
      <c r="H5637">
        <v>0.30518000000000001</v>
      </c>
    </row>
    <row r="5638" spans="2:8" x14ac:dyDescent="0.25">
      <c r="B5638">
        <v>0.31564999999999999</v>
      </c>
      <c r="C5638">
        <v>100</v>
      </c>
      <c r="D5638">
        <v>290</v>
      </c>
      <c r="E5638">
        <v>36.433999999999997</v>
      </c>
      <c r="F5638">
        <v>2.7446999999999999E-2</v>
      </c>
      <c r="G5638">
        <v>155.15</v>
      </c>
      <c r="H5638">
        <v>0.31564999999999999</v>
      </c>
    </row>
    <row r="5639" spans="2:8" x14ac:dyDescent="0.25">
      <c r="B5639">
        <v>0.32608999999999999</v>
      </c>
      <c r="C5639">
        <v>105</v>
      </c>
      <c r="D5639">
        <v>290</v>
      </c>
      <c r="E5639">
        <v>36.148000000000003</v>
      </c>
      <c r="F5639">
        <v>2.7664000000000001E-2</v>
      </c>
      <c r="G5639">
        <v>161.02000000000001</v>
      </c>
      <c r="H5639">
        <v>0.32608999999999999</v>
      </c>
    </row>
    <row r="5640" spans="2:8" x14ac:dyDescent="0.25">
      <c r="B5640">
        <v>0.33650999999999998</v>
      </c>
      <c r="C5640">
        <v>110</v>
      </c>
      <c r="D5640">
        <v>290</v>
      </c>
      <c r="E5640">
        <v>35.857999999999997</v>
      </c>
      <c r="F5640">
        <v>2.7888E-2</v>
      </c>
      <c r="G5640">
        <v>166.93</v>
      </c>
      <c r="H5640">
        <v>0.33650999999999998</v>
      </c>
    </row>
    <row r="5641" spans="2:8" x14ac:dyDescent="0.25">
      <c r="B5641">
        <v>0.34693000000000002</v>
      </c>
      <c r="C5641">
        <v>115</v>
      </c>
      <c r="D5641">
        <v>290</v>
      </c>
      <c r="E5641">
        <v>35.561</v>
      </c>
      <c r="F5641">
        <v>2.8121E-2</v>
      </c>
      <c r="G5641">
        <v>172.89</v>
      </c>
      <c r="H5641">
        <v>0.34693000000000002</v>
      </c>
    </row>
    <row r="5642" spans="2:8" x14ac:dyDescent="0.25">
      <c r="B5642">
        <v>0.35732999999999998</v>
      </c>
      <c r="C5642">
        <v>120</v>
      </c>
      <c r="D5642">
        <v>290</v>
      </c>
      <c r="E5642">
        <v>35.258000000000003</v>
      </c>
      <c r="F5642">
        <v>2.8361999999999998E-2</v>
      </c>
      <c r="G5642">
        <v>178.9</v>
      </c>
      <c r="H5642">
        <v>0.35732999999999998</v>
      </c>
    </row>
    <row r="5643" spans="2:8" x14ac:dyDescent="0.25">
      <c r="B5643">
        <v>1.1465000000000001</v>
      </c>
      <c r="C5643">
        <v>125</v>
      </c>
      <c r="D5643">
        <v>290</v>
      </c>
      <c r="E5643">
        <v>0.95384000000000002</v>
      </c>
      <c r="F5643">
        <v>1.0484</v>
      </c>
      <c r="G5643">
        <v>636.98</v>
      </c>
      <c r="H5643">
        <v>1.1465000000000001</v>
      </c>
    </row>
    <row r="5644" spans="2:8" x14ac:dyDescent="0.25">
      <c r="B5644">
        <v>1.1538999999999999</v>
      </c>
      <c r="C5644">
        <v>130</v>
      </c>
      <c r="D5644">
        <v>290</v>
      </c>
      <c r="E5644">
        <v>0.93754000000000004</v>
      </c>
      <c r="F5644">
        <v>1.0666</v>
      </c>
      <c r="G5644">
        <v>641.33000000000004</v>
      </c>
      <c r="H5644">
        <v>1.1538999999999999</v>
      </c>
    </row>
    <row r="5645" spans="2:8" x14ac:dyDescent="0.25">
      <c r="B5645">
        <v>1.161</v>
      </c>
      <c r="C5645">
        <v>135</v>
      </c>
      <c r="D5645">
        <v>290</v>
      </c>
      <c r="E5645">
        <v>0.92220000000000002</v>
      </c>
      <c r="F5645">
        <v>1.0844</v>
      </c>
      <c r="G5645">
        <v>645.54999999999995</v>
      </c>
      <c r="H5645">
        <v>1.161</v>
      </c>
    </row>
    <row r="5646" spans="2:8" x14ac:dyDescent="0.25">
      <c r="B5646">
        <v>1.1678999999999999</v>
      </c>
      <c r="C5646">
        <v>140</v>
      </c>
      <c r="D5646">
        <v>290</v>
      </c>
      <c r="E5646">
        <v>0.90769999999999995</v>
      </c>
      <c r="F5646">
        <v>1.1016999999999999</v>
      </c>
      <c r="G5646">
        <v>649.66</v>
      </c>
      <c r="H5646">
        <v>1.1678999999999999</v>
      </c>
    </row>
    <row r="5647" spans="2:8" x14ac:dyDescent="0.25">
      <c r="B5647">
        <v>1.1745000000000001</v>
      </c>
      <c r="C5647">
        <v>145</v>
      </c>
      <c r="D5647">
        <v>290</v>
      </c>
      <c r="E5647">
        <v>0.89395999999999998</v>
      </c>
      <c r="F5647">
        <v>1.1186</v>
      </c>
      <c r="G5647">
        <v>653.66999999999996</v>
      </c>
      <c r="H5647">
        <v>1.1745000000000001</v>
      </c>
    </row>
    <row r="5648" spans="2:8" x14ac:dyDescent="0.25">
      <c r="B5648">
        <v>1.181</v>
      </c>
      <c r="C5648">
        <v>150</v>
      </c>
      <c r="D5648">
        <v>290</v>
      </c>
      <c r="E5648">
        <v>0.88090000000000002</v>
      </c>
      <c r="F5648">
        <v>1.1352</v>
      </c>
      <c r="G5648">
        <v>657.59</v>
      </c>
      <c r="H5648">
        <v>1.181</v>
      </c>
    </row>
    <row r="5649" spans="2:8" x14ac:dyDescent="0.25">
      <c r="B5649">
        <v>1.1873</v>
      </c>
      <c r="C5649">
        <v>155</v>
      </c>
      <c r="D5649">
        <v>290</v>
      </c>
      <c r="E5649">
        <v>0.86845000000000006</v>
      </c>
      <c r="F5649">
        <v>1.1515</v>
      </c>
      <c r="G5649">
        <v>661.44</v>
      </c>
      <c r="H5649">
        <v>1.1873</v>
      </c>
    </row>
    <row r="5650" spans="2:8" x14ac:dyDescent="0.25">
      <c r="B5650">
        <v>1.1934</v>
      </c>
      <c r="C5650">
        <v>160</v>
      </c>
      <c r="D5650">
        <v>290</v>
      </c>
      <c r="E5650">
        <v>0.85655000000000003</v>
      </c>
      <c r="F5650">
        <v>1.1675</v>
      </c>
      <c r="G5650">
        <v>665.21</v>
      </c>
      <c r="H5650">
        <v>1.1934</v>
      </c>
    </row>
    <row r="5651" spans="2:8" x14ac:dyDescent="0.25">
      <c r="B5651">
        <v>1.1994</v>
      </c>
      <c r="C5651">
        <v>165</v>
      </c>
      <c r="D5651">
        <v>290</v>
      </c>
      <c r="E5651">
        <v>0.84516000000000002</v>
      </c>
      <c r="F5651">
        <v>1.1832</v>
      </c>
      <c r="G5651">
        <v>668.93</v>
      </c>
      <c r="H5651">
        <v>1.1994</v>
      </c>
    </row>
    <row r="5652" spans="2:8" x14ac:dyDescent="0.25">
      <c r="B5652">
        <v>1.2052</v>
      </c>
      <c r="C5652">
        <v>170</v>
      </c>
      <c r="D5652">
        <v>290</v>
      </c>
      <c r="E5652">
        <v>0.83423999999999998</v>
      </c>
      <c r="F5652">
        <v>1.1987000000000001</v>
      </c>
      <c r="G5652">
        <v>672.58</v>
      </c>
      <c r="H5652">
        <v>1.2052</v>
      </c>
    </row>
    <row r="5653" spans="2:8" x14ac:dyDescent="0.25">
      <c r="B5653">
        <v>1.2109000000000001</v>
      </c>
      <c r="C5653">
        <v>175</v>
      </c>
      <c r="D5653">
        <v>290</v>
      </c>
      <c r="E5653">
        <v>0.82374999999999998</v>
      </c>
      <c r="F5653">
        <v>1.214</v>
      </c>
      <c r="G5653">
        <v>676.18</v>
      </c>
      <c r="H5653">
        <v>1.2109000000000001</v>
      </c>
    </row>
    <row r="5654" spans="2:8" x14ac:dyDescent="0.25">
      <c r="B5654">
        <v>1.2164999999999999</v>
      </c>
      <c r="C5654">
        <v>180</v>
      </c>
      <c r="D5654">
        <v>290</v>
      </c>
      <c r="E5654">
        <v>0.81364000000000003</v>
      </c>
      <c r="F5654">
        <v>1.2290000000000001</v>
      </c>
      <c r="G5654">
        <v>679.74</v>
      </c>
      <c r="H5654">
        <v>1.2164999999999999</v>
      </c>
    </row>
    <row r="5655" spans="2:8" x14ac:dyDescent="0.25">
      <c r="B5655">
        <v>1.2219</v>
      </c>
      <c r="C5655">
        <v>185</v>
      </c>
      <c r="D5655">
        <v>290</v>
      </c>
      <c r="E5655">
        <v>0.80391000000000001</v>
      </c>
      <c r="F5655">
        <v>1.2439</v>
      </c>
      <c r="G5655">
        <v>683.25</v>
      </c>
      <c r="H5655">
        <v>1.2219</v>
      </c>
    </row>
    <row r="5656" spans="2:8" x14ac:dyDescent="0.25">
      <c r="B5656">
        <v>1.2273000000000001</v>
      </c>
      <c r="C5656">
        <v>190</v>
      </c>
      <c r="D5656">
        <v>290</v>
      </c>
      <c r="E5656">
        <v>0.79451000000000005</v>
      </c>
      <c r="F5656">
        <v>1.2585999999999999</v>
      </c>
      <c r="G5656">
        <v>686.73</v>
      </c>
      <c r="H5656">
        <v>1.2273000000000001</v>
      </c>
    </row>
    <row r="5657" spans="2:8" x14ac:dyDescent="0.25">
      <c r="B5657">
        <v>1.2325999999999999</v>
      </c>
      <c r="C5657">
        <v>195</v>
      </c>
      <c r="D5657">
        <v>290</v>
      </c>
      <c r="E5657">
        <v>0.78542999999999996</v>
      </c>
      <c r="F5657">
        <v>1.2732000000000001</v>
      </c>
      <c r="G5657">
        <v>690.17</v>
      </c>
      <c r="H5657">
        <v>1.2325999999999999</v>
      </c>
    </row>
    <row r="5658" spans="2:8" x14ac:dyDescent="0.25">
      <c r="B5658">
        <v>1.2378</v>
      </c>
      <c r="C5658">
        <v>200</v>
      </c>
      <c r="D5658">
        <v>290</v>
      </c>
      <c r="E5658">
        <v>0.77664999999999995</v>
      </c>
      <c r="F5658">
        <v>1.2876000000000001</v>
      </c>
      <c r="G5658">
        <v>693.58</v>
      </c>
      <c r="H5658">
        <v>1.2378</v>
      </c>
    </row>
    <row r="5659" spans="2:8" x14ac:dyDescent="0.25">
      <c r="B5659">
        <v>1.2428999999999999</v>
      </c>
      <c r="C5659">
        <v>205</v>
      </c>
      <c r="D5659">
        <v>290</v>
      </c>
      <c r="E5659">
        <v>0.76815</v>
      </c>
      <c r="F5659">
        <v>1.3018000000000001</v>
      </c>
      <c r="G5659">
        <v>696.95</v>
      </c>
      <c r="H5659">
        <v>1.2428999999999999</v>
      </c>
    </row>
    <row r="5660" spans="2:8" x14ac:dyDescent="0.25">
      <c r="B5660">
        <v>1.2479</v>
      </c>
      <c r="C5660">
        <v>210</v>
      </c>
      <c r="D5660">
        <v>290</v>
      </c>
      <c r="E5660">
        <v>0.75990000000000002</v>
      </c>
      <c r="F5660">
        <v>1.3160000000000001</v>
      </c>
      <c r="G5660">
        <v>700.3</v>
      </c>
      <c r="H5660">
        <v>1.2479</v>
      </c>
    </row>
    <row r="5661" spans="2:8" x14ac:dyDescent="0.25">
      <c r="B5661">
        <v>1.2527999999999999</v>
      </c>
      <c r="C5661">
        <v>215</v>
      </c>
      <c r="D5661">
        <v>290</v>
      </c>
      <c r="E5661">
        <v>0.75190000000000001</v>
      </c>
      <c r="F5661">
        <v>1.33</v>
      </c>
      <c r="G5661">
        <v>703.63</v>
      </c>
      <c r="H5661">
        <v>1.2527999999999999</v>
      </c>
    </row>
    <row r="5662" spans="2:8" x14ac:dyDescent="0.25">
      <c r="B5662">
        <v>1.2577</v>
      </c>
      <c r="C5662">
        <v>220</v>
      </c>
      <c r="D5662">
        <v>290</v>
      </c>
      <c r="E5662">
        <v>0.74412999999999996</v>
      </c>
      <c r="F5662">
        <v>1.3439000000000001</v>
      </c>
      <c r="G5662">
        <v>706.93</v>
      </c>
      <c r="H5662">
        <v>1.2577</v>
      </c>
    </row>
    <row r="5663" spans="2:8" x14ac:dyDescent="0.25">
      <c r="B5663">
        <v>1.2625</v>
      </c>
      <c r="C5663">
        <v>225</v>
      </c>
      <c r="D5663">
        <v>290</v>
      </c>
      <c r="E5663">
        <v>0.73658000000000001</v>
      </c>
      <c r="F5663">
        <v>1.3575999999999999</v>
      </c>
      <c r="G5663">
        <v>710.21</v>
      </c>
      <c r="H5663">
        <v>1.2625</v>
      </c>
    </row>
    <row r="5664" spans="2:8" x14ac:dyDescent="0.25">
      <c r="B5664">
        <v>1.2673000000000001</v>
      </c>
      <c r="C5664">
        <v>230</v>
      </c>
      <c r="D5664">
        <v>290</v>
      </c>
      <c r="E5664">
        <v>0.72923000000000004</v>
      </c>
      <c r="F5664">
        <v>1.3713</v>
      </c>
      <c r="G5664">
        <v>713.48</v>
      </c>
      <c r="H5664">
        <v>1.2673000000000001</v>
      </c>
    </row>
    <row r="5665" spans="2:8" x14ac:dyDescent="0.25">
      <c r="B5665">
        <v>1.272</v>
      </c>
      <c r="C5665">
        <v>235</v>
      </c>
      <c r="D5665">
        <v>290</v>
      </c>
      <c r="E5665">
        <v>0.72209000000000001</v>
      </c>
      <c r="F5665">
        <v>1.3849</v>
      </c>
      <c r="G5665">
        <v>716.72</v>
      </c>
      <c r="H5665">
        <v>1.272</v>
      </c>
    </row>
    <row r="5666" spans="2:8" x14ac:dyDescent="0.25">
      <c r="B5666">
        <v>1.2766</v>
      </c>
      <c r="C5666">
        <v>240</v>
      </c>
      <c r="D5666">
        <v>290</v>
      </c>
      <c r="E5666">
        <v>0.71511999999999998</v>
      </c>
      <c r="F5666">
        <v>1.3984000000000001</v>
      </c>
      <c r="G5666">
        <v>719.95</v>
      </c>
      <c r="H5666">
        <v>1.2766</v>
      </c>
    </row>
    <row r="5667" spans="2:8" x14ac:dyDescent="0.25">
      <c r="B5667">
        <v>1.2811999999999999</v>
      </c>
      <c r="C5667">
        <v>245</v>
      </c>
      <c r="D5667">
        <v>290</v>
      </c>
      <c r="E5667">
        <v>0.70833999999999997</v>
      </c>
      <c r="F5667">
        <v>1.4117999999999999</v>
      </c>
      <c r="G5667">
        <v>723.16</v>
      </c>
      <c r="H5667">
        <v>1.2811999999999999</v>
      </c>
    </row>
    <row r="5668" spans="2:8" x14ac:dyDescent="0.25">
      <c r="B5668">
        <v>1.2857000000000001</v>
      </c>
      <c r="C5668">
        <v>250</v>
      </c>
      <c r="D5668">
        <v>290</v>
      </c>
      <c r="E5668">
        <v>0.70172000000000001</v>
      </c>
      <c r="F5668">
        <v>1.4251</v>
      </c>
      <c r="G5668">
        <v>726.37</v>
      </c>
      <c r="H5668">
        <v>1.2857000000000001</v>
      </c>
    </row>
    <row r="5669" spans="2:8" x14ac:dyDescent="0.25">
      <c r="B5669">
        <v>1.2902</v>
      </c>
      <c r="C5669">
        <v>255</v>
      </c>
      <c r="D5669">
        <v>290</v>
      </c>
      <c r="E5669">
        <v>0.69525999999999999</v>
      </c>
      <c r="F5669">
        <v>1.4382999999999999</v>
      </c>
      <c r="G5669">
        <v>729.55</v>
      </c>
      <c r="H5669">
        <v>1.2902</v>
      </c>
    </row>
    <row r="5670" spans="2:8" x14ac:dyDescent="0.25">
      <c r="B5670">
        <v>1.2946</v>
      </c>
      <c r="C5670">
        <v>260</v>
      </c>
      <c r="D5670">
        <v>290</v>
      </c>
      <c r="E5670">
        <v>0.68894999999999995</v>
      </c>
      <c r="F5670">
        <v>1.4515</v>
      </c>
      <c r="G5670">
        <v>732.73</v>
      </c>
      <c r="H5670">
        <v>1.2946</v>
      </c>
    </row>
    <row r="5671" spans="2:8" x14ac:dyDescent="0.25">
      <c r="B5671">
        <v>1.2989999999999999</v>
      </c>
      <c r="C5671">
        <v>265</v>
      </c>
      <c r="D5671">
        <v>290</v>
      </c>
      <c r="E5671">
        <v>0.68279999999999996</v>
      </c>
      <c r="F5671">
        <v>1.4645999999999999</v>
      </c>
      <c r="G5671">
        <v>735.9</v>
      </c>
      <c r="H5671">
        <v>1.2989999999999999</v>
      </c>
    </row>
    <row r="5672" spans="2:8" x14ac:dyDescent="0.25">
      <c r="B5672">
        <v>1.3032999999999999</v>
      </c>
      <c r="C5672">
        <v>270</v>
      </c>
      <c r="D5672">
        <v>290</v>
      </c>
      <c r="E5672">
        <v>0.67678000000000005</v>
      </c>
      <c r="F5672">
        <v>1.4776</v>
      </c>
      <c r="G5672">
        <v>739.05</v>
      </c>
      <c r="H5672">
        <v>1.3032999999999999</v>
      </c>
    </row>
    <row r="5673" spans="2:8" x14ac:dyDescent="0.25">
      <c r="B5673">
        <v>1.3076000000000001</v>
      </c>
      <c r="C5673">
        <v>275</v>
      </c>
      <c r="D5673">
        <v>290</v>
      </c>
      <c r="E5673">
        <v>0.67088999999999999</v>
      </c>
      <c r="F5673">
        <v>1.4905999999999999</v>
      </c>
      <c r="G5673">
        <v>742.2</v>
      </c>
      <c r="H5673">
        <v>1.3076000000000001</v>
      </c>
    </row>
    <row r="5674" spans="2:8" x14ac:dyDescent="0.25">
      <c r="B5674">
        <v>1.3119000000000001</v>
      </c>
      <c r="C5674">
        <v>280</v>
      </c>
      <c r="D5674">
        <v>290</v>
      </c>
      <c r="E5674">
        <v>0.66513999999999995</v>
      </c>
      <c r="F5674">
        <v>1.5034000000000001</v>
      </c>
      <c r="G5674">
        <v>745.34</v>
      </c>
      <c r="H5674">
        <v>1.3119000000000001</v>
      </c>
    </row>
    <row r="5675" spans="2:8" x14ac:dyDescent="0.25">
      <c r="B5675">
        <v>1.3161</v>
      </c>
      <c r="C5675">
        <v>285</v>
      </c>
      <c r="D5675">
        <v>290</v>
      </c>
      <c r="E5675">
        <v>0.65949999999999998</v>
      </c>
      <c r="F5675">
        <v>1.5163</v>
      </c>
      <c r="G5675">
        <v>748.48</v>
      </c>
      <c r="H5675">
        <v>1.3161</v>
      </c>
    </row>
    <row r="5676" spans="2:8" x14ac:dyDescent="0.25">
      <c r="B5676">
        <v>1.3203</v>
      </c>
      <c r="C5676">
        <v>290</v>
      </c>
      <c r="D5676">
        <v>290</v>
      </c>
      <c r="E5676">
        <v>0.65398999999999996</v>
      </c>
      <c r="F5676">
        <v>1.5290999999999999</v>
      </c>
      <c r="G5676">
        <v>751.61</v>
      </c>
      <c r="H5676">
        <v>1.3203</v>
      </c>
    </row>
    <row r="5677" spans="2:8" x14ac:dyDescent="0.25">
      <c r="B5677">
        <v>1.3244</v>
      </c>
      <c r="C5677">
        <v>295</v>
      </c>
      <c r="D5677">
        <v>290</v>
      </c>
      <c r="E5677">
        <v>0.64859</v>
      </c>
      <c r="F5677">
        <v>1.5418000000000001</v>
      </c>
      <c r="G5677">
        <v>754.73</v>
      </c>
      <c r="H5677">
        <v>1.3244</v>
      </c>
    </row>
    <row r="5678" spans="2:8" x14ac:dyDescent="0.25">
      <c r="B5678">
        <v>1.3286</v>
      </c>
      <c r="C5678">
        <v>300</v>
      </c>
      <c r="D5678">
        <v>290</v>
      </c>
      <c r="E5678">
        <v>0.64329999999999998</v>
      </c>
      <c r="F5678">
        <v>1.5545</v>
      </c>
      <c r="G5678">
        <v>757.84</v>
      </c>
      <c r="H5678">
        <v>1.3286</v>
      </c>
    </row>
    <row r="5679" spans="2:8" x14ac:dyDescent="0.25">
      <c r="B5679">
        <v>1.3326</v>
      </c>
      <c r="C5679">
        <v>305</v>
      </c>
      <c r="D5679">
        <v>290</v>
      </c>
      <c r="E5679">
        <v>0.63812000000000002</v>
      </c>
      <c r="F5679">
        <v>1.5670999999999999</v>
      </c>
      <c r="G5679">
        <v>760.96</v>
      </c>
      <c r="H5679">
        <v>1.3326</v>
      </c>
    </row>
    <row r="5680" spans="2:8" x14ac:dyDescent="0.25">
      <c r="B5680">
        <v>1.3367</v>
      </c>
      <c r="C5680">
        <v>310</v>
      </c>
      <c r="D5680">
        <v>290</v>
      </c>
      <c r="E5680">
        <v>0.63302999999999998</v>
      </c>
      <c r="F5680">
        <v>1.5797000000000001</v>
      </c>
      <c r="G5680">
        <v>764.07</v>
      </c>
      <c r="H5680">
        <v>1.3367</v>
      </c>
    </row>
    <row r="5681" spans="1:8" x14ac:dyDescent="0.25">
      <c r="B5681">
        <v>1.3407</v>
      </c>
      <c r="C5681">
        <v>315</v>
      </c>
      <c r="D5681">
        <v>290</v>
      </c>
      <c r="E5681">
        <v>0.62805</v>
      </c>
      <c r="F5681">
        <v>1.5922000000000001</v>
      </c>
      <c r="G5681">
        <v>767.17</v>
      </c>
      <c r="H5681">
        <v>1.3407</v>
      </c>
    </row>
    <row r="5682" spans="1:8" x14ac:dyDescent="0.25">
      <c r="B5682">
        <v>1.3447</v>
      </c>
      <c r="C5682">
        <v>320</v>
      </c>
      <c r="D5682">
        <v>290</v>
      </c>
      <c r="E5682">
        <v>0.62316000000000005</v>
      </c>
      <c r="F5682">
        <v>1.6047</v>
      </c>
      <c r="G5682">
        <v>770.27</v>
      </c>
      <c r="H5682">
        <v>1.3447</v>
      </c>
    </row>
    <row r="5683" spans="1:8" x14ac:dyDescent="0.25">
      <c r="B5683">
        <v>1.3487</v>
      </c>
      <c r="C5683">
        <v>325</v>
      </c>
      <c r="D5683">
        <v>290</v>
      </c>
      <c r="E5683">
        <v>0.61836000000000002</v>
      </c>
      <c r="F5683">
        <v>1.6172</v>
      </c>
      <c r="G5683">
        <v>773.37</v>
      </c>
      <c r="H5683">
        <v>1.3487</v>
      </c>
    </row>
    <row r="5684" spans="1:8" x14ac:dyDescent="0.25">
      <c r="B5684">
        <v>1.3526</v>
      </c>
      <c r="C5684">
        <v>330</v>
      </c>
      <c r="D5684">
        <v>290</v>
      </c>
      <c r="E5684">
        <v>0.61365000000000003</v>
      </c>
      <c r="F5684">
        <v>1.6295999999999999</v>
      </c>
      <c r="G5684">
        <v>776.47</v>
      </c>
      <c r="H5684">
        <v>1.3526</v>
      </c>
    </row>
    <row r="5685" spans="1:8" x14ac:dyDescent="0.25">
      <c r="B5685">
        <v>1.3565</v>
      </c>
      <c r="C5685">
        <v>335</v>
      </c>
      <c r="D5685">
        <v>290</v>
      </c>
      <c r="E5685">
        <v>0.60902999999999996</v>
      </c>
      <c r="F5685">
        <v>1.6419999999999999</v>
      </c>
      <c r="G5685">
        <v>779.57</v>
      </c>
      <c r="H5685">
        <v>1.3565</v>
      </c>
    </row>
    <row r="5686" spans="1:8" x14ac:dyDescent="0.25">
      <c r="B5686">
        <v>1.3604000000000001</v>
      </c>
      <c r="C5686">
        <v>340</v>
      </c>
      <c r="D5686">
        <v>290</v>
      </c>
      <c r="E5686">
        <v>0.60448000000000002</v>
      </c>
      <c r="F5686">
        <v>1.6543000000000001</v>
      </c>
      <c r="G5686">
        <v>782.66</v>
      </c>
      <c r="H5686">
        <v>1.3604000000000001</v>
      </c>
    </row>
    <row r="5687" spans="1:8" x14ac:dyDescent="0.25">
      <c r="B5687">
        <v>1.3643000000000001</v>
      </c>
      <c r="C5687">
        <v>345</v>
      </c>
      <c r="D5687">
        <v>290</v>
      </c>
      <c r="E5687">
        <v>0.60002</v>
      </c>
      <c r="F5687">
        <v>1.6666000000000001</v>
      </c>
      <c r="G5687">
        <v>785.76</v>
      </c>
      <c r="H5687">
        <v>1.3643000000000001</v>
      </c>
    </row>
    <row r="5688" spans="1:8" x14ac:dyDescent="0.25">
      <c r="B5688">
        <v>1.3681000000000001</v>
      </c>
      <c r="C5688">
        <v>350</v>
      </c>
      <c r="D5688">
        <v>290</v>
      </c>
      <c r="E5688">
        <v>0.59563999999999995</v>
      </c>
      <c r="F5688">
        <v>1.6789000000000001</v>
      </c>
      <c r="G5688">
        <v>788.85</v>
      </c>
      <c r="H5688">
        <v>1.3681000000000001</v>
      </c>
    </row>
    <row r="5690" spans="1:8" x14ac:dyDescent="0.25">
      <c r="A5690">
        <v>295</v>
      </c>
      <c r="B5690">
        <v>9.5861000000000002E-2</v>
      </c>
      <c r="C5690">
        <v>0</v>
      </c>
      <c r="D5690">
        <v>295</v>
      </c>
      <c r="E5690">
        <v>41.41</v>
      </c>
      <c r="F5690">
        <v>2.4149E-2</v>
      </c>
      <c r="G5690">
        <v>43.372</v>
      </c>
      <c r="H5690">
        <v>9.5861000000000002E-2</v>
      </c>
    </row>
    <row r="5691" spans="1:8" x14ac:dyDescent="0.25">
      <c r="B5691">
        <v>0.10755000000000001</v>
      </c>
      <c r="C5691">
        <v>5</v>
      </c>
      <c r="D5691">
        <v>295</v>
      </c>
      <c r="E5691">
        <v>41.185000000000002</v>
      </c>
      <c r="F5691">
        <v>2.4281E-2</v>
      </c>
      <c r="G5691">
        <v>48.774999999999999</v>
      </c>
      <c r="H5691">
        <v>0.10755000000000001</v>
      </c>
    </row>
    <row r="5692" spans="1:8" x14ac:dyDescent="0.25">
      <c r="B5692">
        <v>0.11915000000000001</v>
      </c>
      <c r="C5692">
        <v>10</v>
      </c>
      <c r="D5692">
        <v>295</v>
      </c>
      <c r="E5692">
        <v>40.957999999999998</v>
      </c>
      <c r="F5692">
        <v>2.4414999999999999E-2</v>
      </c>
      <c r="G5692">
        <v>54.195</v>
      </c>
      <c r="H5692">
        <v>0.11915000000000001</v>
      </c>
    </row>
    <row r="5693" spans="1:8" x14ac:dyDescent="0.25">
      <c r="B5693">
        <v>0.13067000000000001</v>
      </c>
      <c r="C5693">
        <v>15</v>
      </c>
      <c r="D5693">
        <v>295</v>
      </c>
      <c r="E5693">
        <v>40.728999999999999</v>
      </c>
      <c r="F5693">
        <v>2.4552999999999998E-2</v>
      </c>
      <c r="G5693">
        <v>59.631</v>
      </c>
      <c r="H5693">
        <v>0.13067000000000001</v>
      </c>
    </row>
    <row r="5694" spans="1:8" x14ac:dyDescent="0.25">
      <c r="B5694">
        <v>0.14208999999999999</v>
      </c>
      <c r="C5694">
        <v>20</v>
      </c>
      <c r="D5694">
        <v>295</v>
      </c>
      <c r="E5694">
        <v>40.497999999999998</v>
      </c>
      <c r="F5694">
        <v>2.4693E-2</v>
      </c>
      <c r="G5694">
        <v>65.084000000000003</v>
      </c>
      <c r="H5694">
        <v>0.14208999999999999</v>
      </c>
    </row>
    <row r="5695" spans="1:8" x14ac:dyDescent="0.25">
      <c r="B5695">
        <v>0.15343999999999999</v>
      </c>
      <c r="C5695">
        <v>25</v>
      </c>
      <c r="D5695">
        <v>295</v>
      </c>
      <c r="E5695">
        <v>40.265000000000001</v>
      </c>
      <c r="F5695">
        <v>2.4836E-2</v>
      </c>
      <c r="G5695">
        <v>70.554000000000002</v>
      </c>
      <c r="H5695">
        <v>0.15343999999999999</v>
      </c>
    </row>
    <row r="5696" spans="1:8" x14ac:dyDescent="0.25">
      <c r="B5696">
        <v>0.16470000000000001</v>
      </c>
      <c r="C5696">
        <v>30</v>
      </c>
      <c r="D5696">
        <v>295</v>
      </c>
      <c r="E5696">
        <v>40.03</v>
      </c>
      <c r="F5696">
        <v>2.4982000000000001E-2</v>
      </c>
      <c r="G5696">
        <v>76.040999999999997</v>
      </c>
      <c r="H5696">
        <v>0.16470000000000001</v>
      </c>
    </row>
    <row r="5697" spans="2:8" x14ac:dyDescent="0.25">
      <c r="B5697">
        <v>0.17588999999999999</v>
      </c>
      <c r="C5697">
        <v>35</v>
      </c>
      <c r="D5697">
        <v>295</v>
      </c>
      <c r="E5697">
        <v>39.792000000000002</v>
      </c>
      <c r="F5697">
        <v>2.5131000000000001E-2</v>
      </c>
      <c r="G5697">
        <v>81.545000000000002</v>
      </c>
      <c r="H5697">
        <v>0.17588999999999999</v>
      </c>
    </row>
    <row r="5698" spans="2:8" x14ac:dyDescent="0.25">
      <c r="B5698">
        <v>0.187</v>
      </c>
      <c r="C5698">
        <v>40</v>
      </c>
      <c r="D5698">
        <v>295</v>
      </c>
      <c r="E5698">
        <v>39.552</v>
      </c>
      <c r="F5698">
        <v>2.5283E-2</v>
      </c>
      <c r="G5698">
        <v>87.069000000000003</v>
      </c>
      <c r="H5698">
        <v>0.187</v>
      </c>
    </row>
    <row r="5699" spans="2:8" x14ac:dyDescent="0.25">
      <c r="B5699">
        <v>0.19803000000000001</v>
      </c>
      <c r="C5699">
        <v>45</v>
      </c>
      <c r="D5699">
        <v>295</v>
      </c>
      <c r="E5699">
        <v>39.308999999999997</v>
      </c>
      <c r="F5699">
        <v>2.5439E-2</v>
      </c>
      <c r="G5699">
        <v>92.611000000000004</v>
      </c>
      <c r="H5699">
        <v>0.19803000000000001</v>
      </c>
    </row>
    <row r="5700" spans="2:8" x14ac:dyDescent="0.25">
      <c r="B5700">
        <v>0.20899999999999999</v>
      </c>
      <c r="C5700">
        <v>50</v>
      </c>
      <c r="D5700">
        <v>295</v>
      </c>
      <c r="E5700">
        <v>39.064</v>
      </c>
      <c r="F5700">
        <v>2.5599E-2</v>
      </c>
      <c r="G5700">
        <v>98.173000000000002</v>
      </c>
      <c r="H5700">
        <v>0.20899999999999999</v>
      </c>
    </row>
    <row r="5701" spans="2:8" x14ac:dyDescent="0.25">
      <c r="B5701">
        <v>0.21990000000000001</v>
      </c>
      <c r="C5701">
        <v>55</v>
      </c>
      <c r="D5701">
        <v>295</v>
      </c>
      <c r="E5701">
        <v>38.817</v>
      </c>
      <c r="F5701">
        <v>2.5762E-2</v>
      </c>
      <c r="G5701">
        <v>103.76</v>
      </c>
      <c r="H5701">
        <v>0.21990000000000001</v>
      </c>
    </row>
    <row r="5702" spans="2:8" x14ac:dyDescent="0.25">
      <c r="B5702">
        <v>0.23074</v>
      </c>
      <c r="C5702">
        <v>60</v>
      </c>
      <c r="D5702">
        <v>295</v>
      </c>
      <c r="E5702">
        <v>38.566000000000003</v>
      </c>
      <c r="F5702">
        <v>2.5930000000000002E-2</v>
      </c>
      <c r="G5702">
        <v>109.36</v>
      </c>
      <c r="H5702">
        <v>0.23074</v>
      </c>
    </row>
    <row r="5703" spans="2:8" x14ac:dyDescent="0.25">
      <c r="B5703">
        <v>0.24152000000000001</v>
      </c>
      <c r="C5703">
        <v>65</v>
      </c>
      <c r="D5703">
        <v>295</v>
      </c>
      <c r="E5703">
        <v>38.311999999999998</v>
      </c>
      <c r="F5703">
        <v>2.6100999999999999E-2</v>
      </c>
      <c r="G5703">
        <v>114.99</v>
      </c>
      <c r="H5703">
        <v>0.24152000000000001</v>
      </c>
    </row>
    <row r="5704" spans="2:8" x14ac:dyDescent="0.25">
      <c r="B5704">
        <v>0.25224000000000002</v>
      </c>
      <c r="C5704">
        <v>70</v>
      </c>
      <c r="D5704">
        <v>295</v>
      </c>
      <c r="E5704">
        <v>38.055</v>
      </c>
      <c r="F5704">
        <v>2.6276999999999998E-2</v>
      </c>
      <c r="G5704">
        <v>120.64</v>
      </c>
      <c r="H5704">
        <v>0.25224000000000002</v>
      </c>
    </row>
    <row r="5705" spans="2:8" x14ac:dyDescent="0.25">
      <c r="B5705">
        <v>0.26290999999999998</v>
      </c>
      <c r="C5705">
        <v>75</v>
      </c>
      <c r="D5705">
        <v>295</v>
      </c>
      <c r="E5705">
        <v>37.795000000000002</v>
      </c>
      <c r="F5705">
        <v>2.6457999999999999E-2</v>
      </c>
      <c r="G5705">
        <v>126.32</v>
      </c>
      <c r="H5705">
        <v>0.26290999999999998</v>
      </c>
    </row>
    <row r="5706" spans="2:8" x14ac:dyDescent="0.25">
      <c r="B5706">
        <v>0.27353</v>
      </c>
      <c r="C5706">
        <v>80</v>
      </c>
      <c r="D5706">
        <v>295</v>
      </c>
      <c r="E5706">
        <v>37.531999999999996</v>
      </c>
      <c r="F5706">
        <v>2.6644000000000001E-2</v>
      </c>
      <c r="G5706">
        <v>132.02000000000001</v>
      </c>
      <c r="H5706">
        <v>0.27353</v>
      </c>
    </row>
    <row r="5707" spans="2:8" x14ac:dyDescent="0.25">
      <c r="B5707">
        <v>0.28410000000000002</v>
      </c>
      <c r="C5707">
        <v>85</v>
      </c>
      <c r="D5707">
        <v>295</v>
      </c>
      <c r="E5707">
        <v>37.264000000000003</v>
      </c>
      <c r="F5707">
        <v>2.6835999999999999E-2</v>
      </c>
      <c r="G5707">
        <v>137.76</v>
      </c>
      <c r="H5707">
        <v>0.28410000000000002</v>
      </c>
    </row>
    <row r="5708" spans="2:8" x14ac:dyDescent="0.25">
      <c r="B5708">
        <v>0.29464000000000001</v>
      </c>
      <c r="C5708">
        <v>90</v>
      </c>
      <c r="D5708">
        <v>295</v>
      </c>
      <c r="E5708">
        <v>36.991999999999997</v>
      </c>
      <c r="F5708">
        <v>2.7033000000000001E-2</v>
      </c>
      <c r="G5708">
        <v>143.52000000000001</v>
      </c>
      <c r="H5708">
        <v>0.29464000000000001</v>
      </c>
    </row>
    <row r="5709" spans="2:8" x14ac:dyDescent="0.25">
      <c r="B5709">
        <v>0.30514000000000002</v>
      </c>
      <c r="C5709">
        <v>95</v>
      </c>
      <c r="D5709">
        <v>295</v>
      </c>
      <c r="E5709">
        <v>36.716999999999999</v>
      </c>
      <c r="F5709">
        <v>2.7236E-2</v>
      </c>
      <c r="G5709">
        <v>149.32</v>
      </c>
      <c r="H5709">
        <v>0.30514000000000002</v>
      </c>
    </row>
    <row r="5710" spans="2:8" x14ac:dyDescent="0.25">
      <c r="B5710">
        <v>0.31561</v>
      </c>
      <c r="C5710">
        <v>100</v>
      </c>
      <c r="D5710">
        <v>295</v>
      </c>
      <c r="E5710">
        <v>36.436</v>
      </c>
      <c r="F5710">
        <v>2.7445000000000001E-2</v>
      </c>
      <c r="G5710">
        <v>155.15</v>
      </c>
      <c r="H5710">
        <v>0.31561</v>
      </c>
    </row>
    <row r="5711" spans="2:8" x14ac:dyDescent="0.25">
      <c r="B5711">
        <v>0.32605000000000001</v>
      </c>
      <c r="C5711">
        <v>105</v>
      </c>
      <c r="D5711">
        <v>295</v>
      </c>
      <c r="E5711">
        <v>36.151000000000003</v>
      </c>
      <c r="F5711">
        <v>2.7661999999999999E-2</v>
      </c>
      <c r="G5711">
        <v>161.02000000000001</v>
      </c>
      <c r="H5711">
        <v>0.32605000000000001</v>
      </c>
    </row>
    <row r="5712" spans="2:8" x14ac:dyDescent="0.25">
      <c r="B5712">
        <v>0.33646999999999999</v>
      </c>
      <c r="C5712">
        <v>110</v>
      </c>
      <c r="D5712">
        <v>295</v>
      </c>
      <c r="E5712">
        <v>35.86</v>
      </c>
      <c r="F5712">
        <v>2.7886000000000001E-2</v>
      </c>
      <c r="G5712">
        <v>166.93</v>
      </c>
      <c r="H5712">
        <v>0.33646999999999999</v>
      </c>
    </row>
    <row r="5713" spans="2:8" x14ac:dyDescent="0.25">
      <c r="B5713">
        <v>0.34688000000000002</v>
      </c>
      <c r="C5713">
        <v>115</v>
      </c>
      <c r="D5713">
        <v>295</v>
      </c>
      <c r="E5713">
        <v>35.564</v>
      </c>
      <c r="F5713">
        <v>2.8118000000000001E-2</v>
      </c>
      <c r="G5713">
        <v>172.89</v>
      </c>
      <c r="H5713">
        <v>0.34688000000000002</v>
      </c>
    </row>
    <row r="5714" spans="2:8" x14ac:dyDescent="0.25">
      <c r="B5714">
        <v>0.35729</v>
      </c>
      <c r="C5714">
        <v>120</v>
      </c>
      <c r="D5714">
        <v>295</v>
      </c>
      <c r="E5714">
        <v>35.261000000000003</v>
      </c>
      <c r="F5714">
        <v>2.836E-2</v>
      </c>
      <c r="G5714">
        <v>178.9</v>
      </c>
      <c r="H5714">
        <v>0.35729</v>
      </c>
    </row>
    <row r="5715" spans="2:8" x14ac:dyDescent="0.25">
      <c r="B5715">
        <v>1.143</v>
      </c>
      <c r="C5715">
        <v>125</v>
      </c>
      <c r="D5715">
        <v>295</v>
      </c>
      <c r="E5715">
        <v>0.97467999999999999</v>
      </c>
      <c r="F5715">
        <v>1.026</v>
      </c>
      <c r="G5715">
        <v>635.94000000000005</v>
      </c>
      <c r="H5715">
        <v>1.143</v>
      </c>
    </row>
    <row r="5716" spans="2:8" x14ac:dyDescent="0.25">
      <c r="B5716">
        <v>1.1505000000000001</v>
      </c>
      <c r="C5716">
        <v>130</v>
      </c>
      <c r="D5716">
        <v>295</v>
      </c>
      <c r="E5716">
        <v>0.95774999999999999</v>
      </c>
      <c r="F5716">
        <v>1.0441</v>
      </c>
      <c r="G5716">
        <v>640.35</v>
      </c>
      <c r="H5716">
        <v>1.1505000000000001</v>
      </c>
    </row>
    <row r="5717" spans="2:8" x14ac:dyDescent="0.25">
      <c r="B5717">
        <v>1.1577</v>
      </c>
      <c r="C5717">
        <v>135</v>
      </c>
      <c r="D5717">
        <v>295</v>
      </c>
      <c r="E5717">
        <v>0.94184000000000001</v>
      </c>
      <c r="F5717">
        <v>1.0618000000000001</v>
      </c>
      <c r="G5717">
        <v>644.62</v>
      </c>
      <c r="H5717">
        <v>1.1577</v>
      </c>
    </row>
    <row r="5718" spans="2:8" x14ac:dyDescent="0.25">
      <c r="B5718">
        <v>1.1647000000000001</v>
      </c>
      <c r="C5718">
        <v>140</v>
      </c>
      <c r="D5718">
        <v>295</v>
      </c>
      <c r="E5718">
        <v>0.92681999999999998</v>
      </c>
      <c r="F5718">
        <v>1.079</v>
      </c>
      <c r="G5718">
        <v>648.77</v>
      </c>
      <c r="H5718">
        <v>1.1647000000000001</v>
      </c>
    </row>
    <row r="5719" spans="2:8" x14ac:dyDescent="0.25">
      <c r="B5719">
        <v>1.1714</v>
      </c>
      <c r="C5719">
        <v>145</v>
      </c>
      <c r="D5719">
        <v>295</v>
      </c>
      <c r="E5719">
        <v>0.91259999999999997</v>
      </c>
      <c r="F5719">
        <v>1.0958000000000001</v>
      </c>
      <c r="G5719">
        <v>652.82000000000005</v>
      </c>
      <c r="H5719">
        <v>1.1714</v>
      </c>
    </row>
    <row r="5720" spans="2:8" x14ac:dyDescent="0.25">
      <c r="B5720">
        <v>1.1779999999999999</v>
      </c>
      <c r="C5720">
        <v>150</v>
      </c>
      <c r="D5720">
        <v>295</v>
      </c>
      <c r="E5720">
        <v>0.89910000000000001</v>
      </c>
      <c r="F5720">
        <v>1.1122000000000001</v>
      </c>
      <c r="G5720">
        <v>656.78</v>
      </c>
      <c r="H5720">
        <v>1.1779999999999999</v>
      </c>
    </row>
    <row r="5721" spans="2:8" x14ac:dyDescent="0.25">
      <c r="B5721">
        <v>1.1842999999999999</v>
      </c>
      <c r="C5721">
        <v>155</v>
      </c>
      <c r="D5721">
        <v>295</v>
      </c>
      <c r="E5721">
        <v>0.88624000000000003</v>
      </c>
      <c r="F5721">
        <v>1.1284000000000001</v>
      </c>
      <c r="G5721">
        <v>660.66</v>
      </c>
      <c r="H5721">
        <v>1.1842999999999999</v>
      </c>
    </row>
    <row r="5722" spans="2:8" x14ac:dyDescent="0.25">
      <c r="B5722">
        <v>1.1904999999999999</v>
      </c>
      <c r="C5722">
        <v>160</v>
      </c>
      <c r="D5722">
        <v>295</v>
      </c>
      <c r="E5722">
        <v>0.87395999999999996</v>
      </c>
      <c r="F5722">
        <v>1.1442000000000001</v>
      </c>
      <c r="G5722">
        <v>664.47</v>
      </c>
      <c r="H5722">
        <v>1.1904999999999999</v>
      </c>
    </row>
    <row r="5723" spans="2:8" x14ac:dyDescent="0.25">
      <c r="B5723">
        <v>1.1964999999999999</v>
      </c>
      <c r="C5723">
        <v>165</v>
      </c>
      <c r="D5723">
        <v>295</v>
      </c>
      <c r="E5723">
        <v>0.86221999999999999</v>
      </c>
      <c r="F5723">
        <v>1.1597999999999999</v>
      </c>
      <c r="G5723">
        <v>668.21</v>
      </c>
      <c r="H5723">
        <v>1.1964999999999999</v>
      </c>
    </row>
    <row r="5724" spans="2:8" x14ac:dyDescent="0.25">
      <c r="B5724">
        <v>1.2022999999999999</v>
      </c>
      <c r="C5724">
        <v>170</v>
      </c>
      <c r="D5724">
        <v>295</v>
      </c>
      <c r="E5724">
        <v>0.85096000000000005</v>
      </c>
      <c r="F5724">
        <v>1.1751</v>
      </c>
      <c r="G5724">
        <v>671.9</v>
      </c>
      <c r="H5724">
        <v>1.2022999999999999</v>
      </c>
    </row>
    <row r="5725" spans="2:8" x14ac:dyDescent="0.25">
      <c r="B5725">
        <v>1.2081</v>
      </c>
      <c r="C5725">
        <v>175</v>
      </c>
      <c r="D5725">
        <v>295</v>
      </c>
      <c r="E5725">
        <v>0.84014999999999995</v>
      </c>
      <c r="F5725">
        <v>1.1902999999999999</v>
      </c>
      <c r="G5725">
        <v>675.52</v>
      </c>
      <c r="H5725">
        <v>1.2081</v>
      </c>
    </row>
    <row r="5726" spans="2:8" x14ac:dyDescent="0.25">
      <c r="B5726">
        <v>1.2137</v>
      </c>
      <c r="C5726">
        <v>180</v>
      </c>
      <c r="D5726">
        <v>295</v>
      </c>
      <c r="E5726">
        <v>0.82976000000000005</v>
      </c>
      <c r="F5726">
        <v>1.2052</v>
      </c>
      <c r="G5726">
        <v>679.1</v>
      </c>
      <c r="H5726">
        <v>1.2137</v>
      </c>
    </row>
    <row r="5727" spans="2:8" x14ac:dyDescent="0.25">
      <c r="B5727">
        <v>1.2192000000000001</v>
      </c>
      <c r="C5727">
        <v>185</v>
      </c>
      <c r="D5727">
        <v>295</v>
      </c>
      <c r="E5727">
        <v>0.81974000000000002</v>
      </c>
      <c r="F5727">
        <v>1.2199</v>
      </c>
      <c r="G5727">
        <v>682.64</v>
      </c>
      <c r="H5727">
        <v>1.2192000000000001</v>
      </c>
    </row>
    <row r="5728" spans="2:8" x14ac:dyDescent="0.25">
      <c r="B5728">
        <v>1.2245999999999999</v>
      </c>
      <c r="C5728">
        <v>190</v>
      </c>
      <c r="D5728">
        <v>295</v>
      </c>
      <c r="E5728">
        <v>0.81008000000000002</v>
      </c>
      <c r="F5728">
        <v>1.2343999999999999</v>
      </c>
      <c r="G5728">
        <v>686.13</v>
      </c>
      <c r="H5728">
        <v>1.2245999999999999</v>
      </c>
    </row>
    <row r="5729" spans="2:8" x14ac:dyDescent="0.25">
      <c r="B5729">
        <v>1.2299</v>
      </c>
      <c r="C5729">
        <v>195</v>
      </c>
      <c r="D5729">
        <v>295</v>
      </c>
      <c r="E5729">
        <v>0.80074999999999996</v>
      </c>
      <c r="F5729">
        <v>1.2487999999999999</v>
      </c>
      <c r="G5729">
        <v>689.59</v>
      </c>
      <c r="H5729">
        <v>1.2299</v>
      </c>
    </row>
    <row r="5730" spans="2:8" x14ac:dyDescent="0.25">
      <c r="B5730">
        <v>1.2351000000000001</v>
      </c>
      <c r="C5730">
        <v>200</v>
      </c>
      <c r="D5730">
        <v>295</v>
      </c>
      <c r="E5730">
        <v>0.79173000000000004</v>
      </c>
      <c r="F5730">
        <v>1.2630999999999999</v>
      </c>
      <c r="G5730">
        <v>693.02</v>
      </c>
      <c r="H5730">
        <v>1.2351000000000001</v>
      </c>
    </row>
    <row r="5731" spans="2:8" x14ac:dyDescent="0.25">
      <c r="B5731">
        <v>1.2403</v>
      </c>
      <c r="C5731">
        <v>205</v>
      </c>
      <c r="D5731">
        <v>295</v>
      </c>
      <c r="E5731">
        <v>0.78300000000000003</v>
      </c>
      <c r="F5731">
        <v>1.2770999999999999</v>
      </c>
      <c r="G5731">
        <v>696.41</v>
      </c>
      <c r="H5731">
        <v>1.2403</v>
      </c>
    </row>
    <row r="5732" spans="2:8" x14ac:dyDescent="0.25">
      <c r="B5732">
        <v>1.2453000000000001</v>
      </c>
      <c r="C5732">
        <v>210</v>
      </c>
      <c r="D5732">
        <v>295</v>
      </c>
      <c r="E5732">
        <v>0.77453000000000005</v>
      </c>
      <c r="F5732">
        <v>1.2910999999999999</v>
      </c>
      <c r="G5732">
        <v>699.78</v>
      </c>
      <c r="H5732">
        <v>1.2453000000000001</v>
      </c>
    </row>
    <row r="5733" spans="2:8" x14ac:dyDescent="0.25">
      <c r="B5733">
        <v>1.2503</v>
      </c>
      <c r="C5733">
        <v>215</v>
      </c>
      <c r="D5733">
        <v>295</v>
      </c>
      <c r="E5733">
        <v>0.76632</v>
      </c>
      <c r="F5733">
        <v>1.3048999999999999</v>
      </c>
      <c r="G5733">
        <v>703.12</v>
      </c>
      <c r="H5733">
        <v>1.2503</v>
      </c>
    </row>
    <row r="5734" spans="2:8" x14ac:dyDescent="0.25">
      <c r="B5734">
        <v>1.2552000000000001</v>
      </c>
      <c r="C5734">
        <v>220</v>
      </c>
      <c r="D5734">
        <v>295</v>
      </c>
      <c r="E5734">
        <v>0.75834999999999997</v>
      </c>
      <c r="F5734">
        <v>1.3186</v>
      </c>
      <c r="G5734">
        <v>706.44</v>
      </c>
      <c r="H5734">
        <v>1.2552000000000001</v>
      </c>
    </row>
    <row r="5735" spans="2:8" x14ac:dyDescent="0.25">
      <c r="B5735">
        <v>1.26</v>
      </c>
      <c r="C5735">
        <v>225</v>
      </c>
      <c r="D5735">
        <v>295</v>
      </c>
      <c r="E5735">
        <v>0.75061</v>
      </c>
      <c r="F5735">
        <v>1.3323</v>
      </c>
      <c r="G5735">
        <v>709.73</v>
      </c>
      <c r="H5735">
        <v>1.26</v>
      </c>
    </row>
    <row r="5736" spans="2:8" x14ac:dyDescent="0.25">
      <c r="B5736">
        <v>1.2647999999999999</v>
      </c>
      <c r="C5736">
        <v>230</v>
      </c>
      <c r="D5736">
        <v>295</v>
      </c>
      <c r="E5736">
        <v>0.74307999999999996</v>
      </c>
      <c r="F5736">
        <v>1.3458000000000001</v>
      </c>
      <c r="G5736">
        <v>713.01</v>
      </c>
      <c r="H5736">
        <v>1.2647999999999999</v>
      </c>
    </row>
    <row r="5737" spans="2:8" x14ac:dyDescent="0.25">
      <c r="B5737">
        <v>1.2695000000000001</v>
      </c>
      <c r="C5737">
        <v>235</v>
      </c>
      <c r="D5737">
        <v>295</v>
      </c>
      <c r="E5737">
        <v>0.73575000000000002</v>
      </c>
      <c r="F5737">
        <v>1.3592</v>
      </c>
      <c r="G5737">
        <v>716.26</v>
      </c>
      <c r="H5737">
        <v>1.2695000000000001</v>
      </c>
    </row>
    <row r="5738" spans="2:8" x14ac:dyDescent="0.25">
      <c r="B5738">
        <v>1.2741</v>
      </c>
      <c r="C5738">
        <v>240</v>
      </c>
      <c r="D5738">
        <v>295</v>
      </c>
      <c r="E5738">
        <v>0.72862000000000005</v>
      </c>
      <c r="F5738">
        <v>1.3725000000000001</v>
      </c>
      <c r="G5738">
        <v>719.5</v>
      </c>
      <c r="H5738">
        <v>1.2741</v>
      </c>
    </row>
    <row r="5739" spans="2:8" x14ac:dyDescent="0.25">
      <c r="B5739">
        <v>1.2786999999999999</v>
      </c>
      <c r="C5739">
        <v>245</v>
      </c>
      <c r="D5739">
        <v>295</v>
      </c>
      <c r="E5739">
        <v>0.72165999999999997</v>
      </c>
      <c r="F5739">
        <v>1.3856999999999999</v>
      </c>
      <c r="G5739">
        <v>722.73</v>
      </c>
      <c r="H5739">
        <v>1.2786999999999999</v>
      </c>
    </row>
    <row r="5740" spans="2:8" x14ac:dyDescent="0.25">
      <c r="B5740">
        <v>1.2833000000000001</v>
      </c>
      <c r="C5740">
        <v>250</v>
      </c>
      <c r="D5740">
        <v>295</v>
      </c>
      <c r="E5740">
        <v>0.71489000000000003</v>
      </c>
      <c r="F5740">
        <v>1.3988</v>
      </c>
      <c r="G5740">
        <v>725.94</v>
      </c>
      <c r="H5740">
        <v>1.2833000000000001</v>
      </c>
    </row>
    <row r="5741" spans="2:8" x14ac:dyDescent="0.25">
      <c r="B5741">
        <v>1.2877000000000001</v>
      </c>
      <c r="C5741">
        <v>255</v>
      </c>
      <c r="D5741">
        <v>295</v>
      </c>
      <c r="E5741">
        <v>0.70826999999999996</v>
      </c>
      <c r="F5741">
        <v>1.4118999999999999</v>
      </c>
      <c r="G5741">
        <v>729.14</v>
      </c>
      <c r="H5741">
        <v>1.2877000000000001</v>
      </c>
    </row>
    <row r="5742" spans="2:8" x14ac:dyDescent="0.25">
      <c r="B5742">
        <v>1.2922</v>
      </c>
      <c r="C5742">
        <v>260</v>
      </c>
      <c r="D5742">
        <v>295</v>
      </c>
      <c r="E5742">
        <v>0.70182</v>
      </c>
      <c r="F5742">
        <v>1.4249000000000001</v>
      </c>
      <c r="G5742">
        <v>732.32</v>
      </c>
      <c r="H5742">
        <v>1.2922</v>
      </c>
    </row>
    <row r="5743" spans="2:8" x14ac:dyDescent="0.25">
      <c r="B5743">
        <v>1.2966</v>
      </c>
      <c r="C5743">
        <v>265</v>
      </c>
      <c r="D5743">
        <v>295</v>
      </c>
      <c r="E5743">
        <v>0.69552000000000003</v>
      </c>
      <c r="F5743">
        <v>1.4378</v>
      </c>
      <c r="G5743">
        <v>735.5</v>
      </c>
      <c r="H5743">
        <v>1.2966</v>
      </c>
    </row>
    <row r="5744" spans="2:8" x14ac:dyDescent="0.25">
      <c r="B5744">
        <v>1.3008999999999999</v>
      </c>
      <c r="C5744">
        <v>270</v>
      </c>
      <c r="D5744">
        <v>295</v>
      </c>
      <c r="E5744">
        <v>0.68935999999999997</v>
      </c>
      <c r="F5744">
        <v>1.4505999999999999</v>
      </c>
      <c r="G5744">
        <v>738.67</v>
      </c>
      <c r="H5744">
        <v>1.3008999999999999</v>
      </c>
    </row>
    <row r="5745" spans="2:8" x14ac:dyDescent="0.25">
      <c r="B5745">
        <v>1.3051999999999999</v>
      </c>
      <c r="C5745">
        <v>275</v>
      </c>
      <c r="D5745">
        <v>295</v>
      </c>
      <c r="E5745">
        <v>0.68333999999999995</v>
      </c>
      <c r="F5745">
        <v>1.4634</v>
      </c>
      <c r="G5745">
        <v>741.82</v>
      </c>
      <c r="H5745">
        <v>1.3051999999999999</v>
      </c>
    </row>
    <row r="5746" spans="2:8" x14ac:dyDescent="0.25">
      <c r="B5746">
        <v>1.3095000000000001</v>
      </c>
      <c r="C5746">
        <v>280</v>
      </c>
      <c r="D5746">
        <v>295</v>
      </c>
      <c r="E5746">
        <v>0.67745</v>
      </c>
      <c r="F5746">
        <v>1.4761</v>
      </c>
      <c r="G5746">
        <v>744.97</v>
      </c>
      <c r="H5746">
        <v>1.3095000000000001</v>
      </c>
    </row>
    <row r="5747" spans="2:8" x14ac:dyDescent="0.25">
      <c r="B5747">
        <v>1.3138000000000001</v>
      </c>
      <c r="C5747">
        <v>285</v>
      </c>
      <c r="D5747">
        <v>295</v>
      </c>
      <c r="E5747">
        <v>0.67169000000000001</v>
      </c>
      <c r="F5747">
        <v>1.4887999999999999</v>
      </c>
      <c r="G5747">
        <v>748.11</v>
      </c>
      <c r="H5747">
        <v>1.3138000000000001</v>
      </c>
    </row>
    <row r="5748" spans="2:8" x14ac:dyDescent="0.25">
      <c r="B5748">
        <v>1.3180000000000001</v>
      </c>
      <c r="C5748">
        <v>290</v>
      </c>
      <c r="D5748">
        <v>295</v>
      </c>
      <c r="E5748">
        <v>0.66605000000000003</v>
      </c>
      <c r="F5748">
        <v>1.5014000000000001</v>
      </c>
      <c r="G5748">
        <v>751.25</v>
      </c>
      <c r="H5748">
        <v>1.3180000000000001</v>
      </c>
    </row>
    <row r="5749" spans="2:8" x14ac:dyDescent="0.25">
      <c r="B5749">
        <v>1.3221000000000001</v>
      </c>
      <c r="C5749">
        <v>295</v>
      </c>
      <c r="D5749">
        <v>295</v>
      </c>
      <c r="E5749">
        <v>0.66052999999999995</v>
      </c>
      <c r="F5749">
        <v>1.5139</v>
      </c>
      <c r="G5749">
        <v>754.38</v>
      </c>
      <c r="H5749">
        <v>1.3221000000000001</v>
      </c>
    </row>
    <row r="5750" spans="2:8" x14ac:dyDescent="0.25">
      <c r="B5750">
        <v>1.3262</v>
      </c>
      <c r="C5750">
        <v>300</v>
      </c>
      <c r="D5750">
        <v>295</v>
      </c>
      <c r="E5750">
        <v>0.65512000000000004</v>
      </c>
      <c r="F5750">
        <v>1.5264</v>
      </c>
      <c r="G5750">
        <v>757.5</v>
      </c>
      <c r="H5750">
        <v>1.3262</v>
      </c>
    </row>
    <row r="5751" spans="2:8" x14ac:dyDescent="0.25">
      <c r="B5751">
        <v>1.3303</v>
      </c>
      <c r="C5751">
        <v>305</v>
      </c>
      <c r="D5751">
        <v>295</v>
      </c>
      <c r="E5751">
        <v>0.64981999999999995</v>
      </c>
      <c r="F5751">
        <v>1.5388999999999999</v>
      </c>
      <c r="G5751">
        <v>760.62</v>
      </c>
      <c r="H5751">
        <v>1.3303</v>
      </c>
    </row>
    <row r="5752" spans="2:8" x14ac:dyDescent="0.25">
      <c r="B5752">
        <v>1.3344</v>
      </c>
      <c r="C5752">
        <v>310</v>
      </c>
      <c r="D5752">
        <v>295</v>
      </c>
      <c r="E5752">
        <v>0.64461999999999997</v>
      </c>
      <c r="F5752">
        <v>1.5512999999999999</v>
      </c>
      <c r="G5752">
        <v>763.74</v>
      </c>
      <c r="H5752">
        <v>1.3344</v>
      </c>
    </row>
    <row r="5753" spans="2:8" x14ac:dyDescent="0.25">
      <c r="B5753">
        <v>1.3384</v>
      </c>
      <c r="C5753">
        <v>315</v>
      </c>
      <c r="D5753">
        <v>295</v>
      </c>
      <c r="E5753">
        <v>0.63953000000000004</v>
      </c>
      <c r="F5753">
        <v>1.5636000000000001</v>
      </c>
      <c r="G5753">
        <v>766.85</v>
      </c>
      <c r="H5753">
        <v>1.3384</v>
      </c>
    </row>
    <row r="5754" spans="2:8" x14ac:dyDescent="0.25">
      <c r="B5754">
        <v>1.3424</v>
      </c>
      <c r="C5754">
        <v>320</v>
      </c>
      <c r="D5754">
        <v>295</v>
      </c>
      <c r="E5754">
        <v>0.63453000000000004</v>
      </c>
      <c r="F5754">
        <v>1.5760000000000001</v>
      </c>
      <c r="G5754">
        <v>769.96</v>
      </c>
      <c r="H5754">
        <v>1.3424</v>
      </c>
    </row>
    <row r="5755" spans="2:8" x14ac:dyDescent="0.25">
      <c r="B5755">
        <v>1.3464</v>
      </c>
      <c r="C5755">
        <v>325</v>
      </c>
      <c r="D5755">
        <v>295</v>
      </c>
      <c r="E5755">
        <v>0.62963000000000002</v>
      </c>
      <c r="F5755">
        <v>1.5882000000000001</v>
      </c>
      <c r="G5755">
        <v>773.06</v>
      </c>
      <c r="H5755">
        <v>1.3464</v>
      </c>
    </row>
    <row r="5756" spans="2:8" x14ac:dyDescent="0.25">
      <c r="B5756">
        <v>1.3503000000000001</v>
      </c>
      <c r="C5756">
        <v>330</v>
      </c>
      <c r="D5756">
        <v>295</v>
      </c>
      <c r="E5756">
        <v>0.62482000000000004</v>
      </c>
      <c r="F5756">
        <v>1.6005</v>
      </c>
      <c r="G5756">
        <v>776.17</v>
      </c>
      <c r="H5756">
        <v>1.3503000000000001</v>
      </c>
    </row>
    <row r="5757" spans="2:8" x14ac:dyDescent="0.25">
      <c r="B5757">
        <v>1.3542000000000001</v>
      </c>
      <c r="C5757">
        <v>335</v>
      </c>
      <c r="D5757">
        <v>295</v>
      </c>
      <c r="E5757">
        <v>0.62009000000000003</v>
      </c>
      <c r="F5757">
        <v>1.6127</v>
      </c>
      <c r="G5757">
        <v>779.27</v>
      </c>
      <c r="H5757">
        <v>1.3542000000000001</v>
      </c>
    </row>
    <row r="5758" spans="2:8" x14ac:dyDescent="0.25">
      <c r="B5758">
        <v>1.3581000000000001</v>
      </c>
      <c r="C5758">
        <v>340</v>
      </c>
      <c r="D5758">
        <v>295</v>
      </c>
      <c r="E5758">
        <v>0.61546000000000001</v>
      </c>
      <c r="F5758">
        <v>1.6248</v>
      </c>
      <c r="G5758">
        <v>782.37</v>
      </c>
      <c r="H5758">
        <v>1.3581000000000001</v>
      </c>
    </row>
    <row r="5759" spans="2:8" x14ac:dyDescent="0.25">
      <c r="B5759">
        <v>1.3620000000000001</v>
      </c>
      <c r="C5759">
        <v>345</v>
      </c>
      <c r="D5759">
        <v>295</v>
      </c>
      <c r="E5759">
        <v>0.6109</v>
      </c>
      <c r="F5759">
        <v>1.6369</v>
      </c>
      <c r="G5759">
        <v>785.47</v>
      </c>
      <c r="H5759">
        <v>1.3620000000000001</v>
      </c>
    </row>
    <row r="5760" spans="2:8" x14ac:dyDescent="0.25">
      <c r="B5760">
        <v>1.3657999999999999</v>
      </c>
      <c r="C5760">
        <v>350</v>
      </c>
      <c r="D5760">
        <v>295</v>
      </c>
      <c r="E5760">
        <v>0.60641999999999996</v>
      </c>
      <c r="F5760">
        <v>1.649</v>
      </c>
      <c r="G5760">
        <v>788.57</v>
      </c>
      <c r="H5760">
        <v>1.3657999999999999</v>
      </c>
    </row>
    <row r="5762" spans="1:8" x14ac:dyDescent="0.25">
      <c r="A5762">
        <v>300</v>
      </c>
      <c r="B5762">
        <v>9.5837000000000006E-2</v>
      </c>
      <c r="C5762">
        <v>0</v>
      </c>
      <c r="D5762">
        <v>300</v>
      </c>
      <c r="E5762">
        <v>41.411000000000001</v>
      </c>
      <c r="F5762">
        <v>2.4147999999999999E-2</v>
      </c>
      <c r="G5762">
        <v>43.383000000000003</v>
      </c>
      <c r="H5762">
        <v>9.5837000000000006E-2</v>
      </c>
    </row>
    <row r="5763" spans="1:8" x14ac:dyDescent="0.25">
      <c r="B5763">
        <v>0.10753</v>
      </c>
      <c r="C5763">
        <v>5</v>
      </c>
      <c r="D5763">
        <v>300</v>
      </c>
      <c r="E5763">
        <v>41.186</v>
      </c>
      <c r="F5763">
        <v>2.4279999999999999E-2</v>
      </c>
      <c r="G5763">
        <v>48.786000000000001</v>
      </c>
      <c r="H5763">
        <v>0.10753</v>
      </c>
    </row>
    <row r="5764" spans="1:8" x14ac:dyDescent="0.25">
      <c r="B5764">
        <v>0.11913</v>
      </c>
      <c r="C5764">
        <v>10</v>
      </c>
      <c r="D5764">
        <v>300</v>
      </c>
      <c r="E5764">
        <v>40.959000000000003</v>
      </c>
      <c r="F5764">
        <v>2.4414999999999999E-2</v>
      </c>
      <c r="G5764">
        <v>54.206000000000003</v>
      </c>
      <c r="H5764">
        <v>0.11913</v>
      </c>
    </row>
    <row r="5765" spans="1:8" x14ac:dyDescent="0.25">
      <c r="B5765">
        <v>0.13064000000000001</v>
      </c>
      <c r="C5765">
        <v>15</v>
      </c>
      <c r="D5765">
        <v>300</v>
      </c>
      <c r="E5765">
        <v>40.729999999999997</v>
      </c>
      <c r="F5765">
        <v>2.4552000000000001E-2</v>
      </c>
      <c r="G5765">
        <v>59.642000000000003</v>
      </c>
      <c r="H5765">
        <v>0.13064000000000001</v>
      </c>
    </row>
    <row r="5766" spans="1:8" x14ac:dyDescent="0.25">
      <c r="B5766">
        <v>0.14207</v>
      </c>
      <c r="C5766">
        <v>20</v>
      </c>
      <c r="D5766">
        <v>300</v>
      </c>
      <c r="E5766">
        <v>40.499000000000002</v>
      </c>
      <c r="F5766">
        <v>2.4691999999999999E-2</v>
      </c>
      <c r="G5766">
        <v>65.093999999999994</v>
      </c>
      <c r="H5766">
        <v>0.14207</v>
      </c>
    </row>
    <row r="5767" spans="1:8" x14ac:dyDescent="0.25">
      <c r="B5767">
        <v>0.15340999999999999</v>
      </c>
      <c r="C5767">
        <v>25</v>
      </c>
      <c r="D5767">
        <v>300</v>
      </c>
      <c r="E5767">
        <v>40.265999999999998</v>
      </c>
      <c r="F5767">
        <v>2.4834999999999999E-2</v>
      </c>
      <c r="G5767">
        <v>70.563999999999993</v>
      </c>
      <c r="H5767">
        <v>0.15340999999999999</v>
      </c>
    </row>
    <row r="5768" spans="1:8" x14ac:dyDescent="0.25">
      <c r="B5768">
        <v>0.16467000000000001</v>
      </c>
      <c r="C5768">
        <v>30</v>
      </c>
      <c r="D5768">
        <v>300</v>
      </c>
      <c r="E5768">
        <v>40.030999999999999</v>
      </c>
      <c r="F5768">
        <v>2.4981E-2</v>
      </c>
      <c r="G5768">
        <v>76.05</v>
      </c>
      <c r="H5768">
        <v>0.16467000000000001</v>
      </c>
    </row>
    <row r="5769" spans="1:8" x14ac:dyDescent="0.25">
      <c r="B5769">
        <v>0.17585999999999999</v>
      </c>
      <c r="C5769">
        <v>35</v>
      </c>
      <c r="D5769">
        <v>300</v>
      </c>
      <c r="E5769">
        <v>39.792999999999999</v>
      </c>
      <c r="F5769">
        <v>2.513E-2</v>
      </c>
      <c r="G5769">
        <v>81.555000000000007</v>
      </c>
      <c r="H5769">
        <v>0.17585999999999999</v>
      </c>
    </row>
    <row r="5770" spans="1:8" x14ac:dyDescent="0.25">
      <c r="B5770">
        <v>0.18697</v>
      </c>
      <c r="C5770">
        <v>40</v>
      </c>
      <c r="D5770">
        <v>300</v>
      </c>
      <c r="E5770">
        <v>39.552999999999997</v>
      </c>
      <c r="F5770">
        <v>2.5281999999999999E-2</v>
      </c>
      <c r="G5770">
        <v>87.078000000000003</v>
      </c>
      <c r="H5770">
        <v>0.18697</v>
      </c>
    </row>
    <row r="5771" spans="1:8" x14ac:dyDescent="0.25">
      <c r="B5771">
        <v>0.19800000000000001</v>
      </c>
      <c r="C5771">
        <v>45</v>
      </c>
      <c r="D5771">
        <v>300</v>
      </c>
      <c r="E5771">
        <v>39.311</v>
      </c>
      <c r="F5771">
        <v>2.5437999999999999E-2</v>
      </c>
      <c r="G5771">
        <v>92.62</v>
      </c>
      <c r="H5771">
        <v>0.19800000000000001</v>
      </c>
    </row>
    <row r="5772" spans="1:8" x14ac:dyDescent="0.25">
      <c r="B5772">
        <v>0.20896999999999999</v>
      </c>
      <c r="C5772">
        <v>50</v>
      </c>
      <c r="D5772">
        <v>300</v>
      </c>
      <c r="E5772">
        <v>39.066000000000003</v>
      </c>
      <c r="F5772">
        <v>2.5597999999999999E-2</v>
      </c>
      <c r="G5772">
        <v>98.182000000000002</v>
      </c>
      <c r="H5772">
        <v>0.20896999999999999</v>
      </c>
    </row>
    <row r="5773" spans="1:8" x14ac:dyDescent="0.25">
      <c r="B5773">
        <v>0.21987000000000001</v>
      </c>
      <c r="C5773">
        <v>55</v>
      </c>
      <c r="D5773">
        <v>300</v>
      </c>
      <c r="E5773">
        <v>38.817999999999998</v>
      </c>
      <c r="F5773">
        <v>2.5760999999999999E-2</v>
      </c>
      <c r="G5773">
        <v>103.76</v>
      </c>
      <c r="H5773">
        <v>0.21987000000000001</v>
      </c>
    </row>
    <row r="5774" spans="1:8" x14ac:dyDescent="0.25">
      <c r="B5774">
        <v>0.23071</v>
      </c>
      <c r="C5774">
        <v>60</v>
      </c>
      <c r="D5774">
        <v>300</v>
      </c>
      <c r="E5774">
        <v>38.567999999999998</v>
      </c>
      <c r="F5774">
        <v>2.5928E-2</v>
      </c>
      <c r="G5774">
        <v>109.37</v>
      </c>
      <c r="H5774">
        <v>0.23071</v>
      </c>
    </row>
    <row r="5775" spans="1:8" x14ac:dyDescent="0.25">
      <c r="B5775">
        <v>0.24148</v>
      </c>
      <c r="C5775">
        <v>65</v>
      </c>
      <c r="D5775">
        <v>300</v>
      </c>
      <c r="E5775">
        <v>38.314</v>
      </c>
      <c r="F5775">
        <v>2.6100000000000002E-2</v>
      </c>
      <c r="G5775">
        <v>115</v>
      </c>
      <c r="H5775">
        <v>0.24148</v>
      </c>
    </row>
    <row r="5776" spans="1:8" x14ac:dyDescent="0.25">
      <c r="B5776">
        <v>0.25219999999999998</v>
      </c>
      <c r="C5776">
        <v>70</v>
      </c>
      <c r="D5776">
        <v>300</v>
      </c>
      <c r="E5776">
        <v>38.057000000000002</v>
      </c>
      <c r="F5776">
        <v>2.6276000000000001E-2</v>
      </c>
      <c r="G5776">
        <v>120.65</v>
      </c>
      <c r="H5776">
        <v>0.25219999999999998</v>
      </c>
    </row>
    <row r="5777" spans="2:8" x14ac:dyDescent="0.25">
      <c r="B5777">
        <v>0.26286999999999999</v>
      </c>
      <c r="C5777">
        <v>75</v>
      </c>
      <c r="D5777">
        <v>300</v>
      </c>
      <c r="E5777">
        <v>37.796999999999997</v>
      </c>
      <c r="F5777">
        <v>2.6457000000000001E-2</v>
      </c>
      <c r="G5777">
        <v>126.33</v>
      </c>
      <c r="H5777">
        <v>0.26286999999999999</v>
      </c>
    </row>
    <row r="5778" spans="2:8" x14ac:dyDescent="0.25">
      <c r="B5778">
        <v>0.27349000000000001</v>
      </c>
      <c r="C5778">
        <v>80</v>
      </c>
      <c r="D5778">
        <v>300</v>
      </c>
      <c r="E5778">
        <v>37.533999999999999</v>
      </c>
      <c r="F5778">
        <v>2.6643E-2</v>
      </c>
      <c r="G5778">
        <v>132.03</v>
      </c>
      <c r="H5778">
        <v>0.27349000000000001</v>
      </c>
    </row>
    <row r="5779" spans="2:8" x14ac:dyDescent="0.25">
      <c r="B5779">
        <v>0.28406999999999999</v>
      </c>
      <c r="C5779">
        <v>85</v>
      </c>
      <c r="D5779">
        <v>300</v>
      </c>
      <c r="E5779">
        <v>37.265999999999998</v>
      </c>
      <c r="F5779">
        <v>2.6834E-2</v>
      </c>
      <c r="G5779">
        <v>137.76</v>
      </c>
      <c r="H5779">
        <v>0.28406999999999999</v>
      </c>
    </row>
    <row r="5780" spans="2:8" x14ac:dyDescent="0.25">
      <c r="B5780">
        <v>0.29459999999999997</v>
      </c>
      <c r="C5780">
        <v>90</v>
      </c>
      <c r="D5780">
        <v>300</v>
      </c>
      <c r="E5780">
        <v>36.994999999999997</v>
      </c>
      <c r="F5780">
        <v>2.7030999999999999E-2</v>
      </c>
      <c r="G5780">
        <v>143.53</v>
      </c>
      <c r="H5780">
        <v>0.29459999999999997</v>
      </c>
    </row>
    <row r="5781" spans="2:8" x14ac:dyDescent="0.25">
      <c r="B5781">
        <v>0.30509999999999998</v>
      </c>
      <c r="C5781">
        <v>95</v>
      </c>
      <c r="D5781">
        <v>300</v>
      </c>
      <c r="E5781">
        <v>36.719000000000001</v>
      </c>
      <c r="F5781">
        <v>2.7234000000000001E-2</v>
      </c>
      <c r="G5781">
        <v>149.32</v>
      </c>
      <c r="H5781">
        <v>0.30509999999999998</v>
      </c>
    </row>
    <row r="5782" spans="2:8" x14ac:dyDescent="0.25">
      <c r="B5782">
        <v>0.31557000000000002</v>
      </c>
      <c r="C5782">
        <v>100</v>
      </c>
      <c r="D5782">
        <v>300</v>
      </c>
      <c r="E5782">
        <v>36.439</v>
      </c>
      <c r="F5782">
        <v>2.7442999999999999E-2</v>
      </c>
      <c r="G5782">
        <v>155.16</v>
      </c>
      <c r="H5782">
        <v>0.31557000000000002</v>
      </c>
    </row>
    <row r="5783" spans="2:8" x14ac:dyDescent="0.25">
      <c r="B5783">
        <v>0.32601000000000002</v>
      </c>
      <c r="C5783">
        <v>105</v>
      </c>
      <c r="D5783">
        <v>300</v>
      </c>
      <c r="E5783">
        <v>36.152999999999999</v>
      </c>
      <c r="F5783">
        <v>2.7660000000000001E-2</v>
      </c>
      <c r="G5783">
        <v>161.03</v>
      </c>
      <c r="H5783">
        <v>0.32601000000000002</v>
      </c>
    </row>
    <row r="5784" spans="2:8" x14ac:dyDescent="0.25">
      <c r="B5784">
        <v>0.33643000000000001</v>
      </c>
      <c r="C5784">
        <v>110</v>
      </c>
      <c r="D5784">
        <v>300</v>
      </c>
      <c r="E5784">
        <v>35.863</v>
      </c>
      <c r="F5784">
        <v>2.7883999999999999E-2</v>
      </c>
      <c r="G5784">
        <v>166.94</v>
      </c>
      <c r="H5784">
        <v>0.33643000000000001</v>
      </c>
    </row>
    <row r="5785" spans="2:8" x14ac:dyDescent="0.25">
      <c r="B5785">
        <v>0.34683999999999998</v>
      </c>
      <c r="C5785">
        <v>115</v>
      </c>
      <c r="D5785">
        <v>300</v>
      </c>
      <c r="E5785">
        <v>35.567</v>
      </c>
      <c r="F5785">
        <v>2.8115999999999999E-2</v>
      </c>
      <c r="G5785">
        <v>172.89</v>
      </c>
      <c r="H5785">
        <v>0.34683999999999998</v>
      </c>
    </row>
    <row r="5786" spans="2:8" x14ac:dyDescent="0.25">
      <c r="B5786">
        <v>0.35724</v>
      </c>
      <c r="C5786">
        <v>120</v>
      </c>
      <c r="D5786">
        <v>300</v>
      </c>
      <c r="E5786">
        <v>35.264000000000003</v>
      </c>
      <c r="F5786">
        <v>2.8357E-2</v>
      </c>
      <c r="G5786">
        <v>178.9</v>
      </c>
      <c r="H5786">
        <v>0.35724</v>
      </c>
    </row>
    <row r="5787" spans="2:8" x14ac:dyDescent="0.25">
      <c r="B5787">
        <v>1.1395999999999999</v>
      </c>
      <c r="C5787">
        <v>125</v>
      </c>
      <c r="D5787">
        <v>300</v>
      </c>
      <c r="E5787">
        <v>0.99575999999999998</v>
      </c>
      <c r="F5787">
        <v>1.0043</v>
      </c>
      <c r="G5787">
        <v>634.89</v>
      </c>
      <c r="H5787">
        <v>1.1395999999999999</v>
      </c>
    </row>
    <row r="5788" spans="2:8" x14ac:dyDescent="0.25">
      <c r="B5788">
        <v>1.1472</v>
      </c>
      <c r="C5788">
        <v>130</v>
      </c>
      <c r="D5788">
        <v>300</v>
      </c>
      <c r="E5788">
        <v>0.97816999999999998</v>
      </c>
      <c r="F5788">
        <v>1.0223</v>
      </c>
      <c r="G5788">
        <v>639.35</v>
      </c>
      <c r="H5788">
        <v>1.1472</v>
      </c>
    </row>
    <row r="5789" spans="2:8" x14ac:dyDescent="0.25">
      <c r="B5789">
        <v>1.1545000000000001</v>
      </c>
      <c r="C5789">
        <v>135</v>
      </c>
      <c r="D5789">
        <v>300</v>
      </c>
      <c r="E5789">
        <v>0.96165999999999996</v>
      </c>
      <c r="F5789">
        <v>1.0399</v>
      </c>
      <c r="G5789">
        <v>643.67999999999995</v>
      </c>
      <c r="H5789">
        <v>1.1545000000000001</v>
      </c>
    </row>
    <row r="5790" spans="2:8" x14ac:dyDescent="0.25">
      <c r="B5790">
        <v>1.1616</v>
      </c>
      <c r="C5790">
        <v>140</v>
      </c>
      <c r="D5790">
        <v>300</v>
      </c>
      <c r="E5790">
        <v>0.94611000000000001</v>
      </c>
      <c r="F5790">
        <v>1.0569999999999999</v>
      </c>
      <c r="G5790">
        <v>647.88</v>
      </c>
      <c r="H5790">
        <v>1.1616</v>
      </c>
    </row>
    <row r="5791" spans="2:8" x14ac:dyDescent="0.25">
      <c r="B5791">
        <v>1.1684000000000001</v>
      </c>
      <c r="C5791">
        <v>145</v>
      </c>
      <c r="D5791">
        <v>300</v>
      </c>
      <c r="E5791">
        <v>0.93139000000000005</v>
      </c>
      <c r="F5791">
        <v>1.0737000000000001</v>
      </c>
      <c r="G5791">
        <v>651.97</v>
      </c>
      <c r="H5791">
        <v>1.1684000000000001</v>
      </c>
    </row>
    <row r="5792" spans="2:8" x14ac:dyDescent="0.25">
      <c r="B5792">
        <v>1.175</v>
      </c>
      <c r="C5792">
        <v>150</v>
      </c>
      <c r="D5792">
        <v>300</v>
      </c>
      <c r="E5792">
        <v>0.91744000000000003</v>
      </c>
      <c r="F5792">
        <v>1.0900000000000001</v>
      </c>
      <c r="G5792">
        <v>655.97</v>
      </c>
      <c r="H5792">
        <v>1.175</v>
      </c>
    </row>
    <row r="5793" spans="2:8" x14ac:dyDescent="0.25">
      <c r="B5793">
        <v>1.1813</v>
      </c>
      <c r="C5793">
        <v>155</v>
      </c>
      <c r="D5793">
        <v>300</v>
      </c>
      <c r="E5793">
        <v>0.90415999999999996</v>
      </c>
      <c r="F5793">
        <v>1.1060000000000001</v>
      </c>
      <c r="G5793">
        <v>659.89</v>
      </c>
      <c r="H5793">
        <v>1.1813</v>
      </c>
    </row>
    <row r="5794" spans="2:8" x14ac:dyDescent="0.25">
      <c r="B5794">
        <v>1.1876</v>
      </c>
      <c r="C5794">
        <v>160</v>
      </c>
      <c r="D5794">
        <v>300</v>
      </c>
      <c r="E5794">
        <v>0.89149</v>
      </c>
      <c r="F5794">
        <v>1.1216999999999999</v>
      </c>
      <c r="G5794">
        <v>663.73</v>
      </c>
      <c r="H5794">
        <v>1.1876</v>
      </c>
    </row>
    <row r="5795" spans="2:8" x14ac:dyDescent="0.25">
      <c r="B5795">
        <v>1.1936</v>
      </c>
      <c r="C5795">
        <v>165</v>
      </c>
      <c r="D5795">
        <v>300</v>
      </c>
      <c r="E5795">
        <v>0.87939000000000001</v>
      </c>
      <c r="F5795">
        <v>1.1372</v>
      </c>
      <c r="G5795">
        <v>667.5</v>
      </c>
      <c r="H5795">
        <v>1.1936</v>
      </c>
    </row>
    <row r="5796" spans="2:8" x14ac:dyDescent="0.25">
      <c r="B5796">
        <v>1.1995</v>
      </c>
      <c r="C5796">
        <v>170</v>
      </c>
      <c r="D5796">
        <v>300</v>
      </c>
      <c r="E5796">
        <v>0.86778999999999995</v>
      </c>
      <c r="F5796">
        <v>1.1524000000000001</v>
      </c>
      <c r="G5796">
        <v>671.21</v>
      </c>
      <c r="H5796">
        <v>1.1995</v>
      </c>
    </row>
    <row r="5797" spans="2:8" x14ac:dyDescent="0.25">
      <c r="B5797">
        <v>1.2053</v>
      </c>
      <c r="C5797">
        <v>175</v>
      </c>
      <c r="D5797">
        <v>300</v>
      </c>
      <c r="E5797">
        <v>0.85665999999999998</v>
      </c>
      <c r="F5797">
        <v>1.1673</v>
      </c>
      <c r="G5797">
        <v>674.86</v>
      </c>
      <c r="H5797">
        <v>1.2053</v>
      </c>
    </row>
    <row r="5798" spans="2:8" x14ac:dyDescent="0.25">
      <c r="B5798">
        <v>1.2110000000000001</v>
      </c>
      <c r="C5798">
        <v>180</v>
      </c>
      <c r="D5798">
        <v>300</v>
      </c>
      <c r="E5798">
        <v>0.84596000000000005</v>
      </c>
      <c r="F5798">
        <v>1.1820999999999999</v>
      </c>
      <c r="G5798">
        <v>678.46</v>
      </c>
      <c r="H5798">
        <v>1.2110000000000001</v>
      </c>
    </row>
    <row r="5799" spans="2:8" x14ac:dyDescent="0.25">
      <c r="B5799">
        <v>1.2164999999999999</v>
      </c>
      <c r="C5799">
        <v>185</v>
      </c>
      <c r="D5799">
        <v>300</v>
      </c>
      <c r="E5799">
        <v>0.83565999999999996</v>
      </c>
      <c r="F5799">
        <v>1.1967000000000001</v>
      </c>
      <c r="G5799">
        <v>682.02</v>
      </c>
      <c r="H5799">
        <v>1.2164999999999999</v>
      </c>
    </row>
    <row r="5800" spans="2:8" x14ac:dyDescent="0.25">
      <c r="B5800">
        <v>1.2219</v>
      </c>
      <c r="C5800">
        <v>190</v>
      </c>
      <c r="D5800">
        <v>300</v>
      </c>
      <c r="E5800">
        <v>0.82572999999999996</v>
      </c>
      <c r="F5800">
        <v>1.2110000000000001</v>
      </c>
      <c r="G5800">
        <v>685.54</v>
      </c>
      <c r="H5800">
        <v>1.2219</v>
      </c>
    </row>
    <row r="5801" spans="2:8" x14ac:dyDescent="0.25">
      <c r="B5801">
        <v>1.2273000000000001</v>
      </c>
      <c r="C5801">
        <v>195</v>
      </c>
      <c r="D5801">
        <v>300</v>
      </c>
      <c r="E5801">
        <v>0.81615000000000004</v>
      </c>
      <c r="F5801">
        <v>1.2253000000000001</v>
      </c>
      <c r="G5801">
        <v>689.01</v>
      </c>
      <c r="H5801">
        <v>1.2273000000000001</v>
      </c>
    </row>
    <row r="5802" spans="2:8" x14ac:dyDescent="0.25">
      <c r="B5802">
        <v>1.2324999999999999</v>
      </c>
      <c r="C5802">
        <v>200</v>
      </c>
      <c r="D5802">
        <v>300</v>
      </c>
      <c r="E5802">
        <v>0.80688000000000004</v>
      </c>
      <c r="F5802">
        <v>1.2393000000000001</v>
      </c>
      <c r="G5802">
        <v>692.46</v>
      </c>
      <c r="H5802">
        <v>1.2324999999999999</v>
      </c>
    </row>
    <row r="5803" spans="2:8" x14ac:dyDescent="0.25">
      <c r="B5803">
        <v>1.2377</v>
      </c>
      <c r="C5803">
        <v>205</v>
      </c>
      <c r="D5803">
        <v>300</v>
      </c>
      <c r="E5803">
        <v>0.79791000000000001</v>
      </c>
      <c r="F5803">
        <v>1.2533000000000001</v>
      </c>
      <c r="G5803">
        <v>695.87</v>
      </c>
      <c r="H5803">
        <v>1.2377</v>
      </c>
    </row>
    <row r="5804" spans="2:8" x14ac:dyDescent="0.25">
      <c r="B5804">
        <v>1.2426999999999999</v>
      </c>
      <c r="C5804">
        <v>210</v>
      </c>
      <c r="D5804">
        <v>300</v>
      </c>
      <c r="E5804">
        <v>0.78922999999999999</v>
      </c>
      <c r="F5804">
        <v>1.2670999999999999</v>
      </c>
      <c r="G5804">
        <v>699.25</v>
      </c>
      <c r="H5804">
        <v>1.2426999999999999</v>
      </c>
    </row>
    <row r="5805" spans="2:8" x14ac:dyDescent="0.25">
      <c r="B5805">
        <v>1.2477</v>
      </c>
      <c r="C5805">
        <v>215</v>
      </c>
      <c r="D5805">
        <v>300</v>
      </c>
      <c r="E5805">
        <v>0.78081</v>
      </c>
      <c r="F5805">
        <v>1.2806999999999999</v>
      </c>
      <c r="G5805">
        <v>702.61</v>
      </c>
      <c r="H5805">
        <v>1.2477</v>
      </c>
    </row>
    <row r="5806" spans="2:8" x14ac:dyDescent="0.25">
      <c r="B5806">
        <v>1.2526999999999999</v>
      </c>
      <c r="C5806">
        <v>220</v>
      </c>
      <c r="D5806">
        <v>300</v>
      </c>
      <c r="E5806">
        <v>0.77263000000000004</v>
      </c>
      <c r="F5806">
        <v>1.2943</v>
      </c>
      <c r="G5806">
        <v>705.94</v>
      </c>
      <c r="H5806">
        <v>1.2526999999999999</v>
      </c>
    </row>
    <row r="5807" spans="2:8" x14ac:dyDescent="0.25">
      <c r="B5807">
        <v>1.2575000000000001</v>
      </c>
      <c r="C5807">
        <v>225</v>
      </c>
      <c r="D5807">
        <v>300</v>
      </c>
      <c r="E5807">
        <v>0.76468999999999998</v>
      </c>
      <c r="F5807">
        <v>1.3077000000000001</v>
      </c>
      <c r="G5807">
        <v>709.24</v>
      </c>
      <c r="H5807">
        <v>1.2575000000000001</v>
      </c>
    </row>
    <row r="5808" spans="2:8" x14ac:dyDescent="0.25">
      <c r="B5808">
        <v>1.2623</v>
      </c>
      <c r="C5808">
        <v>230</v>
      </c>
      <c r="D5808">
        <v>300</v>
      </c>
      <c r="E5808">
        <v>0.75697000000000003</v>
      </c>
      <c r="F5808">
        <v>1.321</v>
      </c>
      <c r="G5808">
        <v>712.53</v>
      </c>
      <c r="H5808">
        <v>1.2623</v>
      </c>
    </row>
    <row r="5809" spans="2:8" x14ac:dyDescent="0.25">
      <c r="B5809">
        <v>1.2669999999999999</v>
      </c>
      <c r="C5809">
        <v>235</v>
      </c>
      <c r="D5809">
        <v>300</v>
      </c>
      <c r="E5809">
        <v>0.74946999999999997</v>
      </c>
      <c r="F5809">
        <v>1.3343</v>
      </c>
      <c r="G5809">
        <v>715.8</v>
      </c>
      <c r="H5809">
        <v>1.2669999999999999</v>
      </c>
    </row>
    <row r="5810" spans="2:8" x14ac:dyDescent="0.25">
      <c r="B5810">
        <v>1.2717000000000001</v>
      </c>
      <c r="C5810">
        <v>240</v>
      </c>
      <c r="D5810">
        <v>300</v>
      </c>
      <c r="E5810">
        <v>0.74216000000000004</v>
      </c>
      <c r="F5810">
        <v>1.3473999999999999</v>
      </c>
      <c r="G5810">
        <v>719.05</v>
      </c>
      <c r="H5810">
        <v>1.2717000000000001</v>
      </c>
    </row>
    <row r="5811" spans="2:8" x14ac:dyDescent="0.25">
      <c r="B5811">
        <v>1.2763</v>
      </c>
      <c r="C5811">
        <v>245</v>
      </c>
      <c r="D5811">
        <v>300</v>
      </c>
      <c r="E5811">
        <v>0.73504000000000003</v>
      </c>
      <c r="F5811">
        <v>1.3605</v>
      </c>
      <c r="G5811">
        <v>722.29</v>
      </c>
      <c r="H5811">
        <v>1.2763</v>
      </c>
    </row>
    <row r="5812" spans="2:8" x14ac:dyDescent="0.25">
      <c r="B5812">
        <v>1.2807999999999999</v>
      </c>
      <c r="C5812">
        <v>250</v>
      </c>
      <c r="D5812">
        <v>300</v>
      </c>
      <c r="E5812">
        <v>0.72809999999999997</v>
      </c>
      <c r="F5812">
        <v>1.3734</v>
      </c>
      <c r="G5812">
        <v>725.51</v>
      </c>
      <c r="H5812">
        <v>1.2807999999999999</v>
      </c>
    </row>
    <row r="5813" spans="2:8" x14ac:dyDescent="0.25">
      <c r="B5813">
        <v>1.2853000000000001</v>
      </c>
      <c r="C5813">
        <v>255</v>
      </c>
      <c r="D5813">
        <v>300</v>
      </c>
      <c r="E5813">
        <v>0.72133000000000003</v>
      </c>
      <c r="F5813">
        <v>1.3863000000000001</v>
      </c>
      <c r="G5813">
        <v>728.72</v>
      </c>
      <c r="H5813">
        <v>1.2853000000000001</v>
      </c>
    </row>
    <row r="5814" spans="2:8" x14ac:dyDescent="0.25">
      <c r="B5814">
        <v>1.2898000000000001</v>
      </c>
      <c r="C5814">
        <v>260</v>
      </c>
      <c r="D5814">
        <v>300</v>
      </c>
      <c r="E5814">
        <v>0.71472000000000002</v>
      </c>
      <c r="F5814">
        <v>1.3991</v>
      </c>
      <c r="G5814">
        <v>731.92</v>
      </c>
      <c r="H5814">
        <v>1.2898000000000001</v>
      </c>
    </row>
    <row r="5815" spans="2:8" x14ac:dyDescent="0.25">
      <c r="B5815">
        <v>1.2942</v>
      </c>
      <c r="C5815">
        <v>265</v>
      </c>
      <c r="D5815">
        <v>300</v>
      </c>
      <c r="E5815">
        <v>0.70826999999999996</v>
      </c>
      <c r="F5815">
        <v>1.4118999999999999</v>
      </c>
      <c r="G5815">
        <v>735.1</v>
      </c>
      <c r="H5815">
        <v>1.2942</v>
      </c>
    </row>
    <row r="5816" spans="2:8" x14ac:dyDescent="0.25">
      <c r="B5816">
        <v>1.2986</v>
      </c>
      <c r="C5816">
        <v>270</v>
      </c>
      <c r="D5816">
        <v>300</v>
      </c>
      <c r="E5816">
        <v>0.70196999999999998</v>
      </c>
      <c r="F5816">
        <v>1.4246000000000001</v>
      </c>
      <c r="G5816">
        <v>738.28</v>
      </c>
      <c r="H5816">
        <v>1.2986</v>
      </c>
    </row>
    <row r="5817" spans="2:8" x14ac:dyDescent="0.25">
      <c r="B5817">
        <v>1.3028999999999999</v>
      </c>
      <c r="C5817">
        <v>275</v>
      </c>
      <c r="D5817">
        <v>300</v>
      </c>
      <c r="E5817">
        <v>0.69581000000000004</v>
      </c>
      <c r="F5817">
        <v>1.4372</v>
      </c>
      <c r="G5817">
        <v>741.44</v>
      </c>
      <c r="H5817">
        <v>1.3028999999999999</v>
      </c>
    </row>
    <row r="5818" spans="2:8" x14ac:dyDescent="0.25">
      <c r="B5818">
        <v>1.3071999999999999</v>
      </c>
      <c r="C5818">
        <v>280</v>
      </c>
      <c r="D5818">
        <v>300</v>
      </c>
      <c r="E5818">
        <v>0.68979000000000001</v>
      </c>
      <c r="F5818">
        <v>1.4497</v>
      </c>
      <c r="G5818">
        <v>744.6</v>
      </c>
      <c r="H5818">
        <v>1.3071999999999999</v>
      </c>
    </row>
    <row r="5819" spans="2:8" x14ac:dyDescent="0.25">
      <c r="B5819">
        <v>1.3113999999999999</v>
      </c>
      <c r="C5819">
        <v>285</v>
      </c>
      <c r="D5819">
        <v>300</v>
      </c>
      <c r="E5819">
        <v>0.68389999999999995</v>
      </c>
      <c r="F5819">
        <v>1.4621999999999999</v>
      </c>
      <c r="G5819">
        <v>747.75</v>
      </c>
      <c r="H5819">
        <v>1.3113999999999999</v>
      </c>
    </row>
    <row r="5820" spans="2:8" x14ac:dyDescent="0.25">
      <c r="B5820">
        <v>1.3156000000000001</v>
      </c>
      <c r="C5820">
        <v>290</v>
      </c>
      <c r="D5820">
        <v>300</v>
      </c>
      <c r="E5820">
        <v>0.67813999999999997</v>
      </c>
      <c r="F5820">
        <v>1.4745999999999999</v>
      </c>
      <c r="G5820">
        <v>750.89</v>
      </c>
      <c r="H5820">
        <v>1.3156000000000001</v>
      </c>
    </row>
    <row r="5821" spans="2:8" x14ac:dyDescent="0.25">
      <c r="B5821">
        <v>1.3198000000000001</v>
      </c>
      <c r="C5821">
        <v>295</v>
      </c>
      <c r="D5821">
        <v>300</v>
      </c>
      <c r="E5821">
        <v>0.67249000000000003</v>
      </c>
      <c r="F5821">
        <v>1.4870000000000001</v>
      </c>
      <c r="G5821">
        <v>754.03</v>
      </c>
      <c r="H5821">
        <v>1.3198000000000001</v>
      </c>
    </row>
    <row r="5822" spans="2:8" x14ac:dyDescent="0.25">
      <c r="B5822">
        <v>1.3239000000000001</v>
      </c>
      <c r="C5822">
        <v>300</v>
      </c>
      <c r="D5822">
        <v>300</v>
      </c>
      <c r="E5822">
        <v>0.66696</v>
      </c>
      <c r="F5822">
        <v>1.4993000000000001</v>
      </c>
      <c r="G5822">
        <v>757.16</v>
      </c>
      <c r="H5822">
        <v>1.3239000000000001</v>
      </c>
    </row>
    <row r="5823" spans="2:8" x14ac:dyDescent="0.25">
      <c r="B5823">
        <v>1.3280000000000001</v>
      </c>
      <c r="C5823">
        <v>305</v>
      </c>
      <c r="D5823">
        <v>300</v>
      </c>
      <c r="E5823">
        <v>0.66154999999999997</v>
      </c>
      <c r="F5823">
        <v>1.5116000000000001</v>
      </c>
      <c r="G5823">
        <v>760.29</v>
      </c>
      <c r="H5823">
        <v>1.3280000000000001</v>
      </c>
    </row>
    <row r="5824" spans="2:8" x14ac:dyDescent="0.25">
      <c r="B5824">
        <v>1.3321000000000001</v>
      </c>
      <c r="C5824">
        <v>310</v>
      </c>
      <c r="D5824">
        <v>300</v>
      </c>
      <c r="E5824">
        <v>0.65624000000000005</v>
      </c>
      <c r="F5824">
        <v>1.5238</v>
      </c>
      <c r="G5824">
        <v>763.41</v>
      </c>
      <c r="H5824">
        <v>1.3321000000000001</v>
      </c>
    </row>
    <row r="5825" spans="1:8" x14ac:dyDescent="0.25">
      <c r="B5825">
        <v>1.3362000000000001</v>
      </c>
      <c r="C5825">
        <v>315</v>
      </c>
      <c r="D5825">
        <v>300</v>
      </c>
      <c r="E5825">
        <v>0.65103</v>
      </c>
      <c r="F5825">
        <v>1.536</v>
      </c>
      <c r="G5825">
        <v>766.53</v>
      </c>
      <c r="H5825">
        <v>1.3362000000000001</v>
      </c>
    </row>
    <row r="5826" spans="1:8" x14ac:dyDescent="0.25">
      <c r="B5826">
        <v>1.3402000000000001</v>
      </c>
      <c r="C5826">
        <v>320</v>
      </c>
      <c r="D5826">
        <v>300</v>
      </c>
      <c r="E5826">
        <v>0.64593</v>
      </c>
      <c r="F5826">
        <v>1.5482</v>
      </c>
      <c r="G5826">
        <v>769.64</v>
      </c>
      <c r="H5826">
        <v>1.3402000000000001</v>
      </c>
    </row>
    <row r="5827" spans="1:8" x14ac:dyDescent="0.25">
      <c r="B5827">
        <v>1.3441000000000001</v>
      </c>
      <c r="C5827">
        <v>325</v>
      </c>
      <c r="D5827">
        <v>300</v>
      </c>
      <c r="E5827">
        <v>0.64092000000000005</v>
      </c>
      <c r="F5827">
        <v>1.5602</v>
      </c>
      <c r="G5827">
        <v>772.75</v>
      </c>
      <c r="H5827">
        <v>1.3441000000000001</v>
      </c>
    </row>
    <row r="5828" spans="1:8" x14ac:dyDescent="0.25">
      <c r="B5828">
        <v>1.3481000000000001</v>
      </c>
      <c r="C5828">
        <v>330</v>
      </c>
      <c r="D5828">
        <v>300</v>
      </c>
      <c r="E5828">
        <v>0.63600999999999996</v>
      </c>
      <c r="F5828">
        <v>1.5723</v>
      </c>
      <c r="G5828">
        <v>775.86</v>
      </c>
      <c r="H5828">
        <v>1.3481000000000001</v>
      </c>
    </row>
    <row r="5829" spans="1:8" x14ac:dyDescent="0.25">
      <c r="B5829">
        <v>1.3520000000000001</v>
      </c>
      <c r="C5829">
        <v>335</v>
      </c>
      <c r="D5829">
        <v>300</v>
      </c>
      <c r="E5829">
        <v>0.63117999999999996</v>
      </c>
      <c r="F5829">
        <v>1.5843</v>
      </c>
      <c r="G5829">
        <v>778.97</v>
      </c>
      <c r="H5829">
        <v>1.3520000000000001</v>
      </c>
    </row>
    <row r="5830" spans="1:8" x14ac:dyDescent="0.25">
      <c r="B5830">
        <v>1.3559000000000001</v>
      </c>
      <c r="C5830">
        <v>340</v>
      </c>
      <c r="D5830">
        <v>300</v>
      </c>
      <c r="E5830">
        <v>0.62644999999999995</v>
      </c>
      <c r="F5830">
        <v>1.5963000000000001</v>
      </c>
      <c r="G5830">
        <v>782.08</v>
      </c>
      <c r="H5830">
        <v>1.3559000000000001</v>
      </c>
    </row>
    <row r="5831" spans="1:8" x14ac:dyDescent="0.25">
      <c r="B5831">
        <v>1.3597999999999999</v>
      </c>
      <c r="C5831">
        <v>345</v>
      </c>
      <c r="D5831">
        <v>300</v>
      </c>
      <c r="E5831">
        <v>0.62180000000000002</v>
      </c>
      <c r="F5831">
        <v>1.6082000000000001</v>
      </c>
      <c r="G5831">
        <v>785.18</v>
      </c>
      <c r="H5831">
        <v>1.3597999999999999</v>
      </c>
    </row>
    <row r="5832" spans="1:8" x14ac:dyDescent="0.25">
      <c r="B5832">
        <v>1.3635999999999999</v>
      </c>
      <c r="C5832">
        <v>350</v>
      </c>
      <c r="D5832">
        <v>300</v>
      </c>
      <c r="E5832">
        <v>0.61722999999999995</v>
      </c>
      <c r="F5832">
        <v>1.6202000000000001</v>
      </c>
      <c r="G5832">
        <v>788.28</v>
      </c>
      <c r="H5832">
        <v>1.3635999999999999</v>
      </c>
    </row>
    <row r="5834" spans="1:8" x14ac:dyDescent="0.25">
      <c r="A5834">
        <v>305</v>
      </c>
      <c r="B5834">
        <v>9.5811999999999994E-2</v>
      </c>
      <c r="C5834">
        <v>0</v>
      </c>
      <c r="D5834">
        <v>305</v>
      </c>
      <c r="E5834">
        <v>41.411999999999999</v>
      </c>
      <c r="F5834">
        <v>2.4147999999999999E-2</v>
      </c>
      <c r="G5834">
        <v>43.393999999999998</v>
      </c>
      <c r="H5834">
        <v>9.5811999999999994E-2</v>
      </c>
    </row>
    <row r="5835" spans="1:8" x14ac:dyDescent="0.25">
      <c r="B5835">
        <v>0.1075</v>
      </c>
      <c r="C5835">
        <v>5</v>
      </c>
      <c r="D5835">
        <v>305</v>
      </c>
      <c r="E5835">
        <v>41.186999999999998</v>
      </c>
      <c r="F5835">
        <v>2.4278999999999998E-2</v>
      </c>
      <c r="G5835">
        <v>48.796999999999997</v>
      </c>
      <c r="H5835">
        <v>0.1075</v>
      </c>
    </row>
    <row r="5836" spans="1:8" x14ac:dyDescent="0.25">
      <c r="B5836">
        <v>0.1191</v>
      </c>
      <c r="C5836">
        <v>10</v>
      </c>
      <c r="D5836">
        <v>305</v>
      </c>
      <c r="E5836">
        <v>40.96</v>
      </c>
      <c r="F5836">
        <v>2.4414000000000002E-2</v>
      </c>
      <c r="G5836">
        <v>54.216999999999999</v>
      </c>
      <c r="H5836">
        <v>0.1191</v>
      </c>
    </row>
    <row r="5837" spans="1:8" x14ac:dyDescent="0.25">
      <c r="B5837">
        <v>0.13062000000000001</v>
      </c>
      <c r="C5837">
        <v>15</v>
      </c>
      <c r="D5837">
        <v>305</v>
      </c>
      <c r="E5837">
        <v>40.731999999999999</v>
      </c>
      <c r="F5837">
        <v>2.4551E-2</v>
      </c>
      <c r="G5837">
        <v>59.652000000000001</v>
      </c>
      <c r="H5837">
        <v>0.13062000000000001</v>
      </c>
    </row>
    <row r="5838" spans="1:8" x14ac:dyDescent="0.25">
      <c r="B5838">
        <v>0.14204</v>
      </c>
      <c r="C5838">
        <v>20</v>
      </c>
      <c r="D5838">
        <v>305</v>
      </c>
      <c r="E5838">
        <v>40.500999999999998</v>
      </c>
      <c r="F5838">
        <v>2.4691000000000001E-2</v>
      </c>
      <c r="G5838">
        <v>65.105000000000004</v>
      </c>
      <c r="H5838">
        <v>0.14204</v>
      </c>
    </row>
    <row r="5839" spans="1:8" x14ac:dyDescent="0.25">
      <c r="B5839">
        <v>0.15337999999999999</v>
      </c>
      <c r="C5839">
        <v>25</v>
      </c>
      <c r="D5839">
        <v>305</v>
      </c>
      <c r="E5839">
        <v>40.268000000000001</v>
      </c>
      <c r="F5839">
        <v>2.4833999999999998E-2</v>
      </c>
      <c r="G5839">
        <v>70.573999999999998</v>
      </c>
      <c r="H5839">
        <v>0.15337999999999999</v>
      </c>
    </row>
    <row r="5840" spans="1:8" x14ac:dyDescent="0.25">
      <c r="B5840">
        <v>0.16464999999999999</v>
      </c>
      <c r="C5840">
        <v>30</v>
      </c>
      <c r="D5840">
        <v>305</v>
      </c>
      <c r="E5840">
        <v>40.031999999999996</v>
      </c>
      <c r="F5840">
        <v>2.4979999999999999E-2</v>
      </c>
      <c r="G5840">
        <v>76.06</v>
      </c>
      <c r="H5840">
        <v>0.16464999999999999</v>
      </c>
    </row>
    <row r="5841" spans="2:8" x14ac:dyDescent="0.25">
      <c r="B5841">
        <v>0.17582999999999999</v>
      </c>
      <c r="C5841">
        <v>35</v>
      </c>
      <c r="D5841">
        <v>305</v>
      </c>
      <c r="E5841">
        <v>39.795000000000002</v>
      </c>
      <c r="F5841">
        <v>2.5128999999999999E-2</v>
      </c>
      <c r="G5841">
        <v>81.563999999999993</v>
      </c>
      <c r="H5841">
        <v>0.17582999999999999</v>
      </c>
    </row>
    <row r="5842" spans="2:8" x14ac:dyDescent="0.25">
      <c r="B5842">
        <v>0.18694</v>
      </c>
      <c r="C5842">
        <v>40</v>
      </c>
      <c r="D5842">
        <v>305</v>
      </c>
      <c r="E5842">
        <v>39.555</v>
      </c>
      <c r="F5842">
        <v>2.5281000000000001E-2</v>
      </c>
      <c r="G5842">
        <v>87.087000000000003</v>
      </c>
      <c r="H5842">
        <v>0.18694</v>
      </c>
    </row>
    <row r="5843" spans="2:8" x14ac:dyDescent="0.25">
      <c r="B5843">
        <v>0.19797000000000001</v>
      </c>
      <c r="C5843">
        <v>45</v>
      </c>
      <c r="D5843">
        <v>305</v>
      </c>
      <c r="E5843">
        <v>39.313000000000002</v>
      </c>
      <c r="F5843">
        <v>2.5437000000000001E-2</v>
      </c>
      <c r="G5843">
        <v>92.629000000000005</v>
      </c>
      <c r="H5843">
        <v>0.19797000000000001</v>
      </c>
    </row>
    <row r="5844" spans="2:8" x14ac:dyDescent="0.25">
      <c r="B5844">
        <v>0.20893999999999999</v>
      </c>
      <c r="C5844">
        <v>50</v>
      </c>
      <c r="D5844">
        <v>305</v>
      </c>
      <c r="E5844">
        <v>39.067999999999998</v>
      </c>
      <c r="F5844">
        <v>2.5597000000000002E-2</v>
      </c>
      <c r="G5844">
        <v>98.19</v>
      </c>
      <c r="H5844">
        <v>0.20893999999999999</v>
      </c>
    </row>
    <row r="5845" spans="2:8" x14ac:dyDescent="0.25">
      <c r="B5845">
        <v>0.21984000000000001</v>
      </c>
      <c r="C5845">
        <v>55</v>
      </c>
      <c r="D5845">
        <v>305</v>
      </c>
      <c r="E5845">
        <v>38.82</v>
      </c>
      <c r="F5845">
        <v>2.5760000000000002E-2</v>
      </c>
      <c r="G5845">
        <v>103.77</v>
      </c>
      <c r="H5845">
        <v>0.21984000000000001</v>
      </c>
    </row>
    <row r="5846" spans="2:8" x14ac:dyDescent="0.25">
      <c r="B5846">
        <v>0.23068</v>
      </c>
      <c r="C5846">
        <v>60</v>
      </c>
      <c r="D5846">
        <v>305</v>
      </c>
      <c r="E5846">
        <v>38.57</v>
      </c>
      <c r="F5846">
        <v>2.5926999999999999E-2</v>
      </c>
      <c r="G5846">
        <v>109.38</v>
      </c>
      <c r="H5846">
        <v>0.23068</v>
      </c>
    </row>
    <row r="5847" spans="2:8" x14ac:dyDescent="0.25">
      <c r="B5847">
        <v>0.24145</v>
      </c>
      <c r="C5847">
        <v>65</v>
      </c>
      <c r="D5847">
        <v>305</v>
      </c>
      <c r="E5847">
        <v>38.316000000000003</v>
      </c>
      <c r="F5847">
        <v>2.6099000000000001E-2</v>
      </c>
      <c r="G5847">
        <v>115</v>
      </c>
      <c r="H5847">
        <v>0.24145</v>
      </c>
    </row>
    <row r="5848" spans="2:8" x14ac:dyDescent="0.25">
      <c r="B5848">
        <v>0.25217000000000001</v>
      </c>
      <c r="C5848">
        <v>70</v>
      </c>
      <c r="D5848">
        <v>305</v>
      </c>
      <c r="E5848">
        <v>38.058999999999997</v>
      </c>
      <c r="F5848">
        <v>2.6275E-2</v>
      </c>
      <c r="G5848">
        <v>120.65</v>
      </c>
      <c r="H5848">
        <v>0.25217000000000001</v>
      </c>
    </row>
    <row r="5849" spans="2:8" x14ac:dyDescent="0.25">
      <c r="B5849">
        <v>0.26284000000000002</v>
      </c>
      <c r="C5849">
        <v>75</v>
      </c>
      <c r="D5849">
        <v>305</v>
      </c>
      <c r="E5849">
        <v>37.798999999999999</v>
      </c>
      <c r="F5849">
        <v>2.6456E-2</v>
      </c>
      <c r="G5849">
        <v>126.33</v>
      </c>
      <c r="H5849">
        <v>0.26284000000000002</v>
      </c>
    </row>
    <row r="5850" spans="2:8" x14ac:dyDescent="0.25">
      <c r="B5850">
        <v>0.27345999999999998</v>
      </c>
      <c r="C5850">
        <v>80</v>
      </c>
      <c r="D5850">
        <v>305</v>
      </c>
      <c r="E5850">
        <v>37.536000000000001</v>
      </c>
      <c r="F5850">
        <v>2.6641000000000001E-2</v>
      </c>
      <c r="G5850">
        <v>132.04</v>
      </c>
      <c r="H5850">
        <v>0.27345999999999998</v>
      </c>
    </row>
    <row r="5851" spans="2:8" x14ac:dyDescent="0.25">
      <c r="B5851">
        <v>0.28403</v>
      </c>
      <c r="C5851">
        <v>85</v>
      </c>
      <c r="D5851">
        <v>305</v>
      </c>
      <c r="E5851">
        <v>37.268000000000001</v>
      </c>
      <c r="F5851">
        <v>2.6832000000000002E-2</v>
      </c>
      <c r="G5851">
        <v>137.77000000000001</v>
      </c>
      <c r="H5851">
        <v>0.28403</v>
      </c>
    </row>
    <row r="5852" spans="2:8" x14ac:dyDescent="0.25">
      <c r="B5852">
        <v>0.29455999999999999</v>
      </c>
      <c r="C5852">
        <v>90</v>
      </c>
      <c r="D5852">
        <v>305</v>
      </c>
      <c r="E5852">
        <v>36.997</v>
      </c>
      <c r="F5852">
        <v>2.7029000000000001E-2</v>
      </c>
      <c r="G5852">
        <v>143.53</v>
      </c>
      <c r="H5852">
        <v>0.29455999999999999</v>
      </c>
    </row>
    <row r="5853" spans="2:8" x14ac:dyDescent="0.25">
      <c r="B5853">
        <v>0.30506</v>
      </c>
      <c r="C5853">
        <v>95</v>
      </c>
      <c r="D5853">
        <v>305</v>
      </c>
      <c r="E5853">
        <v>36.720999999999997</v>
      </c>
      <c r="F5853">
        <v>2.7231999999999999E-2</v>
      </c>
      <c r="G5853">
        <v>149.33000000000001</v>
      </c>
      <c r="H5853">
        <v>0.30506</v>
      </c>
    </row>
    <row r="5854" spans="2:8" x14ac:dyDescent="0.25">
      <c r="B5854">
        <v>0.31552999999999998</v>
      </c>
      <c r="C5854">
        <v>100</v>
      </c>
      <c r="D5854">
        <v>305</v>
      </c>
      <c r="E5854">
        <v>36.441000000000003</v>
      </c>
      <c r="F5854">
        <v>2.7442000000000001E-2</v>
      </c>
      <c r="G5854">
        <v>155.16</v>
      </c>
      <c r="H5854">
        <v>0.31552999999999998</v>
      </c>
    </row>
    <row r="5855" spans="2:8" x14ac:dyDescent="0.25">
      <c r="B5855">
        <v>0.32596999999999998</v>
      </c>
      <c r="C5855">
        <v>105</v>
      </c>
      <c r="D5855">
        <v>305</v>
      </c>
      <c r="E5855">
        <v>36.155999999999999</v>
      </c>
      <c r="F5855">
        <v>2.7657999999999999E-2</v>
      </c>
      <c r="G5855">
        <v>161.03</v>
      </c>
      <c r="H5855">
        <v>0.32596999999999998</v>
      </c>
    </row>
    <row r="5856" spans="2:8" x14ac:dyDescent="0.25">
      <c r="B5856">
        <v>0.33639000000000002</v>
      </c>
      <c r="C5856">
        <v>110</v>
      </c>
      <c r="D5856">
        <v>305</v>
      </c>
      <c r="E5856">
        <v>35.866</v>
      </c>
      <c r="F5856">
        <v>2.7882000000000001E-2</v>
      </c>
      <c r="G5856">
        <v>166.94</v>
      </c>
      <c r="H5856">
        <v>0.33639000000000002</v>
      </c>
    </row>
    <row r="5857" spans="2:8" x14ac:dyDescent="0.25">
      <c r="B5857">
        <v>0.34678999999999999</v>
      </c>
      <c r="C5857">
        <v>115</v>
      </c>
      <c r="D5857">
        <v>305</v>
      </c>
      <c r="E5857">
        <v>35.569000000000003</v>
      </c>
      <c r="F5857">
        <v>2.8114E-2</v>
      </c>
      <c r="G5857">
        <v>172.89</v>
      </c>
      <c r="H5857">
        <v>0.34678999999999999</v>
      </c>
    </row>
    <row r="5858" spans="2:8" x14ac:dyDescent="0.25">
      <c r="B5858">
        <v>0.35719000000000001</v>
      </c>
      <c r="C5858">
        <v>120</v>
      </c>
      <c r="D5858">
        <v>305</v>
      </c>
      <c r="E5858">
        <v>35.267000000000003</v>
      </c>
      <c r="F5858">
        <v>2.8355000000000002E-2</v>
      </c>
      <c r="G5858">
        <v>178.9</v>
      </c>
      <c r="H5858">
        <v>0.35719000000000001</v>
      </c>
    </row>
    <row r="5859" spans="2:8" x14ac:dyDescent="0.25">
      <c r="B5859">
        <v>1.1362000000000001</v>
      </c>
      <c r="C5859">
        <v>125</v>
      </c>
      <c r="D5859">
        <v>305</v>
      </c>
      <c r="E5859">
        <v>1.0170999999999999</v>
      </c>
      <c r="F5859">
        <v>0.98319999999999996</v>
      </c>
      <c r="G5859">
        <v>633.83000000000004</v>
      </c>
      <c r="H5859">
        <v>1.1362000000000001</v>
      </c>
    </row>
    <row r="5860" spans="2:8" x14ac:dyDescent="0.25">
      <c r="B5860">
        <v>1.1438999999999999</v>
      </c>
      <c r="C5860">
        <v>130</v>
      </c>
      <c r="D5860">
        <v>305</v>
      </c>
      <c r="E5860">
        <v>0.99880999999999998</v>
      </c>
      <c r="F5860">
        <v>1.0012000000000001</v>
      </c>
      <c r="G5860">
        <v>638.35</v>
      </c>
      <c r="H5860">
        <v>1.1438999999999999</v>
      </c>
    </row>
    <row r="5861" spans="2:8" x14ac:dyDescent="0.25">
      <c r="B5861">
        <v>1.1513</v>
      </c>
      <c r="C5861">
        <v>135</v>
      </c>
      <c r="D5861">
        <v>305</v>
      </c>
      <c r="E5861">
        <v>0.98168</v>
      </c>
      <c r="F5861">
        <v>1.0186999999999999</v>
      </c>
      <c r="G5861">
        <v>642.73</v>
      </c>
      <c r="H5861">
        <v>1.1513</v>
      </c>
    </row>
    <row r="5862" spans="2:8" x14ac:dyDescent="0.25">
      <c r="B5862">
        <v>1.1584000000000001</v>
      </c>
      <c r="C5862">
        <v>140</v>
      </c>
      <c r="D5862">
        <v>305</v>
      </c>
      <c r="E5862">
        <v>0.96557000000000004</v>
      </c>
      <c r="F5862">
        <v>1.0357000000000001</v>
      </c>
      <c r="G5862">
        <v>646.98</v>
      </c>
      <c r="H5862">
        <v>1.1584000000000001</v>
      </c>
    </row>
    <row r="5863" spans="2:8" x14ac:dyDescent="0.25">
      <c r="B5863">
        <v>1.1653</v>
      </c>
      <c r="C5863">
        <v>145</v>
      </c>
      <c r="D5863">
        <v>305</v>
      </c>
      <c r="E5863">
        <v>0.95035000000000003</v>
      </c>
      <c r="F5863">
        <v>1.0522</v>
      </c>
      <c r="G5863">
        <v>651.11</v>
      </c>
      <c r="H5863">
        <v>1.1653</v>
      </c>
    </row>
    <row r="5864" spans="2:8" x14ac:dyDescent="0.25">
      <c r="B5864">
        <v>1.1719999999999999</v>
      </c>
      <c r="C5864">
        <v>150</v>
      </c>
      <c r="D5864">
        <v>305</v>
      </c>
      <c r="E5864">
        <v>0.93591999999999997</v>
      </c>
      <c r="F5864">
        <v>1.0685</v>
      </c>
      <c r="G5864">
        <v>655.15</v>
      </c>
      <c r="H5864">
        <v>1.1719999999999999</v>
      </c>
    </row>
    <row r="5865" spans="2:8" x14ac:dyDescent="0.25">
      <c r="B5865">
        <v>1.1783999999999999</v>
      </c>
      <c r="C5865">
        <v>155</v>
      </c>
      <c r="D5865">
        <v>305</v>
      </c>
      <c r="E5865">
        <v>0.92220999999999997</v>
      </c>
      <c r="F5865">
        <v>1.0843</v>
      </c>
      <c r="G5865">
        <v>659.1</v>
      </c>
      <c r="H5865">
        <v>1.1783999999999999</v>
      </c>
    </row>
    <row r="5866" spans="2:8" x14ac:dyDescent="0.25">
      <c r="B5866">
        <v>1.1847000000000001</v>
      </c>
      <c r="C5866">
        <v>160</v>
      </c>
      <c r="D5866">
        <v>305</v>
      </c>
      <c r="E5866">
        <v>0.90915000000000001</v>
      </c>
      <c r="F5866">
        <v>1.0999000000000001</v>
      </c>
      <c r="G5866">
        <v>662.97</v>
      </c>
      <c r="H5866">
        <v>1.1847000000000001</v>
      </c>
    </row>
    <row r="5867" spans="2:8" x14ac:dyDescent="0.25">
      <c r="B5867">
        <v>1.1908000000000001</v>
      </c>
      <c r="C5867">
        <v>165</v>
      </c>
      <c r="D5867">
        <v>305</v>
      </c>
      <c r="E5867">
        <v>0.89666999999999997</v>
      </c>
      <c r="F5867">
        <v>1.1152</v>
      </c>
      <c r="G5867">
        <v>666.78</v>
      </c>
      <c r="H5867">
        <v>1.1908000000000001</v>
      </c>
    </row>
    <row r="5868" spans="2:8" x14ac:dyDescent="0.25">
      <c r="B5868">
        <v>1.1968000000000001</v>
      </c>
      <c r="C5868">
        <v>170</v>
      </c>
      <c r="D5868">
        <v>305</v>
      </c>
      <c r="E5868">
        <v>0.88471999999999995</v>
      </c>
      <c r="F5868">
        <v>1.1303000000000001</v>
      </c>
      <c r="G5868">
        <v>670.51</v>
      </c>
      <c r="H5868">
        <v>1.1968000000000001</v>
      </c>
    </row>
    <row r="5869" spans="2:8" x14ac:dyDescent="0.25">
      <c r="B5869">
        <v>1.2025999999999999</v>
      </c>
      <c r="C5869">
        <v>175</v>
      </c>
      <c r="D5869">
        <v>305</v>
      </c>
      <c r="E5869">
        <v>0.87326999999999999</v>
      </c>
      <c r="F5869">
        <v>1.1451</v>
      </c>
      <c r="G5869">
        <v>674.19</v>
      </c>
      <c r="H5869">
        <v>1.2025999999999999</v>
      </c>
    </row>
    <row r="5870" spans="2:8" x14ac:dyDescent="0.25">
      <c r="B5870">
        <v>1.2082999999999999</v>
      </c>
      <c r="C5870">
        <v>180</v>
      </c>
      <c r="D5870">
        <v>305</v>
      </c>
      <c r="E5870">
        <v>0.86226000000000003</v>
      </c>
      <c r="F5870">
        <v>1.1597</v>
      </c>
      <c r="G5870">
        <v>677.82</v>
      </c>
      <c r="H5870">
        <v>1.2082999999999999</v>
      </c>
    </row>
    <row r="5871" spans="2:8" x14ac:dyDescent="0.25">
      <c r="B5871">
        <v>1.2138</v>
      </c>
      <c r="C5871">
        <v>185</v>
      </c>
      <c r="D5871">
        <v>305</v>
      </c>
      <c r="E5871">
        <v>0.85167000000000004</v>
      </c>
      <c r="F5871">
        <v>1.1741999999999999</v>
      </c>
      <c r="G5871">
        <v>681.4</v>
      </c>
      <c r="H5871">
        <v>1.2138</v>
      </c>
    </row>
    <row r="5872" spans="2:8" x14ac:dyDescent="0.25">
      <c r="B5872">
        <v>1.2193000000000001</v>
      </c>
      <c r="C5872">
        <v>190</v>
      </c>
      <c r="D5872">
        <v>305</v>
      </c>
      <c r="E5872">
        <v>0.84145999999999999</v>
      </c>
      <c r="F5872">
        <v>1.1883999999999999</v>
      </c>
      <c r="G5872">
        <v>684.93</v>
      </c>
      <c r="H5872">
        <v>1.2193000000000001</v>
      </c>
    </row>
    <row r="5873" spans="2:8" x14ac:dyDescent="0.25">
      <c r="B5873">
        <v>1.2246999999999999</v>
      </c>
      <c r="C5873">
        <v>195</v>
      </c>
      <c r="D5873">
        <v>305</v>
      </c>
      <c r="E5873">
        <v>0.83162000000000003</v>
      </c>
      <c r="F5873">
        <v>1.2024999999999999</v>
      </c>
      <c r="G5873">
        <v>688.43</v>
      </c>
      <c r="H5873">
        <v>1.2246999999999999</v>
      </c>
    </row>
    <row r="5874" spans="2:8" x14ac:dyDescent="0.25">
      <c r="B5874">
        <v>1.2299</v>
      </c>
      <c r="C5874">
        <v>200</v>
      </c>
      <c r="D5874">
        <v>305</v>
      </c>
      <c r="E5874">
        <v>0.82210000000000005</v>
      </c>
      <c r="F5874">
        <v>1.2163999999999999</v>
      </c>
      <c r="G5874">
        <v>691.89</v>
      </c>
      <c r="H5874">
        <v>1.2299</v>
      </c>
    </row>
    <row r="5875" spans="2:8" x14ac:dyDescent="0.25">
      <c r="B5875">
        <v>1.2351000000000001</v>
      </c>
      <c r="C5875">
        <v>205</v>
      </c>
      <c r="D5875">
        <v>305</v>
      </c>
      <c r="E5875">
        <v>0.81289999999999996</v>
      </c>
      <c r="F5875">
        <v>1.2302</v>
      </c>
      <c r="G5875">
        <v>695.32</v>
      </c>
      <c r="H5875">
        <v>1.2351000000000001</v>
      </c>
    </row>
    <row r="5876" spans="2:8" x14ac:dyDescent="0.25">
      <c r="B5876">
        <v>1.2402</v>
      </c>
      <c r="C5876">
        <v>210</v>
      </c>
      <c r="D5876">
        <v>305</v>
      </c>
      <c r="E5876">
        <v>0.80398999999999998</v>
      </c>
      <c r="F5876">
        <v>1.2438</v>
      </c>
      <c r="G5876">
        <v>698.72</v>
      </c>
      <c r="H5876">
        <v>1.2402</v>
      </c>
    </row>
    <row r="5877" spans="2:8" x14ac:dyDescent="0.25">
      <c r="B5877">
        <v>1.2452000000000001</v>
      </c>
      <c r="C5877">
        <v>215</v>
      </c>
      <c r="D5877">
        <v>305</v>
      </c>
      <c r="E5877">
        <v>0.79535</v>
      </c>
      <c r="F5877">
        <v>1.2573000000000001</v>
      </c>
      <c r="G5877">
        <v>702.09</v>
      </c>
      <c r="H5877">
        <v>1.2452000000000001</v>
      </c>
    </row>
    <row r="5878" spans="2:8" x14ac:dyDescent="0.25">
      <c r="B5878">
        <v>1.2502</v>
      </c>
      <c r="C5878">
        <v>220</v>
      </c>
      <c r="D5878">
        <v>305</v>
      </c>
      <c r="E5878">
        <v>0.78696999999999995</v>
      </c>
      <c r="F5878">
        <v>1.2706999999999999</v>
      </c>
      <c r="G5878">
        <v>705.44</v>
      </c>
      <c r="H5878">
        <v>1.2502</v>
      </c>
    </row>
    <row r="5879" spans="2:8" x14ac:dyDescent="0.25">
      <c r="B5879">
        <v>1.2549999999999999</v>
      </c>
      <c r="C5879">
        <v>225</v>
      </c>
      <c r="D5879">
        <v>305</v>
      </c>
      <c r="E5879">
        <v>0.77883000000000002</v>
      </c>
      <c r="F5879">
        <v>1.284</v>
      </c>
      <c r="G5879">
        <v>708.76</v>
      </c>
      <c r="H5879">
        <v>1.2549999999999999</v>
      </c>
    </row>
    <row r="5880" spans="2:8" x14ac:dyDescent="0.25">
      <c r="B5880">
        <v>1.2598</v>
      </c>
      <c r="C5880">
        <v>230</v>
      </c>
      <c r="D5880">
        <v>305</v>
      </c>
      <c r="E5880">
        <v>0.77092000000000005</v>
      </c>
      <c r="F5880">
        <v>1.2970999999999999</v>
      </c>
      <c r="G5880">
        <v>712.06</v>
      </c>
      <c r="H5880">
        <v>1.2598</v>
      </c>
    </row>
    <row r="5881" spans="2:8" x14ac:dyDescent="0.25">
      <c r="B5881">
        <v>1.2645999999999999</v>
      </c>
      <c r="C5881">
        <v>235</v>
      </c>
      <c r="D5881">
        <v>305</v>
      </c>
      <c r="E5881">
        <v>0.76322999999999996</v>
      </c>
      <c r="F5881">
        <v>1.3102</v>
      </c>
      <c r="G5881">
        <v>715.34</v>
      </c>
      <c r="H5881">
        <v>1.2645999999999999</v>
      </c>
    </row>
    <row r="5882" spans="2:8" x14ac:dyDescent="0.25">
      <c r="B5882">
        <v>1.2693000000000001</v>
      </c>
      <c r="C5882">
        <v>240</v>
      </c>
      <c r="D5882">
        <v>305</v>
      </c>
      <c r="E5882">
        <v>0.75575000000000003</v>
      </c>
      <c r="F5882">
        <v>1.3231999999999999</v>
      </c>
      <c r="G5882">
        <v>718.61</v>
      </c>
      <c r="H5882">
        <v>1.2693000000000001</v>
      </c>
    </row>
    <row r="5883" spans="2:8" x14ac:dyDescent="0.25">
      <c r="B5883">
        <v>1.2739</v>
      </c>
      <c r="C5883">
        <v>245</v>
      </c>
      <c r="D5883">
        <v>305</v>
      </c>
      <c r="E5883">
        <v>0.74846000000000001</v>
      </c>
      <c r="F5883">
        <v>1.3361000000000001</v>
      </c>
      <c r="G5883">
        <v>721.85</v>
      </c>
      <c r="H5883">
        <v>1.2739</v>
      </c>
    </row>
    <row r="5884" spans="2:8" x14ac:dyDescent="0.25">
      <c r="B5884">
        <v>1.2785</v>
      </c>
      <c r="C5884">
        <v>250</v>
      </c>
      <c r="D5884">
        <v>305</v>
      </c>
      <c r="E5884">
        <v>0.74134999999999995</v>
      </c>
      <c r="F5884">
        <v>1.3489</v>
      </c>
      <c r="G5884">
        <v>725.09</v>
      </c>
      <c r="H5884">
        <v>1.2785</v>
      </c>
    </row>
    <row r="5885" spans="2:8" x14ac:dyDescent="0.25">
      <c r="B5885">
        <v>1.2829999999999999</v>
      </c>
      <c r="C5885">
        <v>255</v>
      </c>
      <c r="D5885">
        <v>305</v>
      </c>
      <c r="E5885">
        <v>0.73441999999999996</v>
      </c>
      <c r="F5885">
        <v>1.3615999999999999</v>
      </c>
      <c r="G5885">
        <v>728.3</v>
      </c>
      <c r="H5885">
        <v>1.2829999999999999</v>
      </c>
    </row>
    <row r="5886" spans="2:8" x14ac:dyDescent="0.25">
      <c r="B5886">
        <v>1.2875000000000001</v>
      </c>
      <c r="C5886">
        <v>260</v>
      </c>
      <c r="D5886">
        <v>305</v>
      </c>
      <c r="E5886">
        <v>0.72765999999999997</v>
      </c>
      <c r="F5886">
        <v>1.3743000000000001</v>
      </c>
      <c r="G5886">
        <v>731.51</v>
      </c>
      <c r="H5886">
        <v>1.2875000000000001</v>
      </c>
    </row>
    <row r="5887" spans="2:8" x14ac:dyDescent="0.25">
      <c r="B5887">
        <v>1.2919</v>
      </c>
      <c r="C5887">
        <v>265</v>
      </c>
      <c r="D5887">
        <v>305</v>
      </c>
      <c r="E5887">
        <v>0.72106999999999999</v>
      </c>
      <c r="F5887">
        <v>1.3868</v>
      </c>
      <c r="G5887">
        <v>734.7</v>
      </c>
      <c r="H5887">
        <v>1.2919</v>
      </c>
    </row>
    <row r="5888" spans="2:8" x14ac:dyDescent="0.25">
      <c r="B5888">
        <v>1.2963</v>
      </c>
      <c r="C5888">
        <v>270</v>
      </c>
      <c r="D5888">
        <v>305</v>
      </c>
      <c r="E5888">
        <v>0.71462000000000003</v>
      </c>
      <c r="F5888">
        <v>1.3993</v>
      </c>
      <c r="G5888">
        <v>737.89</v>
      </c>
      <c r="H5888">
        <v>1.2963</v>
      </c>
    </row>
    <row r="5889" spans="2:8" x14ac:dyDescent="0.25">
      <c r="B5889">
        <v>1.3006</v>
      </c>
      <c r="C5889">
        <v>275</v>
      </c>
      <c r="D5889">
        <v>305</v>
      </c>
      <c r="E5889">
        <v>0.70831999999999995</v>
      </c>
      <c r="F5889">
        <v>1.4117999999999999</v>
      </c>
      <c r="G5889">
        <v>741.06</v>
      </c>
      <c r="H5889">
        <v>1.3006</v>
      </c>
    </row>
    <row r="5890" spans="2:8" x14ac:dyDescent="0.25">
      <c r="B5890">
        <v>1.3048999999999999</v>
      </c>
      <c r="C5890">
        <v>280</v>
      </c>
      <c r="D5890">
        <v>305</v>
      </c>
      <c r="E5890">
        <v>0.70216999999999996</v>
      </c>
      <c r="F5890">
        <v>1.4241999999999999</v>
      </c>
      <c r="G5890">
        <v>744.23</v>
      </c>
      <c r="H5890">
        <v>1.3048999999999999</v>
      </c>
    </row>
    <row r="5891" spans="2:8" x14ac:dyDescent="0.25">
      <c r="B5891">
        <v>1.3090999999999999</v>
      </c>
      <c r="C5891">
        <v>285</v>
      </c>
      <c r="D5891">
        <v>305</v>
      </c>
      <c r="E5891">
        <v>0.69615000000000005</v>
      </c>
      <c r="F5891">
        <v>1.4365000000000001</v>
      </c>
      <c r="G5891">
        <v>747.39</v>
      </c>
      <c r="H5891">
        <v>1.3090999999999999</v>
      </c>
    </row>
    <row r="5892" spans="2:8" x14ac:dyDescent="0.25">
      <c r="B5892">
        <v>1.3133999999999999</v>
      </c>
      <c r="C5892">
        <v>290</v>
      </c>
      <c r="D5892">
        <v>305</v>
      </c>
      <c r="E5892">
        <v>0.69025000000000003</v>
      </c>
      <c r="F5892">
        <v>1.4487000000000001</v>
      </c>
      <c r="G5892">
        <v>750.54</v>
      </c>
      <c r="H5892">
        <v>1.3133999999999999</v>
      </c>
    </row>
    <row r="5893" spans="2:8" x14ac:dyDescent="0.25">
      <c r="B5893">
        <v>1.3174999999999999</v>
      </c>
      <c r="C5893">
        <v>295</v>
      </c>
      <c r="D5893">
        <v>305</v>
      </c>
      <c r="E5893">
        <v>0.68449000000000004</v>
      </c>
      <c r="F5893">
        <v>1.4610000000000001</v>
      </c>
      <c r="G5893">
        <v>753.68</v>
      </c>
      <c r="H5893">
        <v>1.3174999999999999</v>
      </c>
    </row>
    <row r="5894" spans="2:8" x14ac:dyDescent="0.25">
      <c r="B5894">
        <v>1.3217000000000001</v>
      </c>
      <c r="C5894">
        <v>300</v>
      </c>
      <c r="D5894">
        <v>305</v>
      </c>
      <c r="E5894">
        <v>0.67884</v>
      </c>
      <c r="F5894">
        <v>1.4731000000000001</v>
      </c>
      <c r="G5894">
        <v>756.82</v>
      </c>
      <c r="H5894">
        <v>1.3217000000000001</v>
      </c>
    </row>
    <row r="5895" spans="2:8" x14ac:dyDescent="0.25">
      <c r="B5895">
        <v>1.3258000000000001</v>
      </c>
      <c r="C5895">
        <v>305</v>
      </c>
      <c r="D5895">
        <v>305</v>
      </c>
      <c r="E5895">
        <v>0.67330000000000001</v>
      </c>
      <c r="F5895">
        <v>1.4852000000000001</v>
      </c>
      <c r="G5895">
        <v>759.95</v>
      </c>
      <c r="H5895">
        <v>1.3258000000000001</v>
      </c>
    </row>
    <row r="5896" spans="2:8" x14ac:dyDescent="0.25">
      <c r="B5896">
        <v>1.3299000000000001</v>
      </c>
      <c r="C5896">
        <v>310</v>
      </c>
      <c r="D5896">
        <v>305</v>
      </c>
      <c r="E5896">
        <v>0.66788000000000003</v>
      </c>
      <c r="F5896">
        <v>1.4973000000000001</v>
      </c>
      <c r="G5896">
        <v>763.08</v>
      </c>
      <c r="H5896">
        <v>1.3299000000000001</v>
      </c>
    </row>
    <row r="5897" spans="2:8" x14ac:dyDescent="0.25">
      <c r="B5897">
        <v>1.3339000000000001</v>
      </c>
      <c r="C5897">
        <v>315</v>
      </c>
      <c r="D5897">
        <v>305</v>
      </c>
      <c r="E5897">
        <v>0.66256000000000004</v>
      </c>
      <c r="F5897">
        <v>1.5093000000000001</v>
      </c>
      <c r="G5897">
        <v>766.21</v>
      </c>
      <c r="H5897">
        <v>1.3339000000000001</v>
      </c>
    </row>
    <row r="5898" spans="2:8" x14ac:dyDescent="0.25">
      <c r="B5898">
        <v>1.3379000000000001</v>
      </c>
      <c r="C5898">
        <v>320</v>
      </c>
      <c r="D5898">
        <v>305</v>
      </c>
      <c r="E5898">
        <v>0.65734999999999999</v>
      </c>
      <c r="F5898">
        <v>1.5213000000000001</v>
      </c>
      <c r="G5898">
        <v>769.33</v>
      </c>
      <c r="H5898">
        <v>1.3379000000000001</v>
      </c>
    </row>
    <row r="5899" spans="2:8" x14ac:dyDescent="0.25">
      <c r="B5899">
        <v>1.3419000000000001</v>
      </c>
      <c r="C5899">
        <v>325</v>
      </c>
      <c r="D5899">
        <v>305</v>
      </c>
      <c r="E5899">
        <v>0.65224000000000004</v>
      </c>
      <c r="F5899">
        <v>1.5331999999999999</v>
      </c>
      <c r="G5899">
        <v>772.44</v>
      </c>
      <c r="H5899">
        <v>1.3419000000000001</v>
      </c>
    </row>
    <row r="5900" spans="2:8" x14ac:dyDescent="0.25">
      <c r="B5900">
        <v>1.3459000000000001</v>
      </c>
      <c r="C5900">
        <v>330</v>
      </c>
      <c r="D5900">
        <v>305</v>
      </c>
      <c r="E5900">
        <v>0.64722000000000002</v>
      </c>
      <c r="F5900">
        <v>1.5450999999999999</v>
      </c>
      <c r="G5900">
        <v>775.56</v>
      </c>
      <c r="H5900">
        <v>1.3459000000000001</v>
      </c>
    </row>
    <row r="5901" spans="2:8" x14ac:dyDescent="0.25">
      <c r="B5901">
        <v>1.3498000000000001</v>
      </c>
      <c r="C5901">
        <v>335</v>
      </c>
      <c r="D5901">
        <v>305</v>
      </c>
      <c r="E5901">
        <v>0.64229999999999998</v>
      </c>
      <c r="F5901">
        <v>1.5569</v>
      </c>
      <c r="G5901">
        <v>778.67</v>
      </c>
      <c r="H5901">
        <v>1.3498000000000001</v>
      </c>
    </row>
    <row r="5902" spans="2:8" x14ac:dyDescent="0.25">
      <c r="B5902">
        <v>1.3536999999999999</v>
      </c>
      <c r="C5902">
        <v>340</v>
      </c>
      <c r="D5902">
        <v>305</v>
      </c>
      <c r="E5902">
        <v>0.63746000000000003</v>
      </c>
      <c r="F5902">
        <v>1.5687</v>
      </c>
      <c r="G5902">
        <v>781.78</v>
      </c>
      <c r="H5902">
        <v>1.3536999999999999</v>
      </c>
    </row>
    <row r="5903" spans="2:8" x14ac:dyDescent="0.25">
      <c r="B5903">
        <v>1.3575999999999999</v>
      </c>
      <c r="C5903">
        <v>345</v>
      </c>
      <c r="D5903">
        <v>305</v>
      </c>
      <c r="E5903">
        <v>0.63270999999999999</v>
      </c>
      <c r="F5903">
        <v>1.5805</v>
      </c>
      <c r="G5903">
        <v>784.89</v>
      </c>
      <c r="H5903">
        <v>1.3575999999999999</v>
      </c>
    </row>
    <row r="5904" spans="2:8" x14ac:dyDescent="0.25">
      <c r="B5904">
        <v>1.3613999999999999</v>
      </c>
      <c r="C5904">
        <v>350</v>
      </c>
      <c r="D5904">
        <v>305</v>
      </c>
      <c r="E5904">
        <v>0.62805</v>
      </c>
      <c r="F5904">
        <v>1.5922000000000001</v>
      </c>
      <c r="G5904">
        <v>788</v>
      </c>
      <c r="H5904">
        <v>1.3613999999999999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selection activeCell="M26" sqref="M26"/>
    </sheetView>
  </sheetViews>
  <sheetFormatPr defaultRowHeight="15" x14ac:dyDescent="0.25"/>
  <cols>
    <col min="1" max="9" width="9.140625" customWidth="1"/>
    <col min="257" max="265" width="9.140625" customWidth="1"/>
    <col min="513" max="521" width="9.140625" customWidth="1"/>
    <col min="769" max="777" width="9.140625" customWidth="1"/>
    <col min="1025" max="1033" width="9.140625" customWidth="1"/>
    <col min="1281" max="1289" width="9.140625" customWidth="1"/>
    <col min="1537" max="1545" width="9.140625" customWidth="1"/>
    <col min="1793" max="1801" width="9.140625" customWidth="1"/>
    <col min="2049" max="2057" width="9.140625" customWidth="1"/>
    <col min="2305" max="2313" width="9.140625" customWidth="1"/>
    <col min="2561" max="2569" width="9.140625" customWidth="1"/>
    <col min="2817" max="2825" width="9.140625" customWidth="1"/>
    <col min="3073" max="3081" width="9.140625" customWidth="1"/>
    <col min="3329" max="3337" width="9.140625" customWidth="1"/>
    <col min="3585" max="3593" width="9.140625" customWidth="1"/>
    <col min="3841" max="3849" width="9.140625" customWidth="1"/>
    <col min="4097" max="4105" width="9.140625" customWidth="1"/>
    <col min="4353" max="4361" width="9.140625" customWidth="1"/>
    <col min="4609" max="4617" width="9.140625" customWidth="1"/>
    <col min="4865" max="4873" width="9.140625" customWidth="1"/>
    <col min="5121" max="5129" width="9.140625" customWidth="1"/>
    <col min="5377" max="5385" width="9.140625" customWidth="1"/>
    <col min="5633" max="5641" width="9.140625" customWidth="1"/>
    <col min="5889" max="5897" width="9.140625" customWidth="1"/>
    <col min="6145" max="6153" width="9.140625" customWidth="1"/>
    <col min="6401" max="6409" width="9.140625" customWidth="1"/>
    <col min="6657" max="6665" width="9.140625" customWidth="1"/>
    <col min="6913" max="6921" width="9.140625" customWidth="1"/>
    <col min="7169" max="7177" width="9.140625" customWidth="1"/>
    <col min="7425" max="7433" width="9.140625" customWidth="1"/>
    <col min="7681" max="7689" width="9.140625" customWidth="1"/>
    <col min="7937" max="7945" width="9.140625" customWidth="1"/>
    <col min="8193" max="8201" width="9.140625" customWidth="1"/>
    <col min="8449" max="8457" width="9.140625" customWidth="1"/>
    <col min="8705" max="8713" width="9.140625" customWidth="1"/>
    <col min="8961" max="8969" width="9.140625" customWidth="1"/>
    <col min="9217" max="9225" width="9.140625" customWidth="1"/>
    <col min="9473" max="9481" width="9.140625" customWidth="1"/>
    <col min="9729" max="9737" width="9.140625" customWidth="1"/>
    <col min="9985" max="9993" width="9.140625" customWidth="1"/>
    <col min="10241" max="10249" width="9.140625" customWidth="1"/>
    <col min="10497" max="10505" width="9.140625" customWidth="1"/>
    <col min="10753" max="10761" width="9.140625" customWidth="1"/>
    <col min="11009" max="11017" width="9.140625" customWidth="1"/>
    <col min="11265" max="11273" width="9.140625" customWidth="1"/>
    <col min="11521" max="11529" width="9.140625" customWidth="1"/>
    <col min="11777" max="11785" width="9.140625" customWidth="1"/>
    <col min="12033" max="12041" width="9.140625" customWidth="1"/>
    <col min="12289" max="12297" width="9.140625" customWidth="1"/>
    <col min="12545" max="12553" width="9.140625" customWidth="1"/>
    <col min="12801" max="12809" width="9.140625" customWidth="1"/>
    <col min="13057" max="13065" width="9.140625" customWidth="1"/>
    <col min="13313" max="13321" width="9.140625" customWidth="1"/>
    <col min="13569" max="13577" width="9.140625" customWidth="1"/>
    <col min="13825" max="13833" width="9.140625" customWidth="1"/>
    <col min="14081" max="14089" width="9.140625" customWidth="1"/>
    <col min="14337" max="14345" width="9.140625" customWidth="1"/>
    <col min="14593" max="14601" width="9.140625" customWidth="1"/>
    <col min="14849" max="14857" width="9.140625" customWidth="1"/>
    <col min="15105" max="15113" width="9.140625" customWidth="1"/>
    <col min="15361" max="15369" width="9.140625" customWidth="1"/>
    <col min="15617" max="15625" width="9.140625" customWidth="1"/>
    <col min="15873" max="15881" width="9.140625" customWidth="1"/>
    <col min="16129" max="16137" width="9.140625" customWidth="1"/>
  </cols>
  <sheetData>
    <row r="1" spans="1:9" x14ac:dyDescent="0.25">
      <c r="A1">
        <v>7.6</v>
      </c>
      <c r="C1" t="s">
        <v>0</v>
      </c>
      <c r="D1" t="s">
        <v>1</v>
      </c>
      <c r="F1">
        <v>7.6</v>
      </c>
      <c r="H1" t="s">
        <v>2</v>
      </c>
      <c r="I1" t="s">
        <v>1</v>
      </c>
    </row>
    <row r="2" spans="1:9" x14ac:dyDescent="0.25">
      <c r="A2">
        <v>8.9</v>
      </c>
      <c r="C2" t="s">
        <v>3</v>
      </c>
      <c r="D2" t="s">
        <v>4</v>
      </c>
      <c r="F2">
        <v>8.9</v>
      </c>
      <c r="H2" t="s">
        <v>5</v>
      </c>
      <c r="I2" t="s">
        <v>4</v>
      </c>
    </row>
    <row r="3" spans="1:9" x14ac:dyDescent="0.25">
      <c r="A3">
        <v>10.4</v>
      </c>
      <c r="C3" t="s">
        <v>6</v>
      </c>
      <c r="D3" t="s">
        <v>7</v>
      </c>
      <c r="F3">
        <v>10.4</v>
      </c>
      <c r="H3" t="s">
        <v>8</v>
      </c>
      <c r="I3" t="s">
        <v>7</v>
      </c>
    </row>
    <row r="4" spans="1:9" x14ac:dyDescent="0.25">
      <c r="A4">
        <v>12</v>
      </c>
      <c r="C4" t="s">
        <v>9</v>
      </c>
      <c r="D4" t="s">
        <v>10</v>
      </c>
      <c r="F4">
        <v>12</v>
      </c>
      <c r="H4" t="s">
        <v>11</v>
      </c>
      <c r="I4" t="s">
        <v>10</v>
      </c>
    </row>
    <row r="5" spans="1:9" x14ac:dyDescent="0.25">
      <c r="A5">
        <v>13.9</v>
      </c>
      <c r="C5" t="s">
        <v>12</v>
      </c>
      <c r="D5" t="s">
        <v>13</v>
      </c>
      <c r="F5">
        <v>13.9</v>
      </c>
      <c r="H5" t="s">
        <v>14</v>
      </c>
      <c r="I5" t="s">
        <v>13</v>
      </c>
    </row>
    <row r="6" spans="1:9" x14ac:dyDescent="0.25">
      <c r="A6">
        <v>14.7</v>
      </c>
      <c r="C6" t="s">
        <v>15</v>
      </c>
      <c r="D6" t="s">
        <v>16</v>
      </c>
      <c r="F6">
        <v>14.7</v>
      </c>
      <c r="H6" t="s">
        <v>17</v>
      </c>
      <c r="I6" t="s">
        <v>16</v>
      </c>
    </row>
    <row r="7" spans="1:9" x14ac:dyDescent="0.25">
      <c r="A7">
        <v>15.5</v>
      </c>
      <c r="C7" t="s">
        <v>18</v>
      </c>
      <c r="D7" t="s">
        <v>19</v>
      </c>
      <c r="F7">
        <v>15.5</v>
      </c>
      <c r="H7" t="s">
        <v>20</v>
      </c>
      <c r="I7" t="s">
        <v>19</v>
      </c>
    </row>
    <row r="8" spans="1:9" x14ac:dyDescent="0.25">
      <c r="A8">
        <v>16.399999999999999</v>
      </c>
      <c r="C8" t="s">
        <v>21</v>
      </c>
      <c r="D8" t="s">
        <v>22</v>
      </c>
      <c r="F8">
        <v>16.399999999999999</v>
      </c>
      <c r="H8" t="s">
        <v>23</v>
      </c>
      <c r="I8" t="s">
        <v>22</v>
      </c>
    </row>
    <row r="9" spans="1:9" x14ac:dyDescent="0.25">
      <c r="A9">
        <v>17.3</v>
      </c>
      <c r="C9" t="s">
        <v>24</v>
      </c>
      <c r="D9" t="s">
        <v>25</v>
      </c>
      <c r="F9">
        <v>17.3</v>
      </c>
      <c r="H9" t="s">
        <v>26</v>
      </c>
      <c r="I9" t="s">
        <v>25</v>
      </c>
    </row>
    <row r="10" spans="1:9" x14ac:dyDescent="0.25">
      <c r="A10">
        <v>18.2</v>
      </c>
      <c r="C10" t="s">
        <v>27</v>
      </c>
      <c r="D10" t="s">
        <v>28</v>
      </c>
      <c r="F10">
        <v>18.2</v>
      </c>
      <c r="H10" t="s">
        <v>29</v>
      </c>
      <c r="I10" t="s">
        <v>28</v>
      </c>
    </row>
    <row r="11" spans="1:9" x14ac:dyDescent="0.25">
      <c r="A11">
        <v>19.2</v>
      </c>
      <c r="C11" t="s">
        <v>30</v>
      </c>
      <c r="D11" t="s">
        <v>31</v>
      </c>
      <c r="F11">
        <v>19.2</v>
      </c>
      <c r="H11" t="s">
        <v>32</v>
      </c>
      <c r="I11" t="s">
        <v>31</v>
      </c>
    </row>
    <row r="12" spans="1:9" x14ac:dyDescent="0.25">
      <c r="A12">
        <v>20.3</v>
      </c>
      <c r="C12" t="s">
        <v>33</v>
      </c>
      <c r="D12" t="s">
        <v>34</v>
      </c>
      <c r="F12">
        <v>20.3</v>
      </c>
      <c r="H12" t="s">
        <v>35</v>
      </c>
      <c r="I12" t="s">
        <v>34</v>
      </c>
    </row>
    <row r="13" spans="1:9" x14ac:dyDescent="0.25">
      <c r="A13">
        <v>21.4</v>
      </c>
      <c r="C13" t="s">
        <v>36</v>
      </c>
      <c r="D13" t="s">
        <v>37</v>
      </c>
      <c r="F13">
        <v>21.4</v>
      </c>
      <c r="H13" t="s">
        <v>38</v>
      </c>
      <c r="I13" t="s">
        <v>37</v>
      </c>
    </row>
    <row r="14" spans="1:9" x14ac:dyDescent="0.25">
      <c r="A14">
        <v>22.5</v>
      </c>
      <c r="C14" t="s">
        <v>39</v>
      </c>
      <c r="D14" t="s">
        <v>40</v>
      </c>
      <c r="F14">
        <v>22.5</v>
      </c>
      <c r="H14" t="s">
        <v>41</v>
      </c>
      <c r="I14" t="s">
        <v>40</v>
      </c>
    </row>
    <row r="15" spans="1:9" x14ac:dyDescent="0.25">
      <c r="A15">
        <v>23.7</v>
      </c>
      <c r="C15" t="s">
        <v>42</v>
      </c>
      <c r="D15" t="s">
        <v>43</v>
      </c>
      <c r="F15">
        <v>23.7</v>
      </c>
      <c r="H15" t="s">
        <v>44</v>
      </c>
      <c r="I15" t="s">
        <v>43</v>
      </c>
    </row>
    <row r="16" spans="1:9" x14ac:dyDescent="0.25">
      <c r="A16">
        <v>24.9</v>
      </c>
      <c r="C16" t="s">
        <v>45</v>
      </c>
      <c r="D16" t="s">
        <v>46</v>
      </c>
      <c r="F16">
        <v>24.9</v>
      </c>
      <c r="H16" t="s">
        <v>47</v>
      </c>
      <c r="I16" t="s">
        <v>46</v>
      </c>
    </row>
    <row r="17" spans="1:9" x14ac:dyDescent="0.25">
      <c r="A17">
        <v>26.2</v>
      </c>
      <c r="C17" t="s">
        <v>48</v>
      </c>
      <c r="D17" t="s">
        <v>49</v>
      </c>
      <c r="F17">
        <v>26.2</v>
      </c>
      <c r="H17" t="s">
        <v>50</v>
      </c>
      <c r="I17" t="s">
        <v>49</v>
      </c>
    </row>
    <row r="18" spans="1:9" x14ac:dyDescent="0.25">
      <c r="A18">
        <v>27.5</v>
      </c>
      <c r="C18" t="s">
        <v>51</v>
      </c>
      <c r="D18" t="s">
        <v>52</v>
      </c>
      <c r="F18">
        <v>27.5</v>
      </c>
      <c r="H18" t="s">
        <v>53</v>
      </c>
      <c r="I18" t="s">
        <v>52</v>
      </c>
    </row>
    <row r="19" spans="1:9" x14ac:dyDescent="0.25">
      <c r="A19">
        <v>28.9</v>
      </c>
      <c r="C19" t="s">
        <v>54</v>
      </c>
      <c r="D19" t="s">
        <v>55</v>
      </c>
      <c r="F19">
        <v>28.9</v>
      </c>
      <c r="H19" t="s">
        <v>56</v>
      </c>
      <c r="I19" t="s">
        <v>55</v>
      </c>
    </row>
    <row r="20" spans="1:9" x14ac:dyDescent="0.25">
      <c r="A20">
        <v>30.3</v>
      </c>
      <c r="C20" t="s">
        <v>57</v>
      </c>
      <c r="D20" t="s">
        <v>58</v>
      </c>
      <c r="F20">
        <v>30.3</v>
      </c>
      <c r="H20" t="s">
        <v>59</v>
      </c>
      <c r="I20" t="s">
        <v>58</v>
      </c>
    </row>
    <row r="21" spans="1:9" x14ac:dyDescent="0.25">
      <c r="A21">
        <v>31.8</v>
      </c>
      <c r="C21" t="s">
        <v>60</v>
      </c>
      <c r="D21" t="s">
        <v>61</v>
      </c>
      <c r="F21">
        <v>31.8</v>
      </c>
      <c r="H21" t="s">
        <v>62</v>
      </c>
      <c r="I21" t="s">
        <v>61</v>
      </c>
    </row>
    <row r="22" spans="1:9" x14ac:dyDescent="0.25">
      <c r="A22">
        <v>33.4</v>
      </c>
      <c r="C22" t="s">
        <v>63</v>
      </c>
      <c r="D22" t="s">
        <v>64</v>
      </c>
      <c r="F22">
        <v>33.4</v>
      </c>
      <c r="H22" t="s">
        <v>65</v>
      </c>
      <c r="I22" t="s">
        <v>64</v>
      </c>
    </row>
    <row r="23" spans="1:9" x14ac:dyDescent="0.25">
      <c r="A23">
        <v>35</v>
      </c>
      <c r="C23" t="s">
        <v>66</v>
      </c>
      <c r="D23" t="s">
        <v>67</v>
      </c>
      <c r="F23">
        <v>35</v>
      </c>
      <c r="H23" t="s">
        <v>68</v>
      </c>
      <c r="I23" t="s">
        <v>67</v>
      </c>
    </row>
    <row r="24" spans="1:9" x14ac:dyDescent="0.25">
      <c r="A24">
        <v>36.700000000000003</v>
      </c>
      <c r="C24" t="s">
        <v>69</v>
      </c>
      <c r="D24" t="s">
        <v>70</v>
      </c>
      <c r="F24">
        <v>36.700000000000003</v>
      </c>
      <c r="H24" t="s">
        <v>71</v>
      </c>
      <c r="I24" t="s">
        <v>70</v>
      </c>
    </row>
    <row r="25" spans="1:9" x14ac:dyDescent="0.25">
      <c r="A25">
        <v>38.4</v>
      </c>
      <c r="C25" t="s">
        <v>72</v>
      </c>
      <c r="D25" t="s">
        <v>73</v>
      </c>
      <c r="F25">
        <v>38.4</v>
      </c>
      <c r="H25" t="s">
        <v>74</v>
      </c>
      <c r="I25" t="s">
        <v>73</v>
      </c>
    </row>
    <row r="26" spans="1:9" x14ac:dyDescent="0.25">
      <c r="A26">
        <v>40.200000000000003</v>
      </c>
      <c r="C26" t="s">
        <v>75</v>
      </c>
      <c r="D26" t="s">
        <v>76</v>
      </c>
      <c r="F26">
        <v>40.200000000000003</v>
      </c>
      <c r="H26" t="s">
        <v>77</v>
      </c>
      <c r="I26" t="s">
        <v>76</v>
      </c>
    </row>
    <row r="27" spans="1:9" x14ac:dyDescent="0.25">
      <c r="A27">
        <v>42.1</v>
      </c>
      <c r="C27" t="s">
        <v>78</v>
      </c>
      <c r="D27" t="s">
        <v>79</v>
      </c>
      <c r="F27">
        <v>42.1</v>
      </c>
      <c r="H27" t="s">
        <v>80</v>
      </c>
      <c r="I27" t="s">
        <v>79</v>
      </c>
    </row>
    <row r="28" spans="1:9" x14ac:dyDescent="0.25">
      <c r="A28">
        <v>44</v>
      </c>
      <c r="C28" t="s">
        <v>81</v>
      </c>
      <c r="D28" t="s">
        <v>82</v>
      </c>
      <c r="F28">
        <v>44</v>
      </c>
      <c r="H28" t="s">
        <v>83</v>
      </c>
      <c r="I28" t="s">
        <v>82</v>
      </c>
    </row>
    <row r="29" spans="1:9" x14ac:dyDescent="0.25">
      <c r="A29">
        <v>46</v>
      </c>
      <c r="C29" t="s">
        <v>84</v>
      </c>
      <c r="D29" t="s">
        <v>85</v>
      </c>
      <c r="F29">
        <v>46</v>
      </c>
      <c r="H29" t="s">
        <v>86</v>
      </c>
      <c r="I29" t="s">
        <v>85</v>
      </c>
    </row>
    <row r="30" spans="1:9" x14ac:dyDescent="0.25">
      <c r="A30">
        <v>48.1</v>
      </c>
      <c r="C30" t="s">
        <v>87</v>
      </c>
      <c r="D30" t="s">
        <v>88</v>
      </c>
      <c r="F30">
        <v>48.1</v>
      </c>
      <c r="H30" t="s">
        <v>89</v>
      </c>
      <c r="I30" t="s">
        <v>88</v>
      </c>
    </row>
    <row r="31" spans="1:9" x14ac:dyDescent="0.25">
      <c r="A31">
        <v>50.2</v>
      </c>
      <c r="C31" t="s">
        <v>90</v>
      </c>
      <c r="D31" t="s">
        <v>91</v>
      </c>
      <c r="F31">
        <v>50.2</v>
      </c>
      <c r="H31" t="s">
        <v>92</v>
      </c>
      <c r="I31" t="s">
        <v>91</v>
      </c>
    </row>
    <row r="32" spans="1:9" x14ac:dyDescent="0.25">
      <c r="A32">
        <v>52.4</v>
      </c>
      <c r="C32" t="s">
        <v>93</v>
      </c>
      <c r="D32" t="s">
        <v>94</v>
      </c>
      <c r="F32">
        <v>52.4</v>
      </c>
      <c r="H32" t="s">
        <v>95</v>
      </c>
      <c r="I32" t="s">
        <v>94</v>
      </c>
    </row>
    <row r="33" spans="1:9" x14ac:dyDescent="0.25">
      <c r="A33">
        <v>54.7</v>
      </c>
      <c r="C33" t="s">
        <v>96</v>
      </c>
      <c r="D33" t="s">
        <v>97</v>
      </c>
      <c r="F33">
        <v>54.7</v>
      </c>
      <c r="H33" t="s">
        <v>98</v>
      </c>
      <c r="I33" t="s">
        <v>97</v>
      </c>
    </row>
    <row r="34" spans="1:9" x14ac:dyDescent="0.25">
      <c r="A34">
        <v>57.1</v>
      </c>
      <c r="C34" t="s">
        <v>99</v>
      </c>
      <c r="D34" t="s">
        <v>100</v>
      </c>
      <c r="F34">
        <v>57.1</v>
      </c>
      <c r="H34" t="s">
        <v>101</v>
      </c>
      <c r="I34" t="s">
        <v>100</v>
      </c>
    </row>
    <row r="35" spans="1:9" x14ac:dyDescent="0.25">
      <c r="A35">
        <v>59.6</v>
      </c>
      <c r="C35" t="s">
        <v>102</v>
      </c>
      <c r="D35" t="s">
        <v>103</v>
      </c>
      <c r="F35">
        <v>59.6</v>
      </c>
      <c r="H35" t="s">
        <v>104</v>
      </c>
      <c r="I35" t="s">
        <v>103</v>
      </c>
    </row>
    <row r="36" spans="1:9" x14ac:dyDescent="0.25">
      <c r="A36">
        <v>62.1</v>
      </c>
      <c r="C36" t="s">
        <v>105</v>
      </c>
      <c r="D36" t="s">
        <v>106</v>
      </c>
      <c r="F36">
        <v>62.1</v>
      </c>
      <c r="H36" t="s">
        <v>107</v>
      </c>
      <c r="I36" t="s">
        <v>106</v>
      </c>
    </row>
    <row r="37" spans="1:9" x14ac:dyDescent="0.25">
      <c r="A37">
        <v>64.7</v>
      </c>
      <c r="C37" t="s">
        <v>108</v>
      </c>
      <c r="D37" t="s">
        <v>109</v>
      </c>
      <c r="F37">
        <v>64.7</v>
      </c>
      <c r="H37" t="s">
        <v>110</v>
      </c>
      <c r="I37" t="s">
        <v>109</v>
      </c>
    </row>
    <row r="38" spans="1:9" x14ac:dyDescent="0.25">
      <c r="A38">
        <v>67.400000000000006</v>
      </c>
      <c r="C38" t="s">
        <v>111</v>
      </c>
      <c r="D38" t="s">
        <v>112</v>
      </c>
      <c r="F38">
        <v>67.400000000000006</v>
      </c>
      <c r="H38" t="s">
        <v>113</v>
      </c>
      <c r="I38" t="s">
        <v>112</v>
      </c>
    </row>
    <row r="39" spans="1:9" x14ac:dyDescent="0.25">
      <c r="A39">
        <v>70.2</v>
      </c>
      <c r="C39" t="s">
        <v>114</v>
      </c>
      <c r="D39" t="s">
        <v>115</v>
      </c>
      <c r="F39">
        <v>70.2</v>
      </c>
      <c r="H39" t="s">
        <v>116</v>
      </c>
      <c r="I39" t="s">
        <v>115</v>
      </c>
    </row>
    <row r="40" spans="1:9" x14ac:dyDescent="0.25">
      <c r="A40">
        <v>73.099999999999994</v>
      </c>
      <c r="C40" t="s">
        <v>117</v>
      </c>
      <c r="D40" t="s">
        <v>118</v>
      </c>
      <c r="F40">
        <v>73.099999999999994</v>
      </c>
      <c r="H40" t="s">
        <v>119</v>
      </c>
      <c r="I40" t="s">
        <v>118</v>
      </c>
    </row>
    <row r="41" spans="1:9" x14ac:dyDescent="0.25">
      <c r="A41">
        <v>81.7</v>
      </c>
      <c r="C41" t="s">
        <v>120</v>
      </c>
      <c r="D41" t="s">
        <v>121</v>
      </c>
      <c r="F41">
        <v>81.7</v>
      </c>
      <c r="H41" t="s">
        <v>122</v>
      </c>
      <c r="I41" t="s">
        <v>121</v>
      </c>
    </row>
    <row r="42" spans="1:9" x14ac:dyDescent="0.25">
      <c r="A42">
        <v>89</v>
      </c>
      <c r="C42" t="s">
        <v>123</v>
      </c>
      <c r="D42" t="s">
        <v>124</v>
      </c>
      <c r="F42">
        <v>89</v>
      </c>
      <c r="H42" t="s">
        <v>125</v>
      </c>
      <c r="I42" t="s">
        <v>124</v>
      </c>
    </row>
    <row r="43" spans="1:9" x14ac:dyDescent="0.25">
      <c r="A43">
        <v>97.8</v>
      </c>
      <c r="C43" t="s">
        <v>126</v>
      </c>
      <c r="D43" t="s">
        <v>127</v>
      </c>
      <c r="F43">
        <v>97.8</v>
      </c>
      <c r="H43" t="s">
        <v>128</v>
      </c>
      <c r="I43" t="s">
        <v>127</v>
      </c>
    </row>
    <row r="44" spans="1:9" x14ac:dyDescent="0.25">
      <c r="A44">
        <v>107.3</v>
      </c>
      <c r="C44" t="s">
        <v>129</v>
      </c>
      <c r="D44" t="s">
        <v>130</v>
      </c>
      <c r="F44">
        <v>107.3</v>
      </c>
      <c r="H44" t="s">
        <v>131</v>
      </c>
      <c r="I44" t="s">
        <v>130</v>
      </c>
    </row>
    <row r="45" spans="1:9" x14ac:dyDescent="0.25">
      <c r="A45">
        <v>117.5</v>
      </c>
      <c r="C45" t="s">
        <v>132</v>
      </c>
      <c r="D45" t="s">
        <v>133</v>
      </c>
      <c r="F45">
        <v>117.5</v>
      </c>
      <c r="H45" t="s">
        <v>134</v>
      </c>
      <c r="I45" t="s">
        <v>133</v>
      </c>
    </row>
    <row r="46" spans="1:9" x14ac:dyDescent="0.25">
      <c r="A46">
        <v>128.5</v>
      </c>
      <c r="C46" t="s">
        <v>135</v>
      </c>
      <c r="D46" t="s">
        <v>136</v>
      </c>
      <c r="F46">
        <v>128.5</v>
      </c>
      <c r="H46" t="s">
        <v>137</v>
      </c>
      <c r="I46" t="s">
        <v>136</v>
      </c>
    </row>
    <row r="47" spans="1:9" x14ac:dyDescent="0.25">
      <c r="A47">
        <v>130</v>
      </c>
      <c r="C47" t="s">
        <v>138</v>
      </c>
      <c r="D47" t="s">
        <v>139</v>
      </c>
      <c r="F47">
        <v>130</v>
      </c>
      <c r="H47" t="s">
        <v>140</v>
      </c>
      <c r="I47" t="s">
        <v>139</v>
      </c>
    </row>
    <row r="48" spans="1:9" x14ac:dyDescent="0.25">
      <c r="A48">
        <v>135</v>
      </c>
      <c r="C48" t="s">
        <v>141</v>
      </c>
      <c r="D48" t="s">
        <v>142</v>
      </c>
      <c r="F48">
        <v>135</v>
      </c>
      <c r="H48" t="s">
        <v>143</v>
      </c>
      <c r="I48" t="s">
        <v>142</v>
      </c>
    </row>
    <row r="49" spans="1:9" x14ac:dyDescent="0.25">
      <c r="A49">
        <v>140</v>
      </c>
      <c r="C49" t="s">
        <v>144</v>
      </c>
      <c r="D49" t="s">
        <v>145</v>
      </c>
      <c r="F49">
        <v>140</v>
      </c>
      <c r="H49" t="s">
        <v>146</v>
      </c>
      <c r="I49" t="s">
        <v>145</v>
      </c>
    </row>
    <row r="50" spans="1:9" x14ac:dyDescent="0.25">
      <c r="A50">
        <v>145</v>
      </c>
      <c r="C50" t="s">
        <v>147</v>
      </c>
      <c r="D50" t="s">
        <v>148</v>
      </c>
      <c r="F50">
        <v>145</v>
      </c>
      <c r="H50" t="s">
        <v>149</v>
      </c>
      <c r="I50" t="s">
        <v>148</v>
      </c>
    </row>
    <row r="51" spans="1:9" x14ac:dyDescent="0.25">
      <c r="A51">
        <v>150</v>
      </c>
      <c r="C51" t="s">
        <v>150</v>
      </c>
      <c r="D51" t="s">
        <v>151</v>
      </c>
      <c r="F51">
        <v>150</v>
      </c>
      <c r="H51" t="s">
        <v>152</v>
      </c>
      <c r="I51" t="s">
        <v>151</v>
      </c>
    </row>
    <row r="52" spans="1:9" x14ac:dyDescent="0.25">
      <c r="A52">
        <v>155</v>
      </c>
      <c r="C52" t="s">
        <v>153</v>
      </c>
      <c r="D52" t="s">
        <v>154</v>
      </c>
      <c r="F52">
        <v>155</v>
      </c>
      <c r="H52" t="s">
        <v>155</v>
      </c>
      <c r="I52" t="s">
        <v>154</v>
      </c>
    </row>
    <row r="53" spans="1:9" x14ac:dyDescent="0.25">
      <c r="A53">
        <v>160</v>
      </c>
      <c r="C53" t="s">
        <v>156</v>
      </c>
      <c r="D53" t="s">
        <v>157</v>
      </c>
      <c r="F53">
        <v>160</v>
      </c>
      <c r="H53" t="s">
        <v>158</v>
      </c>
      <c r="I53" t="s">
        <v>157</v>
      </c>
    </row>
    <row r="54" spans="1:9" x14ac:dyDescent="0.25">
      <c r="A54">
        <v>165</v>
      </c>
      <c r="C54" t="s">
        <v>159</v>
      </c>
      <c r="D54" t="s">
        <v>160</v>
      </c>
      <c r="F54">
        <v>165</v>
      </c>
      <c r="H54" t="s">
        <v>161</v>
      </c>
      <c r="I54" t="s">
        <v>160</v>
      </c>
    </row>
    <row r="55" spans="1:9" x14ac:dyDescent="0.25">
      <c r="A55">
        <v>170</v>
      </c>
      <c r="C55" t="s">
        <v>162</v>
      </c>
      <c r="D55" t="s">
        <v>163</v>
      </c>
      <c r="F55">
        <v>170</v>
      </c>
      <c r="H55" t="s">
        <v>164</v>
      </c>
      <c r="I55" t="s">
        <v>163</v>
      </c>
    </row>
    <row r="56" spans="1:9" x14ac:dyDescent="0.25">
      <c r="A56">
        <v>175</v>
      </c>
      <c r="C56" t="s">
        <v>165</v>
      </c>
      <c r="D56" t="s">
        <v>166</v>
      </c>
      <c r="F56">
        <v>175</v>
      </c>
      <c r="H56" t="s">
        <v>167</v>
      </c>
      <c r="I56" t="s">
        <v>166</v>
      </c>
    </row>
    <row r="57" spans="1:9" x14ac:dyDescent="0.25">
      <c r="A57">
        <v>180</v>
      </c>
      <c r="C57" t="s">
        <v>168</v>
      </c>
      <c r="D57" t="s">
        <v>169</v>
      </c>
      <c r="F57">
        <v>180</v>
      </c>
      <c r="H57" t="s">
        <v>170</v>
      </c>
      <c r="I57" t="s">
        <v>169</v>
      </c>
    </row>
    <row r="58" spans="1:9" x14ac:dyDescent="0.25">
      <c r="A58">
        <v>185</v>
      </c>
      <c r="C58" t="s">
        <v>171</v>
      </c>
      <c r="D58" t="s">
        <v>172</v>
      </c>
      <c r="F58">
        <v>185</v>
      </c>
      <c r="H58" t="s">
        <v>173</v>
      </c>
      <c r="I58" t="s">
        <v>172</v>
      </c>
    </row>
    <row r="59" spans="1:9" x14ac:dyDescent="0.25">
      <c r="A59">
        <v>190</v>
      </c>
      <c r="C59" t="s">
        <v>174</v>
      </c>
      <c r="D59" t="s">
        <v>175</v>
      </c>
      <c r="F59">
        <v>190</v>
      </c>
      <c r="H59" t="s">
        <v>176</v>
      </c>
      <c r="I59" t="s">
        <v>175</v>
      </c>
    </row>
    <row r="60" spans="1:9" x14ac:dyDescent="0.25">
      <c r="A60">
        <v>195</v>
      </c>
      <c r="C60" t="s">
        <v>177</v>
      </c>
      <c r="D60" t="s">
        <v>178</v>
      </c>
      <c r="F60">
        <v>195</v>
      </c>
      <c r="H60" t="s">
        <v>179</v>
      </c>
      <c r="I60" t="s">
        <v>178</v>
      </c>
    </row>
    <row r="61" spans="1:9" x14ac:dyDescent="0.25">
      <c r="A61">
        <v>200</v>
      </c>
      <c r="C61" t="s">
        <v>180</v>
      </c>
      <c r="D61" t="s">
        <v>181</v>
      </c>
      <c r="F61">
        <v>200</v>
      </c>
      <c r="H61" t="s">
        <v>182</v>
      </c>
      <c r="I61" t="s">
        <v>181</v>
      </c>
    </row>
    <row r="62" spans="1:9" x14ac:dyDescent="0.25">
      <c r="A62">
        <v>205</v>
      </c>
      <c r="C62" t="s">
        <v>183</v>
      </c>
      <c r="D62" t="s">
        <v>184</v>
      </c>
      <c r="F62">
        <v>205</v>
      </c>
      <c r="H62" t="s">
        <v>185</v>
      </c>
      <c r="I62" t="s">
        <v>184</v>
      </c>
    </row>
    <row r="63" spans="1:9" x14ac:dyDescent="0.25">
      <c r="A63">
        <v>210</v>
      </c>
      <c r="C63" t="s">
        <v>186</v>
      </c>
      <c r="D63" t="s">
        <v>187</v>
      </c>
      <c r="F63">
        <v>210</v>
      </c>
      <c r="H63" t="s">
        <v>188</v>
      </c>
      <c r="I63" t="s">
        <v>187</v>
      </c>
    </row>
    <row r="64" spans="1:9" x14ac:dyDescent="0.25">
      <c r="A64">
        <v>215</v>
      </c>
      <c r="C64" t="s">
        <v>189</v>
      </c>
      <c r="D64" t="s">
        <v>190</v>
      </c>
      <c r="F64">
        <v>215</v>
      </c>
      <c r="H64" t="s">
        <v>191</v>
      </c>
      <c r="I64" t="s">
        <v>190</v>
      </c>
    </row>
    <row r="65" spans="1:9" x14ac:dyDescent="0.25">
      <c r="A65">
        <v>220</v>
      </c>
      <c r="C65" t="s">
        <v>192</v>
      </c>
      <c r="D65" t="s">
        <v>193</v>
      </c>
      <c r="F65">
        <v>220</v>
      </c>
      <c r="H65" t="s">
        <v>194</v>
      </c>
      <c r="I65" t="s">
        <v>193</v>
      </c>
    </row>
    <row r="66" spans="1:9" x14ac:dyDescent="0.25">
      <c r="A66">
        <v>225</v>
      </c>
      <c r="C66" t="s">
        <v>195</v>
      </c>
      <c r="D66" t="s">
        <v>196</v>
      </c>
      <c r="F66">
        <v>225</v>
      </c>
      <c r="H66" t="s">
        <v>197</v>
      </c>
      <c r="I66" t="s">
        <v>196</v>
      </c>
    </row>
    <row r="67" spans="1:9" x14ac:dyDescent="0.25">
      <c r="A67">
        <v>230</v>
      </c>
      <c r="C67" t="s">
        <v>198</v>
      </c>
      <c r="D67" t="s">
        <v>199</v>
      </c>
      <c r="F67">
        <v>230</v>
      </c>
      <c r="H67" t="s">
        <v>200</v>
      </c>
      <c r="I67" t="s">
        <v>199</v>
      </c>
    </row>
    <row r="68" spans="1:9" x14ac:dyDescent="0.25">
      <c r="A68">
        <v>235</v>
      </c>
      <c r="C68" t="s">
        <v>201</v>
      </c>
      <c r="D68" t="s">
        <v>202</v>
      </c>
      <c r="F68">
        <v>235</v>
      </c>
      <c r="H68" t="s">
        <v>203</v>
      </c>
      <c r="I68" t="s">
        <v>202</v>
      </c>
    </row>
    <row r="69" spans="1:9" x14ac:dyDescent="0.25">
      <c r="A69">
        <v>240</v>
      </c>
      <c r="C69" t="s">
        <v>204</v>
      </c>
      <c r="D69" t="s">
        <v>205</v>
      </c>
      <c r="F69">
        <v>240</v>
      </c>
      <c r="H69" t="s">
        <v>206</v>
      </c>
      <c r="I69" t="s">
        <v>205</v>
      </c>
    </row>
    <row r="70" spans="1:9" x14ac:dyDescent="0.25">
      <c r="A70">
        <v>245</v>
      </c>
      <c r="C70" t="s">
        <v>207</v>
      </c>
      <c r="D70" t="s">
        <v>208</v>
      </c>
      <c r="F70">
        <v>245</v>
      </c>
      <c r="H70" t="s">
        <v>209</v>
      </c>
      <c r="I70" t="s">
        <v>208</v>
      </c>
    </row>
    <row r="71" spans="1:9" x14ac:dyDescent="0.25">
      <c r="A71">
        <v>250</v>
      </c>
      <c r="C71" t="s">
        <v>210</v>
      </c>
      <c r="D71" t="s">
        <v>211</v>
      </c>
      <c r="F71">
        <v>250</v>
      </c>
      <c r="H71" t="s">
        <v>212</v>
      </c>
      <c r="I71" t="s">
        <v>211</v>
      </c>
    </row>
    <row r="72" spans="1:9" x14ac:dyDescent="0.25">
      <c r="A72">
        <v>255</v>
      </c>
      <c r="C72" t="s">
        <v>213</v>
      </c>
      <c r="D72" t="s">
        <v>214</v>
      </c>
      <c r="F72">
        <v>255</v>
      </c>
      <c r="H72" t="s">
        <v>215</v>
      </c>
      <c r="I72" t="s">
        <v>214</v>
      </c>
    </row>
    <row r="73" spans="1:9" x14ac:dyDescent="0.25">
      <c r="A73">
        <v>260</v>
      </c>
      <c r="C73" t="s">
        <v>216</v>
      </c>
      <c r="D73" t="s">
        <v>217</v>
      </c>
      <c r="F73">
        <v>260</v>
      </c>
      <c r="H73" t="s">
        <v>218</v>
      </c>
      <c r="I73" t="s">
        <v>217</v>
      </c>
    </row>
    <row r="74" spans="1:9" x14ac:dyDescent="0.25">
      <c r="A74">
        <v>265</v>
      </c>
      <c r="C74" t="s">
        <v>219</v>
      </c>
      <c r="D74" t="s">
        <v>220</v>
      </c>
      <c r="F74">
        <v>265</v>
      </c>
      <c r="H74" t="s">
        <v>221</v>
      </c>
      <c r="I74" t="s">
        <v>220</v>
      </c>
    </row>
    <row r="75" spans="1:9" x14ac:dyDescent="0.25">
      <c r="A75">
        <v>270</v>
      </c>
      <c r="C75" t="s">
        <v>222</v>
      </c>
      <c r="D75" t="s">
        <v>223</v>
      </c>
      <c r="F75">
        <v>270</v>
      </c>
      <c r="H75" t="s">
        <v>224</v>
      </c>
      <c r="I75" t="s">
        <v>223</v>
      </c>
    </row>
    <row r="76" spans="1:9" x14ac:dyDescent="0.25">
      <c r="A76">
        <v>275</v>
      </c>
      <c r="C76" t="s">
        <v>225</v>
      </c>
      <c r="D76" t="s">
        <v>226</v>
      </c>
      <c r="F76">
        <v>275</v>
      </c>
      <c r="H76" t="s">
        <v>227</v>
      </c>
      <c r="I76" t="s">
        <v>226</v>
      </c>
    </row>
    <row r="77" spans="1:9" x14ac:dyDescent="0.25">
      <c r="A77">
        <v>280</v>
      </c>
      <c r="C77" t="s">
        <v>228</v>
      </c>
      <c r="D77" t="s">
        <v>229</v>
      </c>
      <c r="F77">
        <v>280</v>
      </c>
      <c r="H77" t="s">
        <v>230</v>
      </c>
      <c r="I77" t="s">
        <v>229</v>
      </c>
    </row>
    <row r="78" spans="1:9" x14ac:dyDescent="0.25">
      <c r="A78">
        <v>285</v>
      </c>
      <c r="C78" t="s">
        <v>231</v>
      </c>
      <c r="D78" t="s">
        <v>232</v>
      </c>
      <c r="F78">
        <v>285</v>
      </c>
      <c r="H78" t="s">
        <v>233</v>
      </c>
      <c r="I78" t="s">
        <v>232</v>
      </c>
    </row>
    <row r="79" spans="1:9" x14ac:dyDescent="0.25">
      <c r="A79">
        <v>290</v>
      </c>
      <c r="C79" t="s">
        <v>234</v>
      </c>
      <c r="D79" t="s">
        <v>235</v>
      </c>
      <c r="F79">
        <v>290</v>
      </c>
      <c r="H79" t="s">
        <v>236</v>
      </c>
      <c r="I79" t="s">
        <v>235</v>
      </c>
    </row>
    <row r="80" spans="1:9" x14ac:dyDescent="0.25">
      <c r="A80">
        <v>295</v>
      </c>
      <c r="C80" t="s">
        <v>237</v>
      </c>
      <c r="D80" t="s">
        <v>238</v>
      </c>
      <c r="F80">
        <v>295</v>
      </c>
      <c r="H80" t="s">
        <v>239</v>
      </c>
      <c r="I80" t="s">
        <v>238</v>
      </c>
    </row>
    <row r="81" spans="1:9" x14ac:dyDescent="0.25">
      <c r="A81">
        <v>300</v>
      </c>
      <c r="C81" t="s">
        <v>240</v>
      </c>
      <c r="D81" t="s">
        <v>241</v>
      </c>
      <c r="F81">
        <v>300</v>
      </c>
      <c r="H81" t="s">
        <v>242</v>
      </c>
      <c r="I81" t="s">
        <v>241</v>
      </c>
    </row>
    <row r="82" spans="1:9" x14ac:dyDescent="0.25">
      <c r="A82">
        <v>305</v>
      </c>
      <c r="C82" t="s">
        <v>243</v>
      </c>
      <c r="D82" t="s">
        <v>244</v>
      </c>
      <c r="F82">
        <v>305</v>
      </c>
      <c r="H82" t="s">
        <v>245</v>
      </c>
      <c r="I8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2025-11-17T00:42:22Z</dcterms:modified>
</cp:coreProperties>
</file>